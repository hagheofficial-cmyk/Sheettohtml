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Evaluations" sheetId="2" r:id="rId6"/>
    <sheet state="visible" name="Agent Report" sheetId="3" r:id="rId7"/>
    <sheet state="visible" name="Team Report" sheetId="4" r:id="rId8"/>
  </sheets>
  <definedNames/>
  <calcPr/>
</workbook>
</file>

<file path=xl/sharedStrings.xml><?xml version="1.0" encoding="utf-8"?>
<sst xmlns="http://schemas.openxmlformats.org/spreadsheetml/2006/main" count="257" uniqueCount="133">
  <si>
    <t>جمعه</t>
  </si>
  <si>
    <t>نام کارشناس</t>
  </si>
  <si>
    <t>تیم</t>
  </si>
  <si>
    <t>تعداد ارزیابی نمره‌دار</t>
  </si>
  <si>
    <t>میانگین نمره نهایی / 100</t>
  </si>
  <si>
    <t>تعداد پیام پاسخ‌داده‌شده</t>
  </si>
  <si>
    <t>درصد رعایت SLA واقعی</t>
  </si>
  <si>
    <t>میانگین المان SLA / 100</t>
  </si>
  <si>
    <t>میانگین پیگیری / 100</t>
  </si>
  <si>
    <t>میانگین پایان‌بندی / 100</t>
  </si>
  <si>
    <t>میانگین لحن / 100</t>
  </si>
  <si>
    <t>تعداد عدم پاسخ</t>
  </si>
  <si>
    <t>تعداد SLA رعایت‌نشده</t>
  </si>
  <si>
    <t>مبینا سیدآبادی</t>
  </si>
  <si>
    <t>Tele sales</t>
  </si>
  <si>
    <t>نام تیم</t>
  </si>
  <si>
    <t>هادی</t>
  </si>
  <si>
    <t>تعداد کارشناسان ارزیابی‌شده</t>
  </si>
  <si>
    <t>بله</t>
  </si>
  <si>
    <t>پاسخ داده شده</t>
  </si>
  <si>
    <t>ندارد</t>
  </si>
  <si>
    <t>موجه و تأییدشده</t>
  </si>
  <si>
    <t>شنبه</t>
  </si>
  <si>
    <t>حامد میرزایی</t>
  </si>
  <si>
    <t>مبینا</t>
  </si>
  <si>
    <t>روبیکا</t>
  </si>
  <si>
    <t>عدم پاسخ</t>
  </si>
  <si>
    <t>اختلال سامانه یا پیام‌رسان</t>
  </si>
  <si>
    <t>بدون دلیل موجه</t>
  </si>
  <si>
    <t>یکشنبه</t>
  </si>
  <si>
    <t>محمد توجهی</t>
  </si>
  <si>
    <t>-</t>
  </si>
  <si>
    <t>شیدا</t>
  </si>
  <si>
    <t>ایتا</t>
  </si>
  <si>
    <t>خارج از ساعت کاری</t>
  </si>
  <si>
    <t>در انتظار بررسی</t>
  </si>
  <si>
    <t>تاریخ بررسی</t>
  </si>
  <si>
    <t>دوشنبه</t>
  </si>
  <si>
    <t>هلیا هنرکار</t>
  </si>
  <si>
    <t>کارشناس QC</t>
  </si>
  <si>
    <t>هانیه</t>
  </si>
  <si>
    <t>تاریخ دریافت پیام</t>
  </si>
  <si>
    <t>تلگرام</t>
  </si>
  <si>
    <t>عدم دسترسی به اطلاعات ضروری</t>
  </si>
  <si>
    <t>سه شنبه</t>
  </si>
  <si>
    <t>مهناز جبارزاده</t>
  </si>
  <si>
    <t>تاریخ پاسخدهی</t>
  </si>
  <si>
    <t>واتساپ</t>
  </si>
  <si>
    <t>حجم بالای پیام‌ها</t>
  </si>
  <si>
    <t>چهارشنبه</t>
  </si>
  <si>
    <t>جواهر باکودزفولی</t>
  </si>
  <si>
    <t>تیم کارشناس</t>
  </si>
  <si>
    <t>پیامک</t>
  </si>
  <si>
    <t>پیامرسان</t>
  </si>
  <si>
    <t>ساعت دریافت</t>
  </si>
  <si>
    <t>فراموشی یا عدم پیگیری</t>
  </si>
  <si>
    <t>ساعت پاسخ</t>
  </si>
  <si>
    <t>مدت زمان پاسخگویی</t>
  </si>
  <si>
    <t>وضعیت پاسخ</t>
  </si>
  <si>
    <t>دلیل تاخیر یا عدم پاسخ</t>
  </si>
  <si>
    <t>پنجشنبه</t>
  </si>
  <si>
    <t>وضعیت رعایت یا عدم رعایت SLA</t>
  </si>
  <si>
    <t>وضعیت تایید دلیل</t>
  </si>
  <si>
    <t>پریناز ناظمیان پور</t>
  </si>
  <si>
    <t>رعایت زمان پاسخ‌گویی (SLA)</t>
  </si>
  <si>
    <t>پیگیری و رسیدگی تا مشخص‌شدن نتیجه</t>
  </si>
  <si>
    <t>پایان‌بندی صحیح مکالمه</t>
  </si>
  <si>
    <t>لحن و نگارش حرفه‌ای</t>
  </si>
  <si>
    <t>نمره نهایی</t>
  </si>
  <si>
    <t>توضیحات کنترل کیفیت</t>
  </si>
  <si>
    <t>سایر</t>
  </si>
  <si>
    <t>مبدل</t>
  </si>
  <si>
    <t>آزاده فیروزی</t>
  </si>
  <si>
    <t>سجاد موسوی</t>
  </si>
  <si>
    <t>محمدایلیا ممانی</t>
  </si>
  <si>
    <t>بردیا جانفشان</t>
  </si>
  <si>
    <t>آتوسا آرامی</t>
  </si>
  <si>
    <t>آتنا نوربخش</t>
  </si>
  <si>
    <t>یگانه ویسی</t>
  </si>
  <si>
    <t>مهتاب چراغی</t>
  </si>
  <si>
    <t>محمدمهدی علیپور</t>
  </si>
  <si>
    <t>هانیه معزز</t>
  </si>
  <si>
    <t>آسیه احمدی فر</t>
  </si>
  <si>
    <t>مهرداد سعیدمهدوی</t>
  </si>
  <si>
    <t>آرزو محمودکلایه</t>
  </si>
  <si>
    <t>صبا یاری</t>
  </si>
  <si>
    <t>مریم رئوف</t>
  </si>
  <si>
    <t>محدثه کریمی</t>
  </si>
  <si>
    <t>سارا زرآینه</t>
  </si>
  <si>
    <t>سحر ثامنی</t>
  </si>
  <si>
    <t>زهرا شجاعی</t>
  </si>
  <si>
    <t>صدیقه هوشمندی</t>
  </si>
  <si>
    <t>امیررادمان رشیدی</t>
  </si>
  <si>
    <t>مهسا موسوی</t>
  </si>
  <si>
    <t>حامد جبروتی</t>
  </si>
  <si>
    <t>نرگس پورخلیلی</t>
  </si>
  <si>
    <t>لیلا بیاتی</t>
  </si>
  <si>
    <t>رعنا غیاثی‌نژاد</t>
  </si>
  <si>
    <t>MLM</t>
  </si>
  <si>
    <t>محمد بوئینی</t>
  </si>
  <si>
    <t>شاهین حسنی زاد</t>
  </si>
  <si>
    <t>نیوشا موسوی</t>
  </si>
  <si>
    <t>پوریا لرستانی</t>
  </si>
  <si>
    <t xml:space="preserve"> الهه عسگری</t>
  </si>
  <si>
    <t>سمیرا شکیب</t>
  </si>
  <si>
    <t>سپهر فلاح دوست بدایی</t>
  </si>
  <si>
    <t>مائده بهنامی‌فر</t>
  </si>
  <si>
    <t>الهام شمس نیا</t>
  </si>
  <si>
    <t>Account</t>
  </si>
  <si>
    <t>ریحانه روح بخش</t>
  </si>
  <si>
    <t>سیما معصومی</t>
  </si>
  <si>
    <t>نرگس یوسفیان</t>
  </si>
  <si>
    <t>هانیه مظهری</t>
  </si>
  <si>
    <t>ترانه محمودی</t>
  </si>
  <si>
    <t>زینب میرزاده</t>
  </si>
  <si>
    <t>آیسان نورافکن</t>
  </si>
  <si>
    <t>پریا شیشه گر</t>
  </si>
  <si>
    <t>سیده متین سید حسینی</t>
  </si>
  <si>
    <t>عارفه ایزدان</t>
  </si>
  <si>
    <t>متین تدین خواه</t>
  </si>
  <si>
    <t>مریم بیات</t>
  </si>
  <si>
    <t>نیلوفر رنجبر</t>
  </si>
  <si>
    <t>آنیتا کرمانشاه</t>
  </si>
  <si>
    <t>زهرا میرزائی</t>
  </si>
  <si>
    <t>عاطفه گلباز</t>
  </si>
  <si>
    <t>مائده سرمدی</t>
  </si>
  <si>
    <t>محمدرضا محتشمیان کاشانی</t>
  </si>
  <si>
    <t>مینا فرنام</t>
  </si>
  <si>
    <t>هما میرزائی</t>
  </si>
  <si>
    <t>فاطمه حسنوند</t>
  </si>
  <si>
    <t>شادی قنبری</t>
  </si>
  <si>
    <t>علیرضا قمی</t>
  </si>
  <si>
    <t>BNPL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</si>
</sst>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:ss am/pm"/>
  </numFmts>
  <fonts count="7">
    <font>
      <sz val="10.0"/>
      <color rgb="FF000000"/>
      <name val="Arial"/>
      <scheme val="minor"/>
    </font>
    <font>
      <color theme="1"/>
      <name val="Calibri"/>
    </font>
    <font>
      <b/>
      <sz val="11.0"/>
      <color rgb="FFFFFFFF"/>
      <name val="Calibri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Calibri"/>
    </font>
    <font/>
  </fonts>
  <fills count="9">
    <fill>
      <patternFill patternType="none"/>
    </fill>
    <fill>
      <patternFill patternType="lightGray"/>
    </fill>
    <fill>
      <patternFill patternType="solid">
        <fgColor rgb="FF277C88"/>
        <bgColor rgb="FF277C88"/>
      </patternFill>
    </fill>
    <fill>
      <patternFill patternType="solid">
        <fgColor rgb="FFE8ECEF"/>
        <bgColor rgb="FFE8ECEF"/>
      </patternFill>
    </fill>
    <fill>
      <patternFill patternType="solid">
        <fgColor rgb="FFFFEEEE"/>
        <bgColor rgb="FFFFEEEE"/>
      </patternFill>
    </fill>
    <fill>
      <patternFill patternType="solid">
        <fgColor rgb="FFF3F3F3"/>
        <bgColor rgb="FFF3F3F3"/>
      </patternFill>
    </fill>
    <fill>
      <patternFill patternType="solid">
        <fgColor rgb="FFFFF1E9"/>
        <bgColor rgb="FFFFF1E9"/>
      </patternFill>
    </fill>
    <fill>
      <patternFill patternType="solid">
        <fgColor rgb="FFFFDEEC"/>
        <bgColor rgb="FFFFDEEC"/>
      </patternFill>
    </fill>
    <fill>
      <patternFill patternType="solid">
        <fgColor rgb="FFFBBC04"/>
        <bgColor rgb="FFFBBC04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741B47"/>
      </right>
    </border>
    <border>
      <left style="medium">
        <color rgb="FF000000"/>
      </left>
      <top style="medium">
        <color rgb="FF000000"/>
      </top>
    </border>
    <border>
      <left style="medium">
        <color rgb="FFFBBC04"/>
      </left>
      <top style="medium">
        <color rgb="FFFBBC04"/>
      </top>
    </border>
    <border>
      <left style="medium">
        <color rgb="FF46BDC6"/>
      </left>
      <top style="medium">
        <color rgb="FF46BDC6"/>
      </top>
    </border>
    <border>
      <top style="medium">
        <color rgb="FF000000"/>
      </top>
    </border>
    <border>
      <left style="medium">
        <color rgb="FF6AA84F"/>
      </left>
      <top style="medium">
        <color rgb="FF6AA84F"/>
      </top>
    </border>
    <border>
      <right style="thin">
        <color rgb="FF000000"/>
      </right>
      <top style="medium">
        <color rgb="FF000000"/>
      </top>
    </border>
    <border>
      <left style="medium">
        <color rgb="FF1C2BA8"/>
      </left>
    </border>
    <border>
      <left style="thin">
        <color rgb="FF000000"/>
      </left>
      <top style="medium">
        <color rgb="FF000000"/>
      </top>
    </border>
    <border>
      <left style="medium">
        <color rgb="FFEA4335"/>
      </left>
    </border>
    <border>
      <right style="medium">
        <color rgb="FF000000"/>
      </right>
      <top style="medium">
        <color rgb="FF000000"/>
      </top>
    </border>
    <border>
      <left style="medium">
        <color rgb="FFFF9900"/>
      </left>
      <top style="medium">
        <color rgb="FFFF9900"/>
      </top>
    </border>
    <border>
      <left style="medium">
        <color rgb="FF00FF00"/>
      </left>
    </border>
    <border>
      <left style="medium">
        <color rgb="FF9900FF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FBBC04"/>
      </left>
    </border>
    <border>
      <left style="medium">
        <color rgb="FF46BDC6"/>
      </left>
    </border>
    <border>
      <left style="medium">
        <color rgb="FF6AA84F"/>
      </left>
    </border>
    <border>
      <left style="medium">
        <color rgb="FFFF99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FBBC04"/>
      </left>
      <bottom style="medium">
        <color rgb="FFFBBC04"/>
      </bottom>
    </border>
    <border>
      <left style="medium">
        <color rgb="FF46BDC6"/>
      </left>
      <bottom style="medium">
        <color rgb="FF46BDC6"/>
      </bottom>
    </border>
    <border>
      <left style="medium">
        <color rgb="FF6AA84F"/>
      </left>
      <bottom style="medium">
        <color rgb="FF6AA84F"/>
      </bottom>
    </border>
    <border>
      <left style="medium">
        <color rgb="FFFF9900"/>
      </left>
      <bottom style="medium">
        <color rgb="FFFF99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3" fillId="3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1"/>
    </xf>
    <xf borderId="8" fillId="3" fontId="1" numFmtId="0" xfId="0" applyAlignment="1" applyBorder="1" applyFill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vertical="center"/>
    </xf>
    <xf borderId="10" fillId="3" fontId="1" numFmtId="0" xfId="0" applyAlignment="1" applyBorder="1" applyFill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vertical="center"/>
    </xf>
    <xf borderId="12" fillId="3" fontId="1" numFmtId="0" xfId="0" applyAlignment="1" applyBorder="1" applyFill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 vertical="center"/>
    </xf>
    <xf borderId="6" fillId="4" fontId="1" numFmtId="0" xfId="0" applyAlignment="1" applyBorder="1" applyFill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readingOrder="0" vertical="center"/>
    </xf>
    <xf borderId="16" fillId="5" fontId="1" numFmtId="0" xfId="0" applyAlignment="1" applyBorder="1" applyFill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vertical="center"/>
    </xf>
    <xf borderId="0" fillId="6" fontId="1" numFmtId="165" xfId="0" applyAlignment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6" fillId="6" fontId="1" numFmtId="3" xfId="0" applyAlignment="1" applyBorder="1" applyFill="1" applyFont="1" applyNumberForma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vertical="center"/>
    </xf>
    <xf borderId="0" fillId="0" fontId="3" numFmtId="0" xfId="0" applyFont="1"/>
    <xf borderId="6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vertical="center"/>
    </xf>
    <xf borderId="18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16" fillId="7" fontId="1" numFmtId="0" xfId="0" applyAlignment="1" applyBorder="1" applyFill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/>
    </xf>
    <xf borderId="21" fillId="8" fontId="5" numFmtId="0" xfId="0" applyAlignment="1" applyBorder="1" applyFill="1" applyFont="1">
      <alignment horizontal="center" readingOrder="0" shrinkToFit="0" vertical="center" wrapText="1"/>
    </xf>
    <xf borderId="22" fillId="8" fontId="5" numFmtId="0" xfId="0" applyAlignment="1" applyBorder="1" applyFill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23" fillId="0" fontId="6" numFmtId="0" xfId="0" applyBorder="1" applyFont="1"/>
    <xf borderId="9" fillId="0" fontId="1" numFmtId="0" xfId="0" applyAlignment="1" applyBorder="1" applyFont="1">
      <alignment horizontal="center" vertical="center"/>
    </xf>
    <xf borderId="24" fillId="8" fontId="5" numFmtId="0" xfId="0" applyAlignment="1" applyBorder="1" applyFill="1" applyFont="1">
      <alignment horizontal="center" readingOrder="0" shrinkToFit="0" vertical="center" wrapText="1"/>
    </xf>
    <xf borderId="25" fillId="0" fontId="6" numFmtId="0" xfId="0" applyBorder="1" applyFont="1"/>
    <xf borderId="25" fillId="8" fontId="5" numFmtId="0" xfId="0" applyAlignment="1" applyBorder="1" applyFill="1" applyFont="1">
      <alignment horizontal="center" readingOrder="0" shrinkToFit="0" vertical="center" wrapText="1"/>
    </xf>
    <xf borderId="26" fillId="8" fontId="5" numFmtId="0" xfId="0" applyAlignment="1" applyBorder="1" applyFill="1" applyFont="1">
      <alignment horizontal="center" readingOrder="0" shrinkToFit="0" vertical="center" wrapText="1"/>
    </xf>
    <xf borderId="22" fillId="8" fontId="5" numFmtId="3" xfId="0" applyAlignment="1" applyBorder="1" applyFill="1" applyFont="1" applyNumberFormat="1">
      <alignment horizontal="center" readingOrder="0" shrinkToFit="0" vertical="center" wrapText="1"/>
    </xf>
    <xf borderId="11" fillId="0" fontId="1" numFmtId="0" xfId="0" applyAlignment="1" applyBorder="1" applyFont="1">
      <alignment horizontal="center" vertical="center"/>
    </xf>
    <xf borderId="21" fillId="8" fontId="1" numFmtId="0" xfId="0" applyAlignment="1" applyBorder="1" applyFill="1" applyFont="1">
      <alignment horizontal="center" readingOrder="0" shrinkToFit="0" vertical="center" wrapText="1"/>
    </xf>
    <xf borderId="25" fillId="8" fontId="1" numFmtId="0" xfId="0" applyAlignment="1" applyBorder="1" applyFill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vertical="center"/>
    </xf>
    <xf borderId="27" fillId="3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28" fillId="3" fontId="1" numFmtId="0" xfId="0" applyAlignment="1" applyBorder="1" applyFill="1" applyFont="1">
      <alignment horizontal="center" readingOrder="0" shrinkToFit="0" vertical="center" wrapText="1"/>
    </xf>
    <xf borderId="29" fillId="3" fontId="1" numFmtId="0" xfId="0" applyAlignment="1" applyBorder="1" applyFill="1" applyFont="1">
      <alignment horizontal="center" readingOrder="0" shrinkToFit="0" vertical="center" wrapText="1"/>
    </xf>
    <xf borderId="30" fillId="3" fontId="1" numFmtId="0" xfId="0" applyAlignment="1" applyBorder="1" applyFill="1" applyFont="1">
      <alignment horizontal="center" readingOrder="0" shrinkToFit="0" vertical="center" wrapText="1"/>
    </xf>
    <xf borderId="30" fillId="0" fontId="1" numFmtId="0" xfId="0" applyAlignment="1" applyBorder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31" fillId="5" fontId="1" numFmtId="0" xfId="0" applyAlignment="1" applyBorder="1" applyFill="1" applyFont="1">
      <alignment horizontal="center" readingOrder="0" shrinkToFit="0" vertical="center" wrapText="1"/>
    </xf>
    <xf borderId="0" fillId="6" fontId="1" numFmtId="3" xfId="0" applyAlignment="1" applyFill="1" applyFont="1" applyNumberFormat="1">
      <alignment horizontal="center" shrinkToFit="0" vertical="center" wrapText="1"/>
    </xf>
    <xf borderId="27" fillId="0" fontId="1" numFmtId="0" xfId="0" applyAlignment="1" applyBorder="1" applyFont="1">
      <alignment horizontal="center" readingOrder="0" shrinkToFit="0" vertical="center" wrapText="1"/>
    </xf>
    <xf borderId="27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30" fillId="0" fontId="1" numFmtId="0" xfId="0" applyAlignment="1" applyBorder="1" applyFont="1">
      <alignment horizontal="center" readingOrder="0" shrinkToFit="0" vertical="center" wrapText="1"/>
    </xf>
    <xf borderId="31" fillId="7" fontId="1" numFmtId="2" xfId="0" applyAlignment="1" applyBorder="1" applyFill="1" applyFont="1" applyNumberFormat="1">
      <alignment horizontal="center" shrinkToFit="0" vertical="center" wrapText="1"/>
    </xf>
    <xf borderId="27" fillId="0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horizontal="center" vertical="center"/>
    </xf>
    <xf borderId="30" fillId="0" fontId="1" numFmtId="164" xfId="0" applyAlignment="1" applyBorder="1" applyFont="1" applyNumberFormat="1">
      <alignment horizontal="center" shrinkToFit="0" vertical="center" wrapText="1"/>
    </xf>
    <xf borderId="2" fillId="0" fontId="3" numFmtId="0" xfId="0" applyBorder="1" applyFont="1"/>
    <xf borderId="27" fillId="0" fontId="1" numFmtId="0" xfId="0" applyAlignment="1" applyBorder="1" applyFont="1">
      <alignment horizontal="center" shrinkToFit="0" vertical="center" wrapText="1"/>
    </xf>
    <xf borderId="30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31" fillId="7" fontId="1" numFmtId="0" xfId="0" applyAlignment="1" applyBorder="1" applyFill="1" applyFont="1">
      <alignment horizontal="center" shrinkToFit="0" vertical="center" wrapText="1"/>
    </xf>
    <xf borderId="27" fillId="3" fontId="3" numFmtId="0" xfId="0" applyBorder="1" applyFill="1" applyFont="1"/>
    <xf borderId="28" fillId="3" fontId="1" numFmtId="0" xfId="0" applyAlignment="1" applyBorder="1" applyFill="1" applyFont="1">
      <alignment horizontal="center" shrinkToFit="0" vertical="center" wrapText="1"/>
    </xf>
    <xf borderId="30" fillId="3" fontId="1" numFmtId="0" xfId="0" applyAlignment="1" applyBorder="1" applyFill="1" applyFont="1">
      <alignment horizontal="center" shrinkToFit="0" vertical="center" wrapText="1"/>
    </xf>
    <xf borderId="31" fillId="5" fontId="1" numFmtId="0" xfId="0" applyAlignment="1" applyBorder="1" applyFill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29" fillId="3" fontId="1" numFmtId="0" xfId="0" applyAlignment="1" applyBorder="1" applyFill="1" applyFont="1">
      <alignment horizontal="center" shrinkToFit="0" vertical="center" wrapText="1"/>
    </xf>
    <xf borderId="27" fillId="3" fontId="1" numFmtId="0" xfId="0" applyAlignment="1" applyBorder="1" applyFill="1" applyFont="1">
      <alignment horizontal="center" shrinkToFit="0" vertical="center" wrapText="1"/>
    </xf>
    <xf borderId="36" fillId="3" fontId="3" numFmtId="0" xfId="0" applyBorder="1" applyFill="1" applyFont="1"/>
    <xf borderId="37" fillId="0" fontId="1" numFmtId="0" xfId="0" applyAlignment="1" applyBorder="1" applyFont="1">
      <alignment horizontal="center" shrinkToFit="0" vertical="center" wrapText="1"/>
    </xf>
    <xf borderId="36" fillId="3" fontId="1" numFmtId="0" xfId="0" applyAlignment="1" applyBorder="1" applyFill="1" applyFont="1">
      <alignment horizontal="center" shrinkToFit="0" vertical="center" wrapText="1"/>
    </xf>
    <xf borderId="38" fillId="3" fontId="1" numFmtId="0" xfId="0" applyAlignment="1" applyBorder="1" applyFill="1" applyFont="1">
      <alignment horizontal="center" shrinkToFit="0" vertical="center" wrapText="1"/>
    </xf>
    <xf borderId="39" fillId="3" fontId="1" numFmtId="0" xfId="0" applyAlignment="1" applyBorder="1" applyFill="1" applyFont="1">
      <alignment horizontal="center" shrinkToFit="0" vertical="center" wrapText="1"/>
    </xf>
    <xf borderId="40" fillId="3" fontId="1" numFmtId="0" xfId="0" applyAlignment="1" applyBorder="1" applyFill="1" applyFont="1">
      <alignment horizontal="center" shrinkToFit="0" vertical="center" wrapText="1"/>
    </xf>
    <xf borderId="40" fillId="0" fontId="1" numFmtId="0" xfId="0" applyAlignment="1" applyBorder="1" applyFont="1">
      <alignment horizontal="center" shrinkToFit="0" vertical="center" wrapText="1"/>
    </xf>
    <xf borderId="41" fillId="5" fontId="1" numFmtId="0" xfId="0" applyAlignment="1" applyBorder="1" applyFill="1" applyFont="1">
      <alignment horizontal="center" shrinkToFit="0" vertical="center" wrapText="1"/>
    </xf>
    <xf borderId="36" fillId="0" fontId="1" numFmtId="0" xfId="0" applyAlignment="1" applyBorder="1" applyFont="1">
      <alignment horizontal="center" shrinkToFit="0" vertical="center" wrapText="1"/>
    </xf>
    <xf borderId="41" fillId="7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  <col customWidth="1" min="10" max="10" width="20.0"/>
  </cols>
  <sheetData>
    <row r="1">
      <c r="A1" s="1" t="s">
        <v>0</v>
      </c>
      <c r="B1" s="3">
        <v>1.405062E7</v>
      </c>
      <c r="C1" s="5">
        <v>3073.0</v>
      </c>
      <c r="D1" s="6" t="s">
        <v>13</v>
      </c>
      <c r="E1" s="7" t="s">
        <v>14</v>
      </c>
      <c r="F1" s="9">
        <v>1.0</v>
      </c>
      <c r="G1" s="12" t="s">
        <v>16</v>
      </c>
      <c r="H1" s="14" t="s">
        <v>18</v>
      </c>
      <c r="I1" s="16" t="s">
        <v>19</v>
      </c>
      <c r="J1" s="18" t="s">
        <v>20</v>
      </c>
      <c r="K1" s="20" t="s">
        <v>21</v>
      </c>
      <c r="L1" s="22">
        <v>46276.0</v>
      </c>
      <c r="M1" s="24">
        <v>60.0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1" t="s">
        <v>22</v>
      </c>
      <c r="B2" s="3">
        <v>1.4050621E7</v>
      </c>
      <c r="C2" s="5">
        <v>3082.0</v>
      </c>
      <c r="D2" s="27" t="s">
        <v>23</v>
      </c>
      <c r="E2" s="28" t="s">
        <v>14</v>
      </c>
      <c r="F2" s="30">
        <v>0.0</v>
      </c>
      <c r="G2" s="12" t="s">
        <v>24</v>
      </c>
      <c r="H2" s="14" t="s">
        <v>25</v>
      </c>
      <c r="I2" s="33" t="s">
        <v>26</v>
      </c>
      <c r="J2" s="18" t="s">
        <v>27</v>
      </c>
      <c r="K2" s="20" t="s">
        <v>28</v>
      </c>
      <c r="L2" s="22">
        <v>46277.0</v>
      </c>
      <c r="M2" s="5"/>
      <c r="N2" s="5"/>
      <c r="O2" s="36"/>
      <c r="P2" s="36"/>
      <c r="Q2" s="5"/>
      <c r="R2" s="5"/>
      <c r="S2" s="5"/>
      <c r="T2" s="5"/>
      <c r="U2" s="5"/>
      <c r="V2" s="5"/>
      <c r="W2" s="5"/>
      <c r="X2" s="5"/>
      <c r="Y2" s="5"/>
    </row>
    <row r="3">
      <c r="A3" s="1" t="s">
        <v>29</v>
      </c>
      <c r="B3" s="3">
        <v>1.4050622E7</v>
      </c>
      <c r="C3" s="5">
        <v>3086.0</v>
      </c>
      <c r="D3" s="27" t="s">
        <v>30</v>
      </c>
      <c r="E3" s="28" t="s">
        <v>14</v>
      </c>
      <c r="F3" s="30" t="s">
        <v>31</v>
      </c>
      <c r="G3" s="12" t="s">
        <v>32</v>
      </c>
      <c r="H3" s="14" t="s">
        <v>33</v>
      </c>
      <c r="I3" s="39"/>
      <c r="J3" s="18" t="s">
        <v>34</v>
      </c>
      <c r="K3" s="20" t="s">
        <v>35</v>
      </c>
      <c r="L3" s="22">
        <v>46278.0</v>
      </c>
      <c r="M3" s="5"/>
      <c r="N3" s="5"/>
      <c r="P3" s="41"/>
      <c r="Q3" s="5"/>
      <c r="R3" s="5"/>
      <c r="S3" s="5"/>
      <c r="T3" s="5"/>
      <c r="U3" s="5"/>
      <c r="V3" s="5"/>
      <c r="W3" s="5"/>
      <c r="X3" s="5"/>
      <c r="Y3" s="5"/>
    </row>
    <row r="4">
      <c r="A4" s="1" t="s">
        <v>37</v>
      </c>
      <c r="B4" s="3">
        <v>1.4050623E7</v>
      </c>
      <c r="C4" s="5">
        <v>3090.0</v>
      </c>
      <c r="D4" s="27" t="s">
        <v>38</v>
      </c>
      <c r="E4" s="28" t="s">
        <v>14</v>
      </c>
      <c r="F4" s="44"/>
      <c r="G4" s="12" t="s">
        <v>40</v>
      </c>
      <c r="H4" s="14" t="s">
        <v>42</v>
      </c>
      <c r="I4" s="39"/>
      <c r="J4" s="18" t="s">
        <v>43</v>
      </c>
      <c r="K4" s="45"/>
      <c r="L4" s="22">
        <v>46279.0</v>
      </c>
      <c r="M4" s="5"/>
      <c r="N4" s="5"/>
      <c r="P4" s="41"/>
      <c r="Q4" s="5"/>
      <c r="R4" s="5"/>
      <c r="S4" s="5"/>
      <c r="T4" s="5"/>
      <c r="U4" s="5"/>
      <c r="V4" s="5"/>
      <c r="W4" s="5"/>
      <c r="X4" s="5"/>
      <c r="Y4" s="5"/>
    </row>
    <row r="5">
      <c r="A5" s="1" t="s">
        <v>44</v>
      </c>
      <c r="B5" s="3">
        <v>1.4050624E7</v>
      </c>
      <c r="C5" s="5">
        <v>3095.0</v>
      </c>
      <c r="D5" s="27" t="s">
        <v>45</v>
      </c>
      <c r="E5" s="28" t="s">
        <v>14</v>
      </c>
      <c r="F5" s="44"/>
      <c r="G5" s="47"/>
      <c r="H5" s="14" t="s">
        <v>47</v>
      </c>
      <c r="I5" s="39"/>
      <c r="J5" s="18" t="s">
        <v>48</v>
      </c>
      <c r="K5" s="45"/>
      <c r="L5" s="22">
        <v>46280.0</v>
      </c>
      <c r="M5" s="5"/>
      <c r="N5" s="5"/>
      <c r="P5" s="41"/>
      <c r="Q5" s="5"/>
      <c r="R5" s="5"/>
      <c r="S5" s="5"/>
      <c r="T5" s="5"/>
      <c r="U5" s="5"/>
      <c r="V5" s="5"/>
      <c r="W5" s="5"/>
      <c r="X5" s="5"/>
      <c r="Y5" s="5"/>
    </row>
    <row r="6">
      <c r="A6" s="1" t="s">
        <v>49</v>
      </c>
      <c r="B6" s="3">
        <v>1.4050625E7</v>
      </c>
      <c r="C6" s="5">
        <v>3097.0</v>
      </c>
      <c r="D6" s="27" t="s">
        <v>50</v>
      </c>
      <c r="E6" s="28" t="s">
        <v>14</v>
      </c>
      <c r="F6" s="44"/>
      <c r="G6" s="47"/>
      <c r="H6" s="14" t="s">
        <v>52</v>
      </c>
      <c r="I6" s="39"/>
      <c r="J6" s="18" t="s">
        <v>55</v>
      </c>
      <c r="K6" s="45"/>
      <c r="L6" s="22">
        <v>46281.0</v>
      </c>
      <c r="M6" s="5"/>
      <c r="N6" s="5"/>
      <c r="P6" s="41"/>
      <c r="Q6" s="5"/>
      <c r="R6" s="5"/>
      <c r="S6" s="5"/>
      <c r="T6" s="5"/>
      <c r="U6" s="5"/>
      <c r="V6" s="5"/>
      <c r="W6" s="5"/>
      <c r="X6" s="5"/>
      <c r="Y6" s="5"/>
    </row>
    <row r="7">
      <c r="A7" s="1" t="s">
        <v>60</v>
      </c>
      <c r="B7" s="3">
        <v>1.4050626E7</v>
      </c>
      <c r="C7" s="5">
        <v>3109.0</v>
      </c>
      <c r="D7" s="27" t="s">
        <v>63</v>
      </c>
      <c r="E7" s="28" t="s">
        <v>14</v>
      </c>
      <c r="F7" s="44"/>
      <c r="G7" s="47"/>
      <c r="H7" s="53"/>
      <c r="I7" s="39"/>
      <c r="J7" s="18" t="s">
        <v>70</v>
      </c>
      <c r="K7" s="45"/>
      <c r="L7" s="22">
        <v>46282.0</v>
      </c>
      <c r="M7" s="5"/>
      <c r="N7" s="5"/>
      <c r="P7" s="41"/>
      <c r="Q7" s="5"/>
      <c r="R7" s="5"/>
      <c r="S7" s="5"/>
      <c r="T7" s="5"/>
      <c r="U7" s="5"/>
      <c r="V7" s="5"/>
      <c r="W7" s="5"/>
      <c r="X7" s="5"/>
      <c r="Y7" s="5"/>
    </row>
    <row r="8">
      <c r="A8" s="1" t="s">
        <v>0</v>
      </c>
      <c r="B8" s="3">
        <v>1.4050627E7</v>
      </c>
      <c r="C8" s="5">
        <v>3110.0</v>
      </c>
      <c r="D8" s="27" t="s">
        <v>72</v>
      </c>
      <c r="E8" s="28" t="s">
        <v>14</v>
      </c>
      <c r="F8" s="44"/>
      <c r="G8" s="47"/>
      <c r="H8" s="53"/>
      <c r="I8" s="39"/>
      <c r="J8" s="56"/>
      <c r="K8" s="45"/>
      <c r="L8" s="22">
        <v>46283.0</v>
      </c>
      <c r="M8" s="5"/>
      <c r="N8" s="5"/>
      <c r="P8" s="41"/>
      <c r="Q8" s="5"/>
      <c r="R8" s="5"/>
      <c r="S8" s="5"/>
      <c r="T8" s="5"/>
      <c r="U8" s="5"/>
      <c r="V8" s="5"/>
      <c r="W8" s="5"/>
      <c r="X8" s="5"/>
      <c r="Y8" s="5"/>
    </row>
    <row r="9">
      <c r="A9" s="1" t="s">
        <v>22</v>
      </c>
      <c r="B9" s="3">
        <v>1.4050628E7</v>
      </c>
      <c r="C9" s="5">
        <v>3127.0</v>
      </c>
      <c r="D9" s="27" t="s">
        <v>73</v>
      </c>
      <c r="E9" s="28" t="s">
        <v>14</v>
      </c>
      <c r="F9" s="44"/>
      <c r="G9" s="47"/>
      <c r="H9" s="53"/>
      <c r="I9" s="39"/>
      <c r="J9" s="56"/>
      <c r="K9" s="45"/>
      <c r="L9" s="22">
        <v>46284.0</v>
      </c>
      <c r="M9" s="5"/>
      <c r="N9" s="5"/>
      <c r="P9" s="41"/>
      <c r="Q9" s="5"/>
      <c r="R9" s="5"/>
      <c r="S9" s="5"/>
      <c r="T9" s="5"/>
      <c r="U9" s="5"/>
      <c r="V9" s="5"/>
      <c r="W9" s="5"/>
      <c r="X9" s="5"/>
      <c r="Y9" s="5"/>
    </row>
    <row r="10">
      <c r="A10" s="1" t="s">
        <v>29</v>
      </c>
      <c r="B10" s="3">
        <v>1.4050629E7</v>
      </c>
      <c r="C10" s="5">
        <v>3129.0</v>
      </c>
      <c r="D10" s="27" t="s">
        <v>74</v>
      </c>
      <c r="E10" s="28" t="s">
        <v>14</v>
      </c>
      <c r="F10" s="44"/>
      <c r="G10" s="47"/>
      <c r="H10" s="53"/>
      <c r="I10" s="39"/>
      <c r="J10" s="56"/>
      <c r="K10" s="45"/>
      <c r="L10" s="22">
        <v>46285.0</v>
      </c>
      <c r="M10" s="5"/>
      <c r="N10" s="5"/>
      <c r="P10" s="41"/>
      <c r="Q10" s="5"/>
      <c r="R10" s="5"/>
      <c r="S10" s="5"/>
      <c r="T10" s="5"/>
      <c r="U10" s="5"/>
      <c r="V10" s="5"/>
      <c r="W10" s="5"/>
      <c r="X10" s="5"/>
      <c r="Y10" s="5"/>
    </row>
    <row r="11">
      <c r="A11" s="1" t="s">
        <v>37</v>
      </c>
      <c r="B11" s="3">
        <v>1.405063E7</v>
      </c>
      <c r="C11" s="5">
        <v>3132.0</v>
      </c>
      <c r="D11" s="27" t="s">
        <v>75</v>
      </c>
      <c r="E11" s="28" t="s">
        <v>14</v>
      </c>
      <c r="F11" s="44"/>
      <c r="G11" s="47"/>
      <c r="H11" s="53"/>
      <c r="I11" s="39"/>
      <c r="J11" s="56"/>
      <c r="K11" s="45"/>
      <c r="L11" s="22">
        <v>46286.0</v>
      </c>
      <c r="M11" s="5"/>
      <c r="N11" s="5"/>
      <c r="P11" s="41"/>
      <c r="Q11" s="5"/>
      <c r="R11" s="5"/>
      <c r="S11" s="5"/>
      <c r="T11" s="5"/>
      <c r="U11" s="5"/>
      <c r="V11" s="5"/>
      <c r="W11" s="5"/>
      <c r="X11" s="5"/>
      <c r="Y11" s="5"/>
    </row>
    <row r="12">
      <c r="A12" s="1" t="s">
        <v>44</v>
      </c>
      <c r="B12" s="3">
        <v>1.4050631E7</v>
      </c>
      <c r="C12" s="5">
        <v>3136.0</v>
      </c>
      <c r="D12" s="27" t="s">
        <v>76</v>
      </c>
      <c r="E12" s="28" t="s">
        <v>14</v>
      </c>
      <c r="F12" s="44"/>
      <c r="G12" s="47"/>
      <c r="H12" s="53"/>
      <c r="I12" s="39"/>
      <c r="J12" s="56"/>
      <c r="K12" s="45"/>
      <c r="L12" s="22">
        <v>46287.0</v>
      </c>
      <c r="M12" s="5"/>
      <c r="N12" s="5"/>
      <c r="P12" s="41"/>
      <c r="Q12" s="5"/>
      <c r="R12" s="5"/>
      <c r="S12" s="5"/>
      <c r="T12" s="5"/>
      <c r="U12" s="5"/>
      <c r="V12" s="5"/>
      <c r="W12" s="5"/>
      <c r="X12" s="5"/>
      <c r="Y12" s="5"/>
    </row>
    <row r="13">
      <c r="A13" s="1" t="s">
        <v>49</v>
      </c>
      <c r="B13" s="3">
        <v>1.4050701E7</v>
      </c>
      <c r="C13" s="5">
        <v>3140.0</v>
      </c>
      <c r="D13" s="27" t="s">
        <v>77</v>
      </c>
      <c r="E13" s="28" t="s">
        <v>14</v>
      </c>
      <c r="F13" s="44"/>
      <c r="G13" s="47"/>
      <c r="H13" s="53"/>
      <c r="I13" s="39"/>
      <c r="J13" s="56"/>
      <c r="K13" s="45"/>
      <c r="L13" s="22">
        <v>46288.0</v>
      </c>
      <c r="M13" s="5"/>
      <c r="N13" s="5"/>
      <c r="P13" s="41"/>
      <c r="Q13" s="5"/>
      <c r="R13" s="5"/>
      <c r="S13" s="5"/>
      <c r="T13" s="5"/>
      <c r="U13" s="5"/>
      <c r="V13" s="5"/>
      <c r="W13" s="5"/>
      <c r="X13" s="5"/>
      <c r="Y13" s="5"/>
    </row>
    <row r="14">
      <c r="A14" s="1" t="s">
        <v>60</v>
      </c>
      <c r="B14" s="3">
        <v>1.4050702E7</v>
      </c>
      <c r="C14" s="5">
        <v>3145.0</v>
      </c>
      <c r="D14" s="27" t="s">
        <v>78</v>
      </c>
      <c r="E14" s="28" t="s">
        <v>14</v>
      </c>
      <c r="F14" s="44"/>
      <c r="G14" s="47"/>
      <c r="H14" s="53"/>
      <c r="I14" s="39"/>
      <c r="J14" s="56"/>
      <c r="K14" s="45"/>
      <c r="L14" s="22">
        <v>46289.0</v>
      </c>
      <c r="M14" s="5"/>
      <c r="N14" s="5"/>
      <c r="P14" s="41"/>
      <c r="Q14" s="5"/>
      <c r="R14" s="5"/>
      <c r="S14" s="5"/>
      <c r="T14" s="5"/>
      <c r="U14" s="5"/>
      <c r="V14" s="5"/>
      <c r="W14" s="5"/>
      <c r="X14" s="5"/>
      <c r="Y14" s="5"/>
    </row>
    <row r="15">
      <c r="A15" s="59" t="s">
        <v>0</v>
      </c>
      <c r="B15" s="3">
        <v>1.4050703E7</v>
      </c>
      <c r="C15" s="5">
        <v>3165.0</v>
      </c>
      <c r="D15" s="27" t="s">
        <v>79</v>
      </c>
      <c r="E15" s="28" t="s">
        <v>14</v>
      </c>
      <c r="F15" s="44"/>
      <c r="G15" s="47"/>
      <c r="H15" s="53"/>
      <c r="I15" s="39"/>
      <c r="J15" s="56"/>
      <c r="K15" s="45"/>
      <c r="L15" s="22">
        <v>46290.0</v>
      </c>
      <c r="M15" s="5"/>
      <c r="N15" s="5"/>
      <c r="P15" s="41"/>
      <c r="Q15" s="5"/>
      <c r="R15" s="5"/>
      <c r="S15" s="5"/>
      <c r="T15" s="5"/>
      <c r="U15" s="5"/>
      <c r="V15" s="5"/>
      <c r="W15" s="5"/>
      <c r="X15" s="5"/>
      <c r="Y15" s="5"/>
    </row>
    <row r="16">
      <c r="A16" s="59" t="s">
        <v>22</v>
      </c>
      <c r="B16" s="3">
        <v>1.4050704E7</v>
      </c>
      <c r="C16" s="5">
        <v>3196.0</v>
      </c>
      <c r="D16" s="27" t="s">
        <v>80</v>
      </c>
      <c r="E16" s="28" t="s">
        <v>14</v>
      </c>
      <c r="F16" s="44"/>
      <c r="G16" s="47"/>
      <c r="H16" s="53"/>
      <c r="I16" s="39"/>
      <c r="J16" s="56"/>
      <c r="K16" s="45"/>
      <c r="L16" s="22">
        <v>46291.0</v>
      </c>
      <c r="M16" s="5"/>
      <c r="N16" s="5"/>
      <c r="P16" s="41"/>
      <c r="Q16" s="5"/>
      <c r="R16" s="5"/>
      <c r="S16" s="5"/>
      <c r="T16" s="5"/>
      <c r="U16" s="5"/>
      <c r="V16" s="5"/>
      <c r="W16" s="5"/>
      <c r="X16" s="5"/>
      <c r="Y16" s="5"/>
    </row>
    <row r="17">
      <c r="A17" s="59" t="s">
        <v>29</v>
      </c>
      <c r="B17" s="3">
        <v>1.4050705E7</v>
      </c>
      <c r="C17" s="5">
        <v>3204.0</v>
      </c>
      <c r="D17" s="27" t="s">
        <v>81</v>
      </c>
      <c r="E17" s="28" t="s">
        <v>14</v>
      </c>
      <c r="F17" s="44"/>
      <c r="G17" s="47"/>
      <c r="H17" s="53"/>
      <c r="I17" s="39"/>
      <c r="J17" s="56"/>
      <c r="K17" s="45"/>
      <c r="L17" s="22">
        <v>46292.0</v>
      </c>
      <c r="M17" s="5"/>
      <c r="N17" s="5"/>
      <c r="P17" s="41"/>
      <c r="Q17" s="5"/>
      <c r="R17" s="5"/>
      <c r="S17" s="5"/>
      <c r="T17" s="5"/>
      <c r="U17" s="5"/>
      <c r="V17" s="5"/>
      <c r="W17" s="5"/>
      <c r="X17" s="5"/>
      <c r="Y17" s="5"/>
    </row>
    <row r="18">
      <c r="A18" s="59" t="s">
        <v>37</v>
      </c>
      <c r="B18" s="3">
        <v>1.4050706E7</v>
      </c>
      <c r="C18" s="5">
        <v>3212.0</v>
      </c>
      <c r="D18" s="27" t="s">
        <v>82</v>
      </c>
      <c r="E18" s="28" t="s">
        <v>14</v>
      </c>
      <c r="F18" s="44"/>
      <c r="G18" s="47"/>
      <c r="H18" s="53"/>
      <c r="I18" s="39"/>
      <c r="J18" s="56"/>
      <c r="K18" s="45"/>
      <c r="L18" s="22">
        <v>46293.0</v>
      </c>
      <c r="M18" s="5"/>
      <c r="N18" s="5"/>
      <c r="P18" s="41"/>
      <c r="Q18" s="5"/>
      <c r="R18" s="5"/>
      <c r="S18" s="5"/>
      <c r="T18" s="5"/>
      <c r="U18" s="5"/>
      <c r="V18" s="5"/>
      <c r="W18" s="5"/>
      <c r="X18" s="5"/>
      <c r="Y18" s="5"/>
    </row>
    <row r="19">
      <c r="A19" s="59" t="s">
        <v>44</v>
      </c>
      <c r="B19" s="3">
        <v>1.4050707E7</v>
      </c>
      <c r="C19" s="5">
        <v>3214.0</v>
      </c>
      <c r="D19" s="27" t="s">
        <v>83</v>
      </c>
      <c r="E19" s="28" t="s">
        <v>14</v>
      </c>
      <c r="F19" s="44"/>
      <c r="G19" s="47"/>
      <c r="H19" s="53"/>
      <c r="I19" s="39"/>
      <c r="J19" s="56"/>
      <c r="K19" s="45"/>
      <c r="L19" s="22">
        <v>46294.0</v>
      </c>
      <c r="M19" s="5"/>
      <c r="N19" s="5"/>
      <c r="P19" s="41"/>
      <c r="Q19" s="5"/>
      <c r="R19" s="5"/>
      <c r="S19" s="5"/>
      <c r="T19" s="5"/>
      <c r="U19" s="5"/>
      <c r="V19" s="5"/>
      <c r="W19" s="5"/>
      <c r="X19" s="5"/>
      <c r="Y19" s="5"/>
    </row>
    <row r="20">
      <c r="A20" s="59" t="s">
        <v>49</v>
      </c>
      <c r="B20" s="3">
        <v>1.4050708E7</v>
      </c>
      <c r="C20" s="5">
        <v>3220.0</v>
      </c>
      <c r="D20" s="27" t="s">
        <v>84</v>
      </c>
      <c r="E20" s="28" t="s">
        <v>14</v>
      </c>
      <c r="F20" s="44"/>
      <c r="G20" s="47"/>
      <c r="H20" s="53"/>
      <c r="I20" s="39"/>
      <c r="J20" s="56"/>
      <c r="K20" s="45"/>
      <c r="L20" s="22">
        <v>46295.0</v>
      </c>
      <c r="M20" s="5"/>
      <c r="N20" s="5"/>
      <c r="P20" s="41"/>
      <c r="Q20" s="5"/>
      <c r="R20" s="5"/>
      <c r="S20" s="5"/>
      <c r="T20" s="5"/>
      <c r="U20" s="5"/>
      <c r="V20" s="5"/>
      <c r="W20" s="5"/>
      <c r="X20" s="5"/>
      <c r="Y20" s="5"/>
    </row>
    <row r="21">
      <c r="A21" s="59" t="s">
        <v>60</v>
      </c>
      <c r="B21" s="3">
        <v>1.4050709E7</v>
      </c>
      <c r="C21" s="5">
        <v>3222.0</v>
      </c>
      <c r="D21" s="27" t="s">
        <v>85</v>
      </c>
      <c r="E21" s="28" t="s">
        <v>14</v>
      </c>
      <c r="F21" s="44"/>
      <c r="G21" s="47"/>
      <c r="H21" s="53"/>
      <c r="I21" s="39"/>
      <c r="J21" s="56"/>
      <c r="K21" s="45"/>
      <c r="L21" s="22">
        <v>46296.0</v>
      </c>
      <c r="M21" s="5"/>
      <c r="N21" s="5"/>
      <c r="P21" s="41"/>
      <c r="Q21" s="5"/>
      <c r="R21" s="5"/>
      <c r="S21" s="5"/>
      <c r="T21" s="5"/>
      <c r="U21" s="5"/>
      <c r="V21" s="5"/>
      <c r="W21" s="5"/>
      <c r="X21" s="5"/>
      <c r="Y21" s="5"/>
    </row>
    <row r="22">
      <c r="A22" s="59" t="s">
        <v>0</v>
      </c>
      <c r="B22" s="3">
        <v>1.405071E7</v>
      </c>
      <c r="C22" s="5">
        <v>3226.0</v>
      </c>
      <c r="D22" s="27" t="s">
        <v>86</v>
      </c>
      <c r="E22" s="28" t="s">
        <v>14</v>
      </c>
      <c r="F22" s="44"/>
      <c r="G22" s="47"/>
      <c r="H22" s="53"/>
      <c r="I22" s="39"/>
      <c r="J22" s="56"/>
      <c r="K22" s="45"/>
      <c r="L22" s="22">
        <v>46297.0</v>
      </c>
      <c r="M22" s="5"/>
      <c r="N22" s="5"/>
      <c r="P22" s="41"/>
      <c r="Q22" s="5"/>
      <c r="R22" s="5"/>
      <c r="S22" s="5"/>
      <c r="T22" s="5"/>
      <c r="U22" s="5"/>
      <c r="V22" s="5"/>
      <c r="W22" s="5"/>
      <c r="X22" s="5"/>
      <c r="Y22" s="5"/>
    </row>
    <row r="23">
      <c r="A23" s="59" t="s">
        <v>22</v>
      </c>
      <c r="B23" s="3">
        <v>1.4050711E7</v>
      </c>
      <c r="C23" s="5">
        <v>3238.0</v>
      </c>
      <c r="D23" s="27" t="s">
        <v>87</v>
      </c>
      <c r="E23" s="28" t="s">
        <v>14</v>
      </c>
      <c r="F23" s="44"/>
      <c r="G23" s="47"/>
      <c r="H23" s="53"/>
      <c r="I23" s="39"/>
      <c r="J23" s="56"/>
      <c r="K23" s="45"/>
      <c r="L23" s="22">
        <v>46298.0</v>
      </c>
      <c r="M23" s="5"/>
      <c r="N23" s="5"/>
      <c r="P23" s="41"/>
      <c r="Q23" s="5"/>
      <c r="R23" s="5"/>
      <c r="S23" s="5"/>
      <c r="T23" s="5"/>
      <c r="U23" s="5"/>
      <c r="V23" s="5"/>
      <c r="W23" s="5"/>
      <c r="X23" s="5"/>
      <c r="Y23" s="5"/>
    </row>
    <row r="24">
      <c r="A24" s="59" t="s">
        <v>29</v>
      </c>
      <c r="B24" s="3">
        <v>1.4050712E7</v>
      </c>
      <c r="C24" s="5">
        <v>3239.0</v>
      </c>
      <c r="D24" s="27" t="s">
        <v>88</v>
      </c>
      <c r="E24" s="28" t="s">
        <v>14</v>
      </c>
      <c r="F24" s="44"/>
      <c r="G24" s="47"/>
      <c r="H24" s="53"/>
      <c r="I24" s="39"/>
      <c r="J24" s="56"/>
      <c r="K24" s="45"/>
      <c r="L24" s="22">
        <v>46299.0</v>
      </c>
      <c r="M24" s="5"/>
      <c r="N24" s="5"/>
      <c r="P24" s="41"/>
      <c r="Q24" s="5"/>
      <c r="R24" s="5"/>
      <c r="S24" s="5"/>
      <c r="T24" s="5"/>
      <c r="U24" s="5"/>
      <c r="V24" s="5"/>
      <c r="W24" s="5"/>
      <c r="X24" s="5"/>
      <c r="Y24" s="5"/>
    </row>
    <row r="25">
      <c r="A25" s="59" t="s">
        <v>37</v>
      </c>
      <c r="B25" s="3">
        <v>1.4050713E7</v>
      </c>
      <c r="C25" s="5">
        <v>3241.0</v>
      </c>
      <c r="D25" s="27" t="s">
        <v>89</v>
      </c>
      <c r="E25" s="28" t="s">
        <v>14</v>
      </c>
      <c r="F25" s="44"/>
      <c r="G25" s="47"/>
      <c r="H25" s="53"/>
      <c r="I25" s="39"/>
      <c r="J25" s="56"/>
      <c r="K25" s="45"/>
      <c r="L25" s="22">
        <v>46300.0</v>
      </c>
      <c r="M25" s="5"/>
      <c r="N25" s="5"/>
      <c r="P25" s="41"/>
      <c r="Q25" s="5"/>
      <c r="R25" s="5"/>
      <c r="S25" s="5"/>
      <c r="T25" s="5"/>
      <c r="U25" s="5"/>
      <c r="V25" s="5"/>
      <c r="W25" s="5"/>
      <c r="X25" s="5"/>
      <c r="Y25" s="5"/>
    </row>
    <row r="26">
      <c r="A26" s="59" t="s">
        <v>44</v>
      </c>
      <c r="B26" s="3">
        <v>1.4050714E7</v>
      </c>
      <c r="C26" s="5">
        <v>3242.0</v>
      </c>
      <c r="D26" s="27" t="s">
        <v>90</v>
      </c>
      <c r="E26" s="28" t="s">
        <v>14</v>
      </c>
      <c r="F26" s="44"/>
      <c r="G26" s="47"/>
      <c r="H26" s="53"/>
      <c r="I26" s="39"/>
      <c r="J26" s="56"/>
      <c r="K26" s="45"/>
      <c r="L26" s="22">
        <v>46301.0</v>
      </c>
      <c r="M26" s="5"/>
      <c r="N26" s="5"/>
      <c r="P26" s="41"/>
      <c r="Q26" s="5"/>
      <c r="R26" s="5"/>
      <c r="S26" s="5"/>
      <c r="T26" s="5"/>
      <c r="U26" s="5"/>
      <c r="V26" s="5"/>
      <c r="W26" s="5"/>
      <c r="X26" s="5"/>
      <c r="Y26" s="5"/>
    </row>
    <row r="27">
      <c r="A27" s="59" t="s">
        <v>49</v>
      </c>
      <c r="B27" s="3">
        <v>1.4050715E7</v>
      </c>
      <c r="C27" s="5">
        <v>3244.0</v>
      </c>
      <c r="D27" s="27" t="s">
        <v>91</v>
      </c>
      <c r="E27" s="28" t="s">
        <v>14</v>
      </c>
      <c r="F27" s="44"/>
      <c r="G27" s="47"/>
      <c r="H27" s="53"/>
      <c r="I27" s="39"/>
      <c r="J27" s="56"/>
      <c r="K27" s="45"/>
      <c r="L27" s="22">
        <v>46302.0</v>
      </c>
      <c r="M27" s="5"/>
      <c r="N27" s="5"/>
      <c r="P27" s="41"/>
      <c r="Q27" s="5"/>
      <c r="R27" s="5"/>
      <c r="S27" s="5"/>
      <c r="T27" s="5"/>
      <c r="U27" s="5"/>
      <c r="V27" s="5"/>
      <c r="W27" s="5"/>
      <c r="X27" s="5"/>
      <c r="Y27" s="5"/>
    </row>
    <row r="28">
      <c r="A28" s="59" t="s">
        <v>60</v>
      </c>
      <c r="B28" s="3">
        <v>1.4050716E7</v>
      </c>
      <c r="C28" s="5">
        <v>3258.0</v>
      </c>
      <c r="D28" s="27" t="s">
        <v>92</v>
      </c>
      <c r="E28" s="28" t="s">
        <v>14</v>
      </c>
      <c r="F28" s="44"/>
      <c r="G28" s="47"/>
      <c r="H28" s="53"/>
      <c r="I28" s="39"/>
      <c r="J28" s="56"/>
      <c r="K28" s="45"/>
      <c r="L28" s="22">
        <v>46303.0</v>
      </c>
      <c r="M28" s="5"/>
      <c r="N28" s="5"/>
      <c r="P28" s="41"/>
      <c r="Q28" s="5"/>
      <c r="R28" s="5"/>
      <c r="S28" s="5"/>
      <c r="T28" s="5"/>
      <c r="U28" s="5"/>
      <c r="V28" s="5"/>
      <c r="W28" s="5"/>
      <c r="X28" s="5"/>
      <c r="Y28" s="5"/>
    </row>
    <row r="29">
      <c r="A29" s="59" t="s">
        <v>0</v>
      </c>
      <c r="B29" s="3">
        <v>1.4050717E7</v>
      </c>
      <c r="C29" s="5">
        <v>3259.0</v>
      </c>
      <c r="D29" s="27" t="s">
        <v>93</v>
      </c>
      <c r="E29" s="28" t="s">
        <v>14</v>
      </c>
      <c r="F29" s="44"/>
      <c r="G29" s="47"/>
      <c r="H29" s="53"/>
      <c r="I29" s="39"/>
      <c r="J29" s="56"/>
      <c r="K29" s="45"/>
      <c r="L29" s="22">
        <v>46304.0</v>
      </c>
      <c r="M29" s="5"/>
      <c r="N29" s="5"/>
      <c r="P29" s="41"/>
      <c r="Q29" s="5"/>
      <c r="R29" s="5"/>
      <c r="S29" s="5"/>
      <c r="T29" s="5"/>
      <c r="U29" s="5"/>
      <c r="V29" s="5"/>
      <c r="W29" s="5"/>
      <c r="X29" s="5"/>
      <c r="Y29" s="5"/>
    </row>
    <row r="30">
      <c r="A30" s="59" t="s">
        <v>22</v>
      </c>
      <c r="B30" s="3">
        <v>1.4050718E7</v>
      </c>
      <c r="C30" s="5">
        <v>3266.0</v>
      </c>
      <c r="D30" s="27" t="s">
        <v>94</v>
      </c>
      <c r="E30" s="28" t="s">
        <v>14</v>
      </c>
      <c r="F30" s="44"/>
      <c r="G30" s="47"/>
      <c r="H30" s="53"/>
      <c r="I30" s="39"/>
      <c r="J30" s="56"/>
      <c r="K30" s="45"/>
      <c r="L30" s="22">
        <v>46305.0</v>
      </c>
      <c r="M30" s="5"/>
      <c r="N30" s="5"/>
      <c r="P30" s="41"/>
      <c r="Q30" s="5"/>
      <c r="R30" s="5"/>
      <c r="S30" s="5"/>
      <c r="T30" s="5"/>
      <c r="U30" s="5"/>
      <c r="V30" s="5"/>
      <c r="W30" s="5"/>
      <c r="X30" s="5"/>
      <c r="Y30" s="5"/>
    </row>
    <row r="31">
      <c r="A31" s="59" t="s">
        <v>29</v>
      </c>
      <c r="B31" s="3">
        <v>1.4050719E7</v>
      </c>
      <c r="C31" s="5">
        <v>3268.0</v>
      </c>
      <c r="D31" s="27" t="s">
        <v>95</v>
      </c>
      <c r="E31" s="28" t="s">
        <v>14</v>
      </c>
      <c r="F31" s="44"/>
      <c r="G31" s="47"/>
      <c r="H31" s="53"/>
      <c r="I31" s="39"/>
      <c r="J31" s="56"/>
      <c r="K31" s="45"/>
      <c r="L31" s="22">
        <v>46306.0</v>
      </c>
      <c r="M31" s="5"/>
      <c r="N31" s="5"/>
      <c r="P31" s="41"/>
      <c r="Q31" s="5"/>
      <c r="R31" s="5"/>
      <c r="S31" s="5"/>
      <c r="T31" s="5"/>
      <c r="U31" s="5"/>
      <c r="V31" s="5"/>
      <c r="W31" s="5"/>
      <c r="X31" s="5"/>
      <c r="Y31" s="5"/>
    </row>
    <row r="32">
      <c r="A32" s="59" t="s">
        <v>37</v>
      </c>
      <c r="B32" s="3">
        <v>1.405072E7</v>
      </c>
      <c r="C32" s="5">
        <v>3274.0</v>
      </c>
      <c r="D32" s="27" t="s">
        <v>96</v>
      </c>
      <c r="E32" s="28" t="s">
        <v>14</v>
      </c>
      <c r="F32" s="44"/>
      <c r="G32" s="47"/>
      <c r="H32" s="53"/>
      <c r="I32" s="39"/>
      <c r="J32" s="56"/>
      <c r="K32" s="45"/>
      <c r="L32" s="22">
        <v>46307.0</v>
      </c>
      <c r="M32" s="5"/>
      <c r="N32" s="5"/>
      <c r="P32" s="41"/>
      <c r="Q32" s="5"/>
      <c r="R32" s="5"/>
      <c r="S32" s="5"/>
      <c r="T32" s="5"/>
      <c r="U32" s="5"/>
      <c r="V32" s="5"/>
      <c r="W32" s="5"/>
      <c r="X32" s="5"/>
      <c r="Y32" s="5"/>
    </row>
    <row r="33">
      <c r="A33" s="59" t="s">
        <v>44</v>
      </c>
      <c r="B33" s="3">
        <v>1.4050721E7</v>
      </c>
      <c r="C33" s="5">
        <v>3022.0</v>
      </c>
      <c r="D33" s="27" t="s">
        <v>97</v>
      </c>
      <c r="E33" s="28" t="s">
        <v>98</v>
      </c>
      <c r="F33" s="44"/>
      <c r="G33" s="47"/>
      <c r="H33" s="53"/>
      <c r="I33" s="39"/>
      <c r="J33" s="56"/>
      <c r="K33" s="45"/>
      <c r="L33" s="22">
        <v>46308.0</v>
      </c>
      <c r="M33" s="5"/>
      <c r="N33" s="5"/>
      <c r="P33" s="41"/>
      <c r="Q33" s="5"/>
      <c r="R33" s="5"/>
      <c r="S33" s="5"/>
      <c r="T33" s="5"/>
      <c r="U33" s="5"/>
      <c r="V33" s="5"/>
      <c r="W33" s="5"/>
      <c r="X33" s="5"/>
      <c r="Y33" s="5"/>
    </row>
    <row r="34">
      <c r="A34" s="59" t="s">
        <v>49</v>
      </c>
      <c r="B34" s="3">
        <v>1.4050722E7</v>
      </c>
      <c r="C34" s="5">
        <v>3246.0</v>
      </c>
      <c r="D34" s="27" t="s">
        <v>99</v>
      </c>
      <c r="E34" s="28" t="s">
        <v>98</v>
      </c>
      <c r="F34" s="44"/>
      <c r="G34" s="47"/>
      <c r="H34" s="53"/>
      <c r="I34" s="39"/>
      <c r="J34" s="56"/>
      <c r="K34" s="45"/>
      <c r="L34" s="5"/>
      <c r="M34" s="5"/>
      <c r="N34" s="5"/>
      <c r="P34" s="41"/>
      <c r="Q34" s="5"/>
      <c r="R34" s="5"/>
      <c r="S34" s="5"/>
      <c r="T34" s="5"/>
      <c r="U34" s="5"/>
      <c r="V34" s="5"/>
      <c r="W34" s="5"/>
      <c r="X34" s="5"/>
      <c r="Y34" s="5"/>
    </row>
    <row r="35">
      <c r="A35" s="59" t="s">
        <v>60</v>
      </c>
      <c r="B35" s="3">
        <v>1.4050723E7</v>
      </c>
      <c r="C35" s="5">
        <v>3249.0</v>
      </c>
      <c r="D35" s="27" t="s">
        <v>100</v>
      </c>
      <c r="E35" s="28" t="s">
        <v>98</v>
      </c>
      <c r="F35" s="44"/>
      <c r="G35" s="47"/>
      <c r="H35" s="53"/>
      <c r="I35" s="39"/>
      <c r="J35" s="56"/>
      <c r="K35" s="45"/>
      <c r="L35" s="5"/>
      <c r="M35" s="5"/>
      <c r="N35" s="5"/>
      <c r="P35" s="41"/>
      <c r="Q35" s="5"/>
      <c r="R35" s="5"/>
      <c r="S35" s="5"/>
      <c r="T35" s="5"/>
      <c r="U35" s="5"/>
      <c r="V35" s="5"/>
      <c r="W35" s="5"/>
      <c r="X35" s="5"/>
      <c r="Y35" s="5"/>
    </row>
    <row r="36">
      <c r="A36" s="59" t="s">
        <v>0</v>
      </c>
      <c r="B36" s="3">
        <v>1.4050724E7</v>
      </c>
      <c r="C36" s="5">
        <v>3065.0</v>
      </c>
      <c r="D36" s="27" t="s">
        <v>101</v>
      </c>
      <c r="E36" s="28" t="s">
        <v>98</v>
      </c>
      <c r="F36" s="44"/>
      <c r="G36" s="47"/>
      <c r="H36" s="53"/>
      <c r="I36" s="39"/>
      <c r="J36" s="56"/>
      <c r="K36" s="45"/>
      <c r="L36" s="5"/>
      <c r="M36" s="5"/>
      <c r="N36" s="5"/>
      <c r="P36" s="41"/>
      <c r="Q36" s="5"/>
      <c r="R36" s="5"/>
      <c r="S36" s="5"/>
      <c r="T36" s="5"/>
      <c r="U36" s="5"/>
      <c r="V36" s="5"/>
      <c r="W36" s="5"/>
      <c r="X36" s="5"/>
      <c r="Y36" s="5"/>
    </row>
    <row r="37">
      <c r="A37" s="59" t="s">
        <v>22</v>
      </c>
      <c r="B37" s="3">
        <v>1.4050725E7</v>
      </c>
      <c r="C37" s="5">
        <v>3265.0</v>
      </c>
      <c r="D37" s="27" t="s">
        <v>102</v>
      </c>
      <c r="E37" s="28" t="s">
        <v>98</v>
      </c>
      <c r="F37" s="44"/>
      <c r="G37" s="47"/>
      <c r="H37" s="53"/>
      <c r="I37" s="39"/>
      <c r="J37" s="56"/>
      <c r="K37" s="45"/>
      <c r="L37" s="5"/>
      <c r="M37" s="5"/>
      <c r="N37" s="5"/>
      <c r="P37" s="41"/>
      <c r="Q37" s="5"/>
      <c r="R37" s="5"/>
      <c r="S37" s="5"/>
      <c r="T37" s="5"/>
      <c r="U37" s="5"/>
      <c r="V37" s="5"/>
      <c r="W37" s="5"/>
      <c r="X37" s="5"/>
      <c r="Y37" s="5"/>
    </row>
    <row r="38">
      <c r="A38" s="59" t="s">
        <v>29</v>
      </c>
      <c r="B38" s="3">
        <v>1.4050726E7</v>
      </c>
      <c r="C38" s="5">
        <v>3172.0</v>
      </c>
      <c r="D38" s="27" t="s">
        <v>103</v>
      </c>
      <c r="E38" s="28" t="s">
        <v>98</v>
      </c>
      <c r="F38" s="44"/>
      <c r="G38" s="47"/>
      <c r="H38" s="53"/>
      <c r="I38" s="39"/>
      <c r="J38" s="56"/>
      <c r="K38" s="45"/>
      <c r="L38" s="5"/>
      <c r="M38" s="5"/>
      <c r="N38" s="5"/>
      <c r="P38" s="41"/>
      <c r="Q38" s="5"/>
      <c r="R38" s="5"/>
      <c r="S38" s="5"/>
      <c r="T38" s="5"/>
      <c r="U38" s="5"/>
      <c r="V38" s="5"/>
      <c r="W38" s="5"/>
      <c r="X38" s="5"/>
      <c r="Y38" s="5"/>
    </row>
    <row r="39">
      <c r="A39" s="59" t="s">
        <v>37</v>
      </c>
      <c r="B39" s="3">
        <v>1.4050727E7</v>
      </c>
      <c r="C39" s="5">
        <v>3173.0</v>
      </c>
      <c r="D39" s="27" t="s">
        <v>104</v>
      </c>
      <c r="E39" s="28" t="s">
        <v>98</v>
      </c>
      <c r="F39" s="44"/>
      <c r="G39" s="47"/>
      <c r="H39" s="53"/>
      <c r="I39" s="39"/>
      <c r="J39" s="56"/>
      <c r="K39" s="45"/>
      <c r="L39" s="5"/>
      <c r="M39" s="5"/>
      <c r="N39" s="5"/>
      <c r="P39" s="41"/>
      <c r="Q39" s="5"/>
      <c r="R39" s="5"/>
      <c r="S39" s="5"/>
      <c r="T39" s="5"/>
      <c r="U39" s="5"/>
      <c r="V39" s="5"/>
      <c r="W39" s="5"/>
      <c r="X39" s="5"/>
      <c r="Y39" s="5"/>
    </row>
    <row r="40">
      <c r="A40" s="59" t="s">
        <v>44</v>
      </c>
      <c r="B40" s="3">
        <v>1.4050728E7</v>
      </c>
      <c r="C40" s="5">
        <v>3248.0</v>
      </c>
      <c r="D40" s="27" t="s">
        <v>105</v>
      </c>
      <c r="E40" s="28" t="s">
        <v>98</v>
      </c>
      <c r="F40" s="44"/>
      <c r="G40" s="47"/>
      <c r="H40" s="53"/>
      <c r="I40" s="39"/>
      <c r="J40" s="56"/>
      <c r="K40" s="45"/>
      <c r="L40" s="5"/>
      <c r="M40" s="5"/>
      <c r="N40" s="5"/>
      <c r="P40" s="41"/>
      <c r="Q40" s="5"/>
      <c r="R40" s="5"/>
      <c r="S40" s="5"/>
      <c r="T40" s="5"/>
      <c r="U40" s="5"/>
      <c r="V40" s="5"/>
      <c r="W40" s="5"/>
      <c r="X40" s="5"/>
      <c r="Y40" s="5"/>
    </row>
    <row r="41">
      <c r="A41" s="59" t="s">
        <v>49</v>
      </c>
      <c r="B41" s="3">
        <v>1.4050729E7</v>
      </c>
      <c r="C41" s="5">
        <v>3245.0</v>
      </c>
      <c r="D41" s="27" t="s">
        <v>106</v>
      </c>
      <c r="E41" s="28" t="s">
        <v>98</v>
      </c>
      <c r="F41" s="44"/>
      <c r="G41" s="47"/>
      <c r="H41" s="53"/>
      <c r="I41" s="39"/>
      <c r="J41" s="56"/>
      <c r="K41" s="45"/>
      <c r="L41" s="5"/>
      <c r="M41" s="5"/>
      <c r="N41" s="5"/>
      <c r="P41" s="41"/>
      <c r="Q41" s="5"/>
      <c r="R41" s="5"/>
      <c r="S41" s="5"/>
      <c r="T41" s="5"/>
      <c r="U41" s="5"/>
      <c r="V41" s="5"/>
      <c r="W41" s="5"/>
      <c r="X41" s="5"/>
      <c r="Y41" s="5"/>
    </row>
    <row r="42">
      <c r="A42" s="59" t="s">
        <v>60</v>
      </c>
      <c r="B42" s="3">
        <v>1.405073E7</v>
      </c>
      <c r="C42" s="5">
        <v>3146.0</v>
      </c>
      <c r="D42" s="27" t="s">
        <v>107</v>
      </c>
      <c r="E42" s="28" t="s">
        <v>108</v>
      </c>
      <c r="F42" s="44"/>
      <c r="G42" s="47"/>
      <c r="H42" s="53"/>
      <c r="I42" s="39"/>
      <c r="J42" s="56"/>
      <c r="K42" s="45"/>
      <c r="L42" s="5"/>
      <c r="M42" s="5"/>
      <c r="N42" s="5"/>
      <c r="P42" s="41"/>
      <c r="Q42" s="5"/>
      <c r="R42" s="5"/>
      <c r="S42" s="5"/>
      <c r="T42" s="5"/>
      <c r="U42" s="5"/>
      <c r="V42" s="5"/>
      <c r="W42" s="5"/>
      <c r="X42" s="5"/>
      <c r="Y42" s="5"/>
    </row>
    <row r="43">
      <c r="A43" s="73"/>
      <c r="B43" s="74"/>
      <c r="C43" s="5">
        <v>3111.0</v>
      </c>
      <c r="D43" s="27" t="s">
        <v>109</v>
      </c>
      <c r="E43" s="28" t="s">
        <v>108</v>
      </c>
      <c r="F43" s="44"/>
      <c r="G43" s="47"/>
      <c r="H43" s="53"/>
      <c r="I43" s="39"/>
      <c r="J43" s="56"/>
      <c r="K43" s="45"/>
      <c r="L43" s="5"/>
      <c r="M43" s="5"/>
      <c r="N43" s="5"/>
      <c r="P43" s="41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74"/>
      <c r="C44" s="5">
        <v>3081.0</v>
      </c>
      <c r="D44" s="27" t="s">
        <v>110</v>
      </c>
      <c r="E44" s="28" t="s">
        <v>108</v>
      </c>
      <c r="F44" s="44"/>
      <c r="G44" s="47"/>
      <c r="H44" s="53"/>
      <c r="I44" s="39"/>
      <c r="J44" s="56"/>
      <c r="K44" s="45"/>
      <c r="L44" s="5"/>
      <c r="M44" s="5"/>
      <c r="N44" s="5"/>
      <c r="P44" s="41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74"/>
      <c r="C45" s="5">
        <v>3118.0</v>
      </c>
      <c r="D45" s="27" t="s">
        <v>111</v>
      </c>
      <c r="E45" s="28" t="s">
        <v>108</v>
      </c>
      <c r="F45" s="44"/>
      <c r="G45" s="47"/>
      <c r="H45" s="53"/>
      <c r="I45" s="39"/>
      <c r="J45" s="56"/>
      <c r="K45" s="4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74"/>
      <c r="C46" s="5">
        <v>3261.0</v>
      </c>
      <c r="D46" s="27" t="s">
        <v>112</v>
      </c>
      <c r="E46" s="28" t="s">
        <v>108</v>
      </c>
      <c r="F46" s="44"/>
      <c r="G46" s="47"/>
      <c r="H46" s="53"/>
      <c r="I46" s="39"/>
      <c r="J46" s="56"/>
      <c r="K46" s="4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74"/>
      <c r="C47" s="5">
        <v>3263.0</v>
      </c>
      <c r="D47" s="27" t="s">
        <v>113</v>
      </c>
      <c r="E47" s="28" t="s">
        <v>108</v>
      </c>
      <c r="F47" s="44"/>
      <c r="G47" s="47"/>
      <c r="H47" s="53"/>
      <c r="I47" s="39"/>
      <c r="J47" s="56"/>
      <c r="K47" s="4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B48" s="76"/>
      <c r="C48" s="5">
        <v>3264.0</v>
      </c>
      <c r="D48" s="27" t="s">
        <v>114</v>
      </c>
      <c r="E48" s="28" t="s">
        <v>108</v>
      </c>
      <c r="F48" s="44"/>
      <c r="G48" s="47"/>
      <c r="H48" s="53"/>
      <c r="I48" s="39"/>
      <c r="J48" s="56"/>
      <c r="K48" s="4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B49" s="76"/>
      <c r="C49" s="5">
        <v>3210.0</v>
      </c>
      <c r="D49" s="27" t="s">
        <v>115</v>
      </c>
      <c r="E49" s="28" t="s">
        <v>108</v>
      </c>
      <c r="F49" s="44"/>
      <c r="G49" s="47"/>
      <c r="H49" s="53"/>
      <c r="I49" s="39"/>
      <c r="J49" s="56"/>
      <c r="K49" s="4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B50" s="76"/>
      <c r="C50" s="5">
        <v>3155.0</v>
      </c>
      <c r="D50" s="27" t="s">
        <v>116</v>
      </c>
      <c r="E50" s="28" t="s">
        <v>108</v>
      </c>
      <c r="F50" s="44"/>
      <c r="G50" s="47"/>
      <c r="H50" s="53"/>
      <c r="I50" s="39"/>
      <c r="J50" s="56"/>
      <c r="K50" s="4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B51" s="76"/>
      <c r="C51" s="5">
        <v>3176.0</v>
      </c>
      <c r="D51" s="27" t="s">
        <v>117</v>
      </c>
      <c r="E51" s="28" t="s">
        <v>108</v>
      </c>
      <c r="F51" s="44"/>
      <c r="G51" s="47"/>
      <c r="H51" s="53"/>
      <c r="I51" s="39"/>
      <c r="J51" s="56"/>
      <c r="K51" s="4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B52" s="76"/>
      <c r="C52" s="5">
        <v>3067.0</v>
      </c>
      <c r="D52" s="27" t="s">
        <v>118</v>
      </c>
      <c r="E52" s="28" t="s">
        <v>108</v>
      </c>
      <c r="F52" s="44"/>
      <c r="G52" s="47"/>
      <c r="H52" s="53"/>
      <c r="I52" s="39"/>
      <c r="J52" s="56"/>
      <c r="K52" s="4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B53" s="76"/>
      <c r="C53" s="5">
        <v>3151.0</v>
      </c>
      <c r="D53" s="27" t="s">
        <v>119</v>
      </c>
      <c r="E53" s="28" t="s">
        <v>108</v>
      </c>
      <c r="F53" s="44"/>
      <c r="G53" s="47"/>
      <c r="H53" s="53"/>
      <c r="I53" s="39"/>
      <c r="J53" s="56"/>
      <c r="K53" s="4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B54" s="76"/>
      <c r="C54" s="5">
        <v>3125.0</v>
      </c>
      <c r="D54" s="27" t="s">
        <v>120</v>
      </c>
      <c r="E54" s="28" t="s">
        <v>108</v>
      </c>
      <c r="F54" s="44"/>
      <c r="G54" s="47"/>
      <c r="H54" s="53"/>
      <c r="I54" s="39"/>
      <c r="J54" s="56"/>
      <c r="K54" s="4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74"/>
      <c r="C55" s="5">
        <v>3128.0</v>
      </c>
      <c r="D55" s="27" t="s">
        <v>121</v>
      </c>
      <c r="E55" s="28" t="s">
        <v>108</v>
      </c>
      <c r="F55" s="44"/>
      <c r="G55" s="47"/>
      <c r="H55" s="53"/>
      <c r="I55" s="39"/>
      <c r="J55" s="56"/>
      <c r="K55" s="4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74"/>
      <c r="C56" s="5">
        <v>3069.0</v>
      </c>
      <c r="D56" s="27" t="s">
        <v>122</v>
      </c>
      <c r="E56" s="28" t="s">
        <v>108</v>
      </c>
      <c r="F56" s="44"/>
      <c r="G56" s="47"/>
      <c r="H56" s="53"/>
      <c r="I56" s="39"/>
      <c r="J56" s="56"/>
      <c r="K56" s="4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74"/>
      <c r="C57" s="5">
        <v>3079.0</v>
      </c>
      <c r="D57" s="27" t="s">
        <v>123</v>
      </c>
      <c r="E57" s="28" t="s">
        <v>108</v>
      </c>
      <c r="F57" s="44"/>
      <c r="G57" s="47"/>
      <c r="H57" s="53"/>
      <c r="I57" s="39"/>
      <c r="J57" s="56"/>
      <c r="K57" s="4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74"/>
      <c r="C58" s="5">
        <v>3194.0</v>
      </c>
      <c r="D58" s="27" t="s">
        <v>124</v>
      </c>
      <c r="E58" s="28" t="s">
        <v>108</v>
      </c>
      <c r="F58" s="44"/>
      <c r="G58" s="47"/>
      <c r="H58" s="53"/>
      <c r="I58" s="39"/>
      <c r="J58" s="56"/>
      <c r="K58" s="4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74"/>
      <c r="C59" s="5">
        <v>3103.0</v>
      </c>
      <c r="D59" s="27" t="s">
        <v>125</v>
      </c>
      <c r="E59" s="28" t="s">
        <v>108</v>
      </c>
      <c r="F59" s="44"/>
      <c r="G59" s="47"/>
      <c r="H59" s="53"/>
      <c r="I59" s="39"/>
      <c r="J59" s="56"/>
      <c r="K59" s="4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74"/>
      <c r="C60" s="5">
        <v>3122.0</v>
      </c>
      <c r="D60" s="27" t="s">
        <v>126</v>
      </c>
      <c r="E60" s="28" t="s">
        <v>108</v>
      </c>
      <c r="F60" s="44"/>
      <c r="G60" s="47"/>
      <c r="H60" s="53"/>
      <c r="I60" s="39"/>
      <c r="J60" s="56"/>
      <c r="K60" s="4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74"/>
      <c r="C61" s="5">
        <v>3225.0</v>
      </c>
      <c r="D61" s="27" t="s">
        <v>127</v>
      </c>
      <c r="E61" s="28" t="s">
        <v>108</v>
      </c>
      <c r="F61" s="44"/>
      <c r="G61" s="47"/>
      <c r="H61" s="53"/>
      <c r="I61" s="39"/>
      <c r="J61" s="56"/>
      <c r="K61" s="4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74"/>
      <c r="C62" s="5">
        <v>3106.0</v>
      </c>
      <c r="D62" s="27" t="s">
        <v>128</v>
      </c>
      <c r="E62" s="28" t="s">
        <v>108</v>
      </c>
      <c r="F62" s="44"/>
      <c r="G62" s="47"/>
      <c r="H62" s="53"/>
      <c r="I62" s="39"/>
      <c r="J62" s="56"/>
      <c r="K62" s="4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74"/>
      <c r="C63" s="5">
        <v>3276.0</v>
      </c>
      <c r="D63" s="27" t="s">
        <v>129</v>
      </c>
      <c r="E63" s="28" t="s">
        <v>108</v>
      </c>
      <c r="F63" s="44"/>
      <c r="G63" s="47"/>
      <c r="H63" s="53"/>
      <c r="I63" s="39"/>
      <c r="J63" s="56"/>
      <c r="K63" s="4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74"/>
      <c r="C64" s="5">
        <v>3275.0</v>
      </c>
      <c r="D64" s="27" t="s">
        <v>130</v>
      </c>
      <c r="E64" s="28" t="s">
        <v>108</v>
      </c>
      <c r="F64" s="44"/>
      <c r="G64" s="47"/>
      <c r="H64" s="53"/>
      <c r="I64" s="39"/>
      <c r="J64" s="56"/>
      <c r="K64" s="4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74"/>
      <c r="C65" s="5">
        <v>3139.0</v>
      </c>
      <c r="D65" s="27" t="s">
        <v>131</v>
      </c>
      <c r="E65" s="28" t="s">
        <v>132</v>
      </c>
      <c r="F65" s="44"/>
      <c r="G65" s="47"/>
      <c r="H65" s="53"/>
      <c r="I65" s="39"/>
      <c r="J65" s="56"/>
      <c r="K65" s="4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74"/>
      <c r="C66" s="5"/>
      <c r="D66" s="27"/>
      <c r="E66" s="34"/>
      <c r="F66" s="44"/>
      <c r="G66" s="47"/>
      <c r="H66" s="53"/>
      <c r="I66" s="39"/>
      <c r="J66" s="56"/>
      <c r="K66" s="4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74"/>
      <c r="C67" s="5"/>
      <c r="D67" s="27"/>
      <c r="E67" s="34"/>
      <c r="F67" s="44"/>
      <c r="G67" s="47"/>
      <c r="H67" s="53"/>
      <c r="I67" s="39"/>
      <c r="J67" s="56"/>
      <c r="K67" s="4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74"/>
      <c r="C68" s="5"/>
      <c r="D68" s="27"/>
      <c r="E68" s="34"/>
      <c r="F68" s="44"/>
      <c r="G68" s="47"/>
      <c r="H68" s="53"/>
      <c r="I68" s="39"/>
      <c r="J68" s="56"/>
      <c r="K68" s="4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74"/>
      <c r="C69" s="5"/>
      <c r="D69" s="27"/>
      <c r="E69" s="34"/>
      <c r="F69" s="44"/>
      <c r="G69" s="47"/>
      <c r="H69" s="53"/>
      <c r="I69" s="39"/>
      <c r="J69" s="56"/>
      <c r="K69" s="4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74"/>
      <c r="C70" s="5"/>
      <c r="D70" s="27"/>
      <c r="E70" s="34"/>
      <c r="F70" s="44"/>
      <c r="G70" s="47"/>
      <c r="H70" s="53"/>
      <c r="I70" s="39"/>
      <c r="J70" s="56"/>
      <c r="K70" s="4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74"/>
      <c r="C71" s="5"/>
      <c r="D71" s="27"/>
      <c r="E71" s="34"/>
      <c r="F71" s="44"/>
      <c r="G71" s="47"/>
      <c r="H71" s="53"/>
      <c r="I71" s="39"/>
      <c r="J71" s="56"/>
      <c r="K71" s="4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74"/>
      <c r="C72" s="5"/>
      <c r="D72" s="27"/>
      <c r="E72" s="34"/>
      <c r="F72" s="44"/>
      <c r="G72" s="47"/>
      <c r="H72" s="53"/>
      <c r="I72" s="39"/>
      <c r="J72" s="56"/>
      <c r="K72" s="4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74"/>
      <c r="C73" s="5"/>
      <c r="D73" s="27"/>
      <c r="E73" s="34"/>
      <c r="F73" s="44"/>
      <c r="G73" s="47"/>
      <c r="H73" s="53"/>
      <c r="I73" s="39"/>
      <c r="J73" s="56"/>
      <c r="K73" s="4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74"/>
      <c r="C74" s="5"/>
      <c r="D74" s="27"/>
      <c r="E74" s="34"/>
      <c r="F74" s="44"/>
      <c r="G74" s="47"/>
      <c r="H74" s="53"/>
      <c r="I74" s="39"/>
      <c r="J74" s="56"/>
      <c r="K74" s="4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74"/>
      <c r="C75" s="5"/>
      <c r="D75" s="27"/>
      <c r="E75" s="34"/>
      <c r="F75" s="44"/>
      <c r="G75" s="47"/>
      <c r="H75" s="53"/>
      <c r="I75" s="39"/>
      <c r="J75" s="56"/>
      <c r="K75" s="4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74"/>
      <c r="C76" s="5"/>
      <c r="D76" s="27"/>
      <c r="E76" s="34"/>
      <c r="F76" s="44"/>
      <c r="G76" s="47"/>
      <c r="H76" s="53"/>
      <c r="I76" s="39"/>
      <c r="J76" s="56"/>
      <c r="K76" s="4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74"/>
      <c r="C77" s="5"/>
      <c r="D77" s="27"/>
      <c r="E77" s="34"/>
      <c r="F77" s="44"/>
      <c r="G77" s="47"/>
      <c r="H77" s="53"/>
      <c r="I77" s="39"/>
      <c r="J77" s="56"/>
      <c r="K77" s="4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74"/>
      <c r="C78" s="5"/>
      <c r="D78" s="27"/>
      <c r="E78" s="34"/>
      <c r="F78" s="44"/>
      <c r="G78" s="47"/>
      <c r="H78" s="53"/>
      <c r="I78" s="39"/>
      <c r="J78" s="56"/>
      <c r="K78" s="4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74"/>
      <c r="C79" s="5"/>
      <c r="D79" s="27"/>
      <c r="E79" s="34"/>
      <c r="F79" s="44"/>
      <c r="G79" s="47"/>
      <c r="H79" s="53"/>
      <c r="I79" s="39"/>
      <c r="J79" s="56"/>
      <c r="K79" s="4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74"/>
      <c r="C80" s="5"/>
      <c r="D80" s="27"/>
      <c r="E80" s="34"/>
      <c r="F80" s="44"/>
      <c r="G80" s="47"/>
      <c r="H80" s="53"/>
      <c r="I80" s="39"/>
      <c r="J80" s="56"/>
      <c r="K80" s="4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74"/>
      <c r="C81" s="5"/>
      <c r="D81" s="27"/>
      <c r="E81" s="34"/>
      <c r="F81" s="44"/>
      <c r="G81" s="47"/>
      <c r="H81" s="53"/>
      <c r="I81" s="39"/>
      <c r="J81" s="56"/>
      <c r="K81" s="4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74"/>
      <c r="C82" s="5"/>
      <c r="D82" s="27"/>
      <c r="E82" s="34"/>
      <c r="F82" s="44"/>
      <c r="G82" s="47"/>
      <c r="H82" s="53"/>
      <c r="I82" s="39"/>
      <c r="J82" s="56"/>
      <c r="K82" s="4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74"/>
      <c r="C83" s="5"/>
      <c r="D83" s="27"/>
      <c r="E83" s="34"/>
      <c r="F83" s="44"/>
      <c r="G83" s="47"/>
      <c r="H83" s="53"/>
      <c r="I83" s="39"/>
      <c r="J83" s="56"/>
      <c r="K83" s="4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74"/>
      <c r="C84" s="5"/>
      <c r="D84" s="27"/>
      <c r="E84" s="34"/>
      <c r="F84" s="44"/>
      <c r="G84" s="47"/>
      <c r="H84" s="53"/>
      <c r="I84" s="39"/>
      <c r="J84" s="56"/>
      <c r="K84" s="4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74"/>
      <c r="C85" s="5"/>
      <c r="D85" s="27"/>
      <c r="E85" s="34"/>
      <c r="F85" s="44"/>
      <c r="G85" s="47"/>
      <c r="H85" s="53"/>
      <c r="I85" s="39"/>
      <c r="J85" s="56"/>
      <c r="K85" s="4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74"/>
      <c r="C86" s="5"/>
      <c r="D86" s="27"/>
      <c r="E86" s="34"/>
      <c r="F86" s="44"/>
      <c r="G86" s="47"/>
      <c r="H86" s="53"/>
      <c r="I86" s="39"/>
      <c r="J86" s="56"/>
      <c r="K86" s="4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74"/>
      <c r="C87" s="5"/>
      <c r="D87" s="27"/>
      <c r="E87" s="34"/>
      <c r="F87" s="44"/>
      <c r="G87" s="47"/>
      <c r="H87" s="53"/>
      <c r="I87" s="39"/>
      <c r="J87" s="56"/>
      <c r="K87" s="4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74"/>
      <c r="C88" s="5"/>
      <c r="D88" s="27"/>
      <c r="E88" s="34"/>
      <c r="F88" s="44"/>
      <c r="G88" s="47"/>
      <c r="H88" s="53"/>
      <c r="I88" s="39"/>
      <c r="J88" s="56"/>
      <c r="K88" s="4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74"/>
      <c r="C89" s="5"/>
      <c r="D89" s="27"/>
      <c r="E89" s="34"/>
      <c r="F89" s="44"/>
      <c r="G89" s="47"/>
      <c r="H89" s="53"/>
      <c r="I89" s="39"/>
      <c r="J89" s="56"/>
      <c r="K89" s="4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74"/>
      <c r="C90" s="5"/>
      <c r="D90" s="27"/>
      <c r="E90" s="34"/>
      <c r="F90" s="44"/>
      <c r="G90" s="47"/>
      <c r="H90" s="53"/>
      <c r="I90" s="39"/>
      <c r="J90" s="56"/>
      <c r="K90" s="4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74"/>
      <c r="C91" s="5"/>
      <c r="D91" s="27"/>
      <c r="E91" s="34"/>
      <c r="F91" s="44"/>
      <c r="G91" s="47"/>
      <c r="H91" s="53"/>
      <c r="I91" s="39"/>
      <c r="J91" s="56"/>
      <c r="K91" s="4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74"/>
      <c r="C92" s="5"/>
      <c r="D92" s="27"/>
      <c r="E92" s="34"/>
      <c r="F92" s="44"/>
      <c r="G92" s="47"/>
      <c r="H92" s="53"/>
      <c r="I92" s="39"/>
      <c r="J92" s="56"/>
      <c r="K92" s="4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74"/>
      <c r="C93" s="5"/>
      <c r="D93" s="27"/>
      <c r="E93" s="34"/>
      <c r="F93" s="44"/>
      <c r="G93" s="47"/>
      <c r="H93" s="53"/>
      <c r="I93" s="39"/>
      <c r="J93" s="56"/>
      <c r="K93" s="4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74"/>
      <c r="C94" s="5"/>
      <c r="D94" s="27"/>
      <c r="E94" s="34"/>
      <c r="F94" s="44"/>
      <c r="G94" s="47"/>
      <c r="H94" s="53"/>
      <c r="I94" s="39"/>
      <c r="J94" s="56"/>
      <c r="K94" s="4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74"/>
      <c r="C95" s="5"/>
      <c r="D95" s="27"/>
      <c r="E95" s="34"/>
      <c r="F95" s="44"/>
      <c r="G95" s="47"/>
      <c r="H95" s="53"/>
      <c r="I95" s="39"/>
      <c r="J95" s="56"/>
      <c r="K95" s="4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74"/>
      <c r="C96" s="5"/>
      <c r="D96" s="27"/>
      <c r="E96" s="34"/>
      <c r="F96" s="44"/>
      <c r="G96" s="47"/>
      <c r="H96" s="53"/>
      <c r="I96" s="39"/>
      <c r="J96" s="56"/>
      <c r="K96" s="4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74"/>
      <c r="C97" s="5"/>
      <c r="D97" s="27"/>
      <c r="E97" s="34"/>
      <c r="F97" s="44"/>
      <c r="G97" s="47"/>
      <c r="H97" s="53"/>
      <c r="I97" s="39"/>
      <c r="J97" s="56"/>
      <c r="K97" s="4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74"/>
      <c r="C98" s="5"/>
      <c r="D98" s="27"/>
      <c r="E98" s="34"/>
      <c r="F98" s="44"/>
      <c r="G98" s="47"/>
      <c r="H98" s="53"/>
      <c r="I98" s="39"/>
      <c r="J98" s="56"/>
      <c r="K98" s="4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74"/>
      <c r="C99" s="5"/>
      <c r="D99" s="27"/>
      <c r="E99" s="34"/>
      <c r="F99" s="44"/>
      <c r="G99" s="47"/>
      <c r="H99" s="53"/>
      <c r="I99" s="39"/>
      <c r="J99" s="56"/>
      <c r="K99" s="4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74"/>
      <c r="C100" s="5"/>
      <c r="D100" s="27"/>
      <c r="E100" s="34"/>
      <c r="F100" s="44"/>
      <c r="G100" s="47"/>
      <c r="H100" s="53"/>
      <c r="I100" s="39"/>
      <c r="J100" s="56"/>
      <c r="K100" s="4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74"/>
      <c r="C101" s="5"/>
      <c r="D101" s="27"/>
      <c r="E101" s="34"/>
      <c r="F101" s="44"/>
      <c r="G101" s="47"/>
      <c r="H101" s="53"/>
      <c r="I101" s="39"/>
      <c r="J101" s="56"/>
      <c r="K101" s="4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74"/>
      <c r="C102" s="5"/>
      <c r="D102" s="27"/>
      <c r="E102" s="34"/>
      <c r="F102" s="44"/>
      <c r="G102" s="47"/>
      <c r="H102" s="53"/>
      <c r="I102" s="39"/>
      <c r="J102" s="56"/>
      <c r="K102" s="4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74"/>
      <c r="C103" s="5"/>
      <c r="D103" s="27"/>
      <c r="E103" s="34"/>
      <c r="F103" s="44"/>
      <c r="G103" s="47"/>
      <c r="H103" s="53"/>
      <c r="I103" s="39"/>
      <c r="J103" s="56"/>
      <c r="K103" s="4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74"/>
      <c r="C104" s="5"/>
      <c r="D104" s="27"/>
      <c r="E104" s="34"/>
      <c r="F104" s="44"/>
      <c r="G104" s="47"/>
      <c r="H104" s="53"/>
      <c r="I104" s="39"/>
      <c r="J104" s="56"/>
      <c r="K104" s="4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74"/>
      <c r="C105" s="5"/>
      <c r="D105" s="27"/>
      <c r="E105" s="34"/>
      <c r="F105" s="44"/>
      <c r="G105" s="47"/>
      <c r="H105" s="53"/>
      <c r="I105" s="39"/>
      <c r="J105" s="56"/>
      <c r="K105" s="4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74"/>
      <c r="C106" s="5"/>
      <c r="D106" s="27"/>
      <c r="E106" s="34"/>
      <c r="F106" s="44"/>
      <c r="G106" s="47"/>
      <c r="H106" s="53"/>
      <c r="I106" s="39"/>
      <c r="J106" s="56"/>
      <c r="K106" s="4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74"/>
      <c r="C107" s="5"/>
      <c r="D107" s="27"/>
      <c r="E107" s="34"/>
      <c r="F107" s="44"/>
      <c r="G107" s="47"/>
      <c r="H107" s="53"/>
      <c r="I107" s="39"/>
      <c r="J107" s="56"/>
      <c r="K107" s="4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74"/>
      <c r="C108" s="5"/>
      <c r="D108" s="27"/>
      <c r="E108" s="34"/>
      <c r="F108" s="44"/>
      <c r="G108" s="47"/>
      <c r="H108" s="53"/>
      <c r="I108" s="39"/>
      <c r="J108" s="56"/>
      <c r="K108" s="4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74"/>
      <c r="C109" s="5"/>
      <c r="D109" s="27"/>
      <c r="E109" s="34"/>
      <c r="F109" s="44"/>
      <c r="G109" s="47"/>
      <c r="H109" s="53"/>
      <c r="I109" s="39"/>
      <c r="J109" s="56"/>
      <c r="K109" s="4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74"/>
      <c r="C110" s="5"/>
      <c r="D110" s="27"/>
      <c r="E110" s="34"/>
      <c r="F110" s="44"/>
      <c r="G110" s="47"/>
      <c r="H110" s="53"/>
      <c r="I110" s="39"/>
      <c r="J110" s="56"/>
      <c r="K110" s="4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74"/>
      <c r="C111" s="5"/>
      <c r="D111" s="27"/>
      <c r="E111" s="34"/>
      <c r="F111" s="44"/>
      <c r="G111" s="47"/>
      <c r="H111" s="53"/>
      <c r="I111" s="39"/>
      <c r="J111" s="56"/>
      <c r="K111" s="4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74"/>
      <c r="C112" s="5"/>
      <c r="D112" s="27"/>
      <c r="E112" s="34"/>
      <c r="F112" s="44"/>
      <c r="G112" s="47"/>
      <c r="H112" s="53"/>
      <c r="I112" s="39"/>
      <c r="J112" s="56"/>
      <c r="K112" s="4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74"/>
      <c r="C113" s="5"/>
      <c r="D113" s="27"/>
      <c r="E113" s="34"/>
      <c r="F113" s="44"/>
      <c r="G113" s="47"/>
      <c r="H113" s="53"/>
      <c r="I113" s="39"/>
      <c r="J113" s="56"/>
      <c r="K113" s="4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74"/>
      <c r="C114" s="5"/>
      <c r="D114" s="27"/>
      <c r="E114" s="34"/>
      <c r="F114" s="44"/>
      <c r="G114" s="47"/>
      <c r="H114" s="53"/>
      <c r="I114" s="39"/>
      <c r="J114" s="56"/>
      <c r="K114" s="4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74"/>
      <c r="C115" s="5"/>
      <c r="D115" s="27"/>
      <c r="E115" s="34"/>
      <c r="F115" s="44"/>
      <c r="G115" s="47"/>
      <c r="H115" s="53"/>
      <c r="I115" s="39"/>
      <c r="J115" s="56"/>
      <c r="K115" s="4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74"/>
      <c r="C116" s="5"/>
      <c r="D116" s="27"/>
      <c r="E116" s="34"/>
      <c r="F116" s="44"/>
      <c r="G116" s="47"/>
      <c r="H116" s="53"/>
      <c r="I116" s="39"/>
      <c r="J116" s="56"/>
      <c r="K116" s="4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74"/>
      <c r="C117" s="5"/>
      <c r="D117" s="27"/>
      <c r="E117" s="34"/>
      <c r="F117" s="44"/>
      <c r="G117" s="47"/>
      <c r="H117" s="53"/>
      <c r="I117" s="39"/>
      <c r="J117" s="56"/>
      <c r="K117" s="4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74"/>
      <c r="C118" s="5"/>
      <c r="D118" s="27"/>
      <c r="E118" s="34"/>
      <c r="F118" s="44"/>
      <c r="G118" s="47"/>
      <c r="H118" s="53"/>
      <c r="I118" s="39"/>
      <c r="J118" s="56"/>
      <c r="K118" s="4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74"/>
      <c r="C119" s="5"/>
      <c r="D119" s="27"/>
      <c r="E119" s="34"/>
      <c r="F119" s="44"/>
      <c r="G119" s="47"/>
      <c r="H119" s="53"/>
      <c r="I119" s="39"/>
      <c r="J119" s="56"/>
      <c r="K119" s="4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74"/>
      <c r="C120" s="5"/>
      <c r="D120" s="27"/>
      <c r="E120" s="34"/>
      <c r="F120" s="44"/>
      <c r="G120" s="47"/>
      <c r="H120" s="53"/>
      <c r="I120" s="39"/>
      <c r="J120" s="56"/>
      <c r="K120" s="4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74"/>
      <c r="C121" s="5"/>
      <c r="D121" s="27"/>
      <c r="E121" s="34"/>
      <c r="F121" s="44"/>
      <c r="G121" s="47"/>
      <c r="H121" s="53"/>
      <c r="I121" s="39"/>
      <c r="J121" s="56"/>
      <c r="K121" s="4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74"/>
      <c r="C122" s="5"/>
      <c r="D122" s="27"/>
      <c r="E122" s="34"/>
      <c r="F122" s="44"/>
      <c r="G122" s="47"/>
      <c r="H122" s="53"/>
      <c r="I122" s="39"/>
      <c r="J122" s="56"/>
      <c r="K122" s="4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74"/>
      <c r="C123" s="5"/>
      <c r="D123" s="27"/>
      <c r="E123" s="34"/>
      <c r="F123" s="44"/>
      <c r="G123" s="47"/>
      <c r="H123" s="53"/>
      <c r="I123" s="39"/>
      <c r="J123" s="56"/>
      <c r="K123" s="4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74"/>
      <c r="C124" s="5"/>
      <c r="D124" s="27"/>
      <c r="E124" s="34"/>
      <c r="F124" s="44"/>
      <c r="G124" s="47"/>
      <c r="H124" s="53"/>
      <c r="I124" s="39"/>
      <c r="J124" s="56"/>
      <c r="K124" s="4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74"/>
      <c r="C125" s="5"/>
      <c r="D125" s="27"/>
      <c r="E125" s="34"/>
      <c r="F125" s="44"/>
      <c r="G125" s="47"/>
      <c r="H125" s="53"/>
      <c r="I125" s="39"/>
      <c r="J125" s="56"/>
      <c r="K125" s="4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74"/>
      <c r="C126" s="5"/>
      <c r="D126" s="27"/>
      <c r="E126" s="34"/>
      <c r="F126" s="44"/>
      <c r="G126" s="47"/>
      <c r="H126" s="53"/>
      <c r="I126" s="39"/>
      <c r="J126" s="56"/>
      <c r="K126" s="4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74"/>
      <c r="C127" s="5"/>
      <c r="D127" s="27"/>
      <c r="E127" s="34"/>
      <c r="F127" s="44"/>
      <c r="G127" s="47"/>
      <c r="H127" s="53"/>
      <c r="I127" s="39"/>
      <c r="J127" s="56"/>
      <c r="K127" s="4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74"/>
      <c r="C128" s="5"/>
      <c r="D128" s="27"/>
      <c r="E128" s="34"/>
      <c r="F128" s="44"/>
      <c r="G128" s="47"/>
      <c r="H128" s="53"/>
      <c r="I128" s="39"/>
      <c r="J128" s="56"/>
      <c r="K128" s="4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74"/>
      <c r="C129" s="5"/>
      <c r="D129" s="27"/>
      <c r="E129" s="34"/>
      <c r="F129" s="44"/>
      <c r="G129" s="47"/>
      <c r="H129" s="53"/>
      <c r="I129" s="39"/>
      <c r="J129" s="56"/>
      <c r="K129" s="4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74"/>
      <c r="C130" s="5"/>
      <c r="D130" s="27"/>
      <c r="E130" s="34"/>
      <c r="F130" s="44"/>
      <c r="G130" s="47"/>
      <c r="H130" s="53"/>
      <c r="I130" s="39"/>
      <c r="J130" s="56"/>
      <c r="K130" s="4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74"/>
      <c r="C131" s="5"/>
      <c r="D131" s="27"/>
      <c r="E131" s="34"/>
      <c r="F131" s="44"/>
      <c r="G131" s="47"/>
      <c r="H131" s="53"/>
      <c r="I131" s="39"/>
      <c r="J131" s="56"/>
      <c r="K131" s="4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74"/>
      <c r="C132" s="5"/>
      <c r="D132" s="27"/>
      <c r="E132" s="34"/>
      <c r="F132" s="44"/>
      <c r="G132" s="47"/>
      <c r="H132" s="53"/>
      <c r="I132" s="39"/>
      <c r="J132" s="56"/>
      <c r="K132" s="4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74"/>
      <c r="C133" s="5"/>
      <c r="D133" s="27"/>
      <c r="E133" s="34"/>
      <c r="F133" s="44"/>
      <c r="G133" s="47"/>
      <c r="H133" s="53"/>
      <c r="I133" s="39"/>
      <c r="J133" s="56"/>
      <c r="K133" s="4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74"/>
      <c r="C134" s="5"/>
      <c r="D134" s="27"/>
      <c r="E134" s="34"/>
      <c r="F134" s="44"/>
      <c r="G134" s="47"/>
      <c r="H134" s="53"/>
      <c r="I134" s="39"/>
      <c r="J134" s="56"/>
      <c r="K134" s="4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74"/>
      <c r="C135" s="5"/>
      <c r="D135" s="27"/>
      <c r="E135" s="34"/>
      <c r="F135" s="44"/>
      <c r="G135" s="47"/>
      <c r="H135" s="53"/>
      <c r="I135" s="39"/>
      <c r="J135" s="56"/>
      <c r="K135" s="4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74"/>
      <c r="C136" s="5"/>
      <c r="D136" s="27"/>
      <c r="E136" s="34"/>
      <c r="F136" s="44"/>
      <c r="G136" s="47"/>
      <c r="H136" s="53"/>
      <c r="I136" s="39"/>
      <c r="J136" s="56"/>
      <c r="K136" s="4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74"/>
      <c r="C137" s="5"/>
      <c r="D137" s="27"/>
      <c r="E137" s="34"/>
      <c r="F137" s="44"/>
      <c r="G137" s="47"/>
      <c r="H137" s="53"/>
      <c r="I137" s="39"/>
      <c r="J137" s="56"/>
      <c r="K137" s="4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74"/>
      <c r="C138" s="5"/>
      <c r="D138" s="27"/>
      <c r="E138" s="34"/>
      <c r="F138" s="44"/>
      <c r="G138" s="47"/>
      <c r="H138" s="53"/>
      <c r="I138" s="39"/>
      <c r="J138" s="56"/>
      <c r="K138" s="4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74"/>
      <c r="C139" s="5"/>
      <c r="D139" s="27"/>
      <c r="E139" s="34"/>
      <c r="F139" s="44"/>
      <c r="G139" s="47"/>
      <c r="H139" s="53"/>
      <c r="I139" s="39"/>
      <c r="J139" s="56"/>
      <c r="K139" s="4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74"/>
      <c r="C140" s="5"/>
      <c r="D140" s="27"/>
      <c r="E140" s="34"/>
      <c r="F140" s="44"/>
      <c r="G140" s="47"/>
      <c r="H140" s="53"/>
      <c r="I140" s="39"/>
      <c r="J140" s="56"/>
      <c r="K140" s="4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74"/>
      <c r="C141" s="5"/>
      <c r="D141" s="27"/>
      <c r="E141" s="34"/>
      <c r="F141" s="44"/>
      <c r="G141" s="47"/>
      <c r="H141" s="53"/>
      <c r="I141" s="39"/>
      <c r="J141" s="56"/>
      <c r="K141" s="4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74"/>
      <c r="C142" s="5"/>
      <c r="D142" s="27"/>
      <c r="E142" s="34"/>
      <c r="F142" s="44"/>
      <c r="G142" s="47"/>
      <c r="H142" s="53"/>
      <c r="I142" s="39"/>
      <c r="J142" s="56"/>
      <c r="K142" s="4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74"/>
      <c r="C143" s="5"/>
      <c r="D143" s="27"/>
      <c r="E143" s="34"/>
      <c r="F143" s="44"/>
      <c r="G143" s="47"/>
      <c r="H143" s="53"/>
      <c r="I143" s="39"/>
      <c r="J143" s="56"/>
      <c r="K143" s="4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74"/>
      <c r="C144" s="5"/>
      <c r="D144" s="27"/>
      <c r="E144" s="34"/>
      <c r="F144" s="44"/>
      <c r="G144" s="47"/>
      <c r="H144" s="53"/>
      <c r="I144" s="39"/>
      <c r="J144" s="56"/>
      <c r="K144" s="4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74"/>
      <c r="C145" s="5"/>
      <c r="D145" s="27"/>
      <c r="E145" s="34"/>
      <c r="F145" s="44"/>
      <c r="G145" s="47"/>
      <c r="H145" s="53"/>
      <c r="I145" s="39"/>
      <c r="J145" s="56"/>
      <c r="K145" s="4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74"/>
      <c r="C146" s="5"/>
      <c r="D146" s="27"/>
      <c r="E146" s="34"/>
      <c r="F146" s="44"/>
      <c r="G146" s="47"/>
      <c r="H146" s="53"/>
      <c r="I146" s="39"/>
      <c r="J146" s="56"/>
      <c r="K146" s="4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74"/>
      <c r="C147" s="5"/>
      <c r="D147" s="27"/>
      <c r="E147" s="34"/>
      <c r="F147" s="44"/>
      <c r="G147" s="47"/>
      <c r="H147" s="53"/>
      <c r="I147" s="39"/>
      <c r="J147" s="56"/>
      <c r="K147" s="4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74"/>
      <c r="C148" s="5"/>
      <c r="D148" s="27"/>
      <c r="E148" s="34"/>
      <c r="F148" s="44"/>
      <c r="G148" s="47"/>
      <c r="H148" s="53"/>
      <c r="I148" s="39"/>
      <c r="J148" s="56"/>
      <c r="K148" s="4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74"/>
      <c r="C149" s="5"/>
      <c r="D149" s="27"/>
      <c r="E149" s="34"/>
      <c r="F149" s="44"/>
      <c r="G149" s="47"/>
      <c r="H149" s="53"/>
      <c r="I149" s="39"/>
      <c r="J149" s="56"/>
      <c r="K149" s="4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74"/>
      <c r="C150" s="5"/>
      <c r="D150" s="27"/>
      <c r="E150" s="34"/>
      <c r="F150" s="44"/>
      <c r="G150" s="47"/>
      <c r="H150" s="53"/>
      <c r="I150" s="39"/>
      <c r="J150" s="56"/>
      <c r="K150" s="4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74"/>
      <c r="C151" s="5"/>
      <c r="D151" s="27"/>
      <c r="E151" s="34"/>
      <c r="F151" s="44"/>
      <c r="G151" s="47"/>
      <c r="H151" s="53"/>
      <c r="I151" s="39"/>
      <c r="J151" s="56"/>
      <c r="K151" s="4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74"/>
      <c r="C152" s="5"/>
      <c r="D152" s="27"/>
      <c r="E152" s="34"/>
      <c r="F152" s="44"/>
      <c r="G152" s="47"/>
      <c r="H152" s="53"/>
      <c r="I152" s="39"/>
      <c r="J152" s="56"/>
      <c r="K152" s="4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74"/>
      <c r="C153" s="5"/>
      <c r="D153" s="27"/>
      <c r="E153" s="34"/>
      <c r="F153" s="44"/>
      <c r="G153" s="47"/>
      <c r="H153" s="53"/>
      <c r="I153" s="39"/>
      <c r="J153" s="56"/>
      <c r="K153" s="4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74"/>
      <c r="C154" s="5"/>
      <c r="D154" s="27"/>
      <c r="E154" s="34"/>
      <c r="F154" s="44"/>
      <c r="G154" s="47"/>
      <c r="H154" s="53"/>
      <c r="I154" s="39"/>
      <c r="J154" s="56"/>
      <c r="K154" s="4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74"/>
      <c r="C155" s="5"/>
      <c r="D155" s="27"/>
      <c r="E155" s="34"/>
      <c r="F155" s="44"/>
      <c r="G155" s="47"/>
      <c r="H155" s="53"/>
      <c r="I155" s="39"/>
      <c r="J155" s="56"/>
      <c r="K155" s="4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74"/>
      <c r="C156" s="5"/>
      <c r="D156" s="27"/>
      <c r="E156" s="34"/>
      <c r="F156" s="44"/>
      <c r="G156" s="47"/>
      <c r="H156" s="53"/>
      <c r="I156" s="39"/>
      <c r="J156" s="56"/>
      <c r="K156" s="4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74"/>
      <c r="C157" s="5"/>
      <c r="D157" s="27"/>
      <c r="E157" s="34"/>
      <c r="F157" s="44"/>
      <c r="G157" s="47"/>
      <c r="H157" s="53"/>
      <c r="I157" s="39"/>
      <c r="J157" s="56"/>
      <c r="K157" s="4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74"/>
      <c r="C158" s="5"/>
      <c r="D158" s="27"/>
      <c r="E158" s="34"/>
      <c r="F158" s="44"/>
      <c r="G158" s="47"/>
      <c r="H158" s="53"/>
      <c r="I158" s="39"/>
      <c r="J158" s="56"/>
      <c r="K158" s="4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74"/>
      <c r="C159" s="5"/>
      <c r="D159" s="27"/>
      <c r="E159" s="34"/>
      <c r="F159" s="44"/>
      <c r="G159" s="47"/>
      <c r="H159" s="53"/>
      <c r="I159" s="39"/>
      <c r="J159" s="56"/>
      <c r="K159" s="4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74"/>
      <c r="C160" s="5"/>
      <c r="D160" s="27"/>
      <c r="E160" s="34"/>
      <c r="F160" s="44"/>
      <c r="G160" s="47"/>
      <c r="H160" s="53"/>
      <c r="I160" s="39"/>
      <c r="J160" s="56"/>
      <c r="K160" s="4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74"/>
      <c r="C161" s="5"/>
      <c r="D161" s="27"/>
      <c r="E161" s="34"/>
      <c r="F161" s="44"/>
      <c r="G161" s="47"/>
      <c r="H161" s="53"/>
      <c r="I161" s="39"/>
      <c r="J161" s="56"/>
      <c r="K161" s="4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74"/>
      <c r="C162" s="5"/>
      <c r="D162" s="27"/>
      <c r="E162" s="34"/>
      <c r="F162" s="44"/>
      <c r="G162" s="47"/>
      <c r="H162" s="53"/>
      <c r="I162" s="39"/>
      <c r="J162" s="56"/>
      <c r="K162" s="4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74"/>
      <c r="C163" s="5"/>
      <c r="D163" s="27"/>
      <c r="E163" s="34"/>
      <c r="F163" s="44"/>
      <c r="G163" s="47"/>
      <c r="H163" s="53"/>
      <c r="I163" s="39"/>
      <c r="J163" s="56"/>
      <c r="K163" s="4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74"/>
      <c r="C164" s="5"/>
      <c r="D164" s="27"/>
      <c r="E164" s="34"/>
      <c r="F164" s="44"/>
      <c r="G164" s="47"/>
      <c r="H164" s="53"/>
      <c r="I164" s="39"/>
      <c r="J164" s="56"/>
      <c r="K164" s="4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74"/>
      <c r="C165" s="5"/>
      <c r="D165" s="27"/>
      <c r="E165" s="34"/>
      <c r="F165" s="44"/>
      <c r="G165" s="47"/>
      <c r="H165" s="53"/>
      <c r="I165" s="39"/>
      <c r="J165" s="56"/>
      <c r="K165" s="4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74"/>
      <c r="C166" s="5"/>
      <c r="D166" s="27"/>
      <c r="E166" s="34"/>
      <c r="F166" s="44"/>
      <c r="G166" s="47"/>
      <c r="H166" s="53"/>
      <c r="I166" s="39"/>
      <c r="J166" s="56"/>
      <c r="K166" s="4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74"/>
      <c r="C167" s="5"/>
      <c r="D167" s="27"/>
      <c r="E167" s="34"/>
      <c r="F167" s="44"/>
      <c r="G167" s="47"/>
      <c r="H167" s="53"/>
      <c r="I167" s="39"/>
      <c r="J167" s="56"/>
      <c r="K167" s="4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74"/>
      <c r="C168" s="5"/>
      <c r="D168" s="27"/>
      <c r="E168" s="34"/>
      <c r="F168" s="44"/>
      <c r="G168" s="47"/>
      <c r="H168" s="53"/>
      <c r="I168" s="39"/>
      <c r="J168" s="56"/>
      <c r="K168" s="4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74"/>
      <c r="C169" s="5"/>
      <c r="D169" s="27"/>
      <c r="E169" s="34"/>
      <c r="F169" s="44"/>
      <c r="G169" s="47"/>
      <c r="H169" s="53"/>
      <c r="I169" s="39"/>
      <c r="J169" s="56"/>
      <c r="K169" s="4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74"/>
      <c r="C170" s="5"/>
      <c r="D170" s="27"/>
      <c r="E170" s="34"/>
      <c r="F170" s="44"/>
      <c r="G170" s="47"/>
      <c r="H170" s="53"/>
      <c r="I170" s="39"/>
      <c r="J170" s="56"/>
      <c r="K170" s="4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74"/>
      <c r="C171" s="5"/>
      <c r="D171" s="27"/>
      <c r="E171" s="34"/>
      <c r="F171" s="44"/>
      <c r="G171" s="47"/>
      <c r="H171" s="53"/>
      <c r="I171" s="39"/>
      <c r="J171" s="56"/>
      <c r="K171" s="4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74"/>
      <c r="C172" s="5"/>
      <c r="D172" s="27"/>
      <c r="E172" s="34"/>
      <c r="F172" s="44"/>
      <c r="G172" s="47"/>
      <c r="H172" s="53"/>
      <c r="I172" s="39"/>
      <c r="J172" s="56"/>
      <c r="K172" s="4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74"/>
      <c r="C173" s="5"/>
      <c r="D173" s="27"/>
      <c r="E173" s="34"/>
      <c r="F173" s="44"/>
      <c r="G173" s="47"/>
      <c r="H173" s="53"/>
      <c r="I173" s="39"/>
      <c r="J173" s="56"/>
      <c r="K173" s="4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74"/>
      <c r="C174" s="5"/>
      <c r="D174" s="27"/>
      <c r="E174" s="34"/>
      <c r="F174" s="44"/>
      <c r="G174" s="47"/>
      <c r="H174" s="53"/>
      <c r="I174" s="39"/>
      <c r="J174" s="56"/>
      <c r="K174" s="4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74"/>
      <c r="C175" s="5"/>
      <c r="D175" s="27"/>
      <c r="E175" s="34"/>
      <c r="F175" s="44"/>
      <c r="G175" s="47"/>
      <c r="H175" s="53"/>
      <c r="I175" s="39"/>
      <c r="J175" s="56"/>
      <c r="K175" s="4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74"/>
      <c r="C176" s="5"/>
      <c r="D176" s="27"/>
      <c r="E176" s="34"/>
      <c r="F176" s="44"/>
      <c r="G176" s="47"/>
      <c r="H176" s="53"/>
      <c r="I176" s="39"/>
      <c r="J176" s="56"/>
      <c r="K176" s="4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74"/>
      <c r="C177" s="5"/>
      <c r="D177" s="27"/>
      <c r="E177" s="34"/>
      <c r="F177" s="44"/>
      <c r="G177" s="47"/>
      <c r="H177" s="53"/>
      <c r="I177" s="39"/>
      <c r="J177" s="56"/>
      <c r="K177" s="4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74"/>
      <c r="C178" s="5"/>
      <c r="D178" s="27"/>
      <c r="E178" s="34"/>
      <c r="F178" s="44"/>
      <c r="G178" s="47"/>
      <c r="H178" s="53"/>
      <c r="I178" s="39"/>
      <c r="J178" s="56"/>
      <c r="K178" s="4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74"/>
      <c r="C179" s="5"/>
      <c r="D179" s="27"/>
      <c r="E179" s="34"/>
      <c r="F179" s="44"/>
      <c r="G179" s="47"/>
      <c r="H179" s="53"/>
      <c r="I179" s="39"/>
      <c r="J179" s="56"/>
      <c r="K179" s="4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74"/>
      <c r="C180" s="5"/>
      <c r="D180" s="27"/>
      <c r="E180" s="34"/>
      <c r="F180" s="44"/>
      <c r="G180" s="47"/>
      <c r="H180" s="53"/>
      <c r="I180" s="39"/>
      <c r="J180" s="56"/>
      <c r="K180" s="4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74"/>
      <c r="C181" s="5"/>
      <c r="D181" s="27"/>
      <c r="E181" s="34"/>
      <c r="F181" s="44"/>
      <c r="G181" s="47"/>
      <c r="H181" s="53"/>
      <c r="I181" s="39"/>
      <c r="J181" s="56"/>
      <c r="K181" s="4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74"/>
      <c r="C182" s="5"/>
      <c r="D182" s="27"/>
      <c r="E182" s="34"/>
      <c r="F182" s="44"/>
      <c r="G182" s="47"/>
      <c r="H182" s="53"/>
      <c r="I182" s="39"/>
      <c r="J182" s="56"/>
      <c r="K182" s="4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74"/>
      <c r="C183" s="5"/>
      <c r="D183" s="27"/>
      <c r="E183" s="34"/>
      <c r="F183" s="44"/>
      <c r="G183" s="47"/>
      <c r="H183" s="53"/>
      <c r="I183" s="39"/>
      <c r="J183" s="56"/>
      <c r="K183" s="4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74"/>
      <c r="C184" s="5"/>
      <c r="D184" s="27"/>
      <c r="E184" s="34"/>
      <c r="F184" s="44"/>
      <c r="G184" s="47"/>
      <c r="H184" s="53"/>
      <c r="I184" s="39"/>
      <c r="J184" s="56"/>
      <c r="K184" s="4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74"/>
      <c r="C185" s="5"/>
      <c r="D185" s="27"/>
      <c r="E185" s="34"/>
      <c r="F185" s="44"/>
      <c r="G185" s="47"/>
      <c r="H185" s="53"/>
      <c r="I185" s="39"/>
      <c r="J185" s="56"/>
      <c r="K185" s="4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74"/>
      <c r="C186" s="5"/>
      <c r="D186" s="27"/>
      <c r="E186" s="34"/>
      <c r="F186" s="44"/>
      <c r="G186" s="47"/>
      <c r="H186" s="53"/>
      <c r="I186" s="39"/>
      <c r="J186" s="56"/>
      <c r="K186" s="4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74"/>
      <c r="C187" s="5"/>
      <c r="D187" s="27"/>
      <c r="E187" s="34"/>
      <c r="F187" s="44"/>
      <c r="G187" s="47"/>
      <c r="H187" s="53"/>
      <c r="I187" s="39"/>
      <c r="J187" s="56"/>
      <c r="K187" s="4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74"/>
      <c r="C188" s="5"/>
      <c r="D188" s="27"/>
      <c r="E188" s="34"/>
      <c r="F188" s="44"/>
      <c r="G188" s="47"/>
      <c r="H188" s="53"/>
      <c r="I188" s="39"/>
      <c r="J188" s="56"/>
      <c r="K188" s="4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74"/>
      <c r="C189" s="5"/>
      <c r="D189" s="27"/>
      <c r="E189" s="34"/>
      <c r="F189" s="44"/>
      <c r="G189" s="47"/>
      <c r="H189" s="53"/>
      <c r="I189" s="39"/>
      <c r="J189" s="56"/>
      <c r="K189" s="4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74"/>
      <c r="C190" s="5"/>
      <c r="D190" s="27"/>
      <c r="E190" s="34"/>
      <c r="F190" s="44"/>
      <c r="G190" s="47"/>
      <c r="H190" s="53"/>
      <c r="I190" s="39"/>
      <c r="J190" s="56"/>
      <c r="K190" s="4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74"/>
      <c r="C191" s="5"/>
      <c r="D191" s="27"/>
      <c r="E191" s="34"/>
      <c r="F191" s="44"/>
      <c r="G191" s="47"/>
      <c r="H191" s="53"/>
      <c r="I191" s="39"/>
      <c r="J191" s="56"/>
      <c r="K191" s="4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74"/>
      <c r="C192" s="5"/>
      <c r="D192" s="27"/>
      <c r="E192" s="34"/>
      <c r="F192" s="44"/>
      <c r="G192" s="47"/>
      <c r="H192" s="53"/>
      <c r="I192" s="39"/>
      <c r="J192" s="56"/>
      <c r="K192" s="4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74"/>
      <c r="C193" s="5"/>
      <c r="D193" s="27"/>
      <c r="E193" s="34"/>
      <c r="F193" s="44"/>
      <c r="G193" s="47"/>
      <c r="H193" s="53"/>
      <c r="I193" s="39"/>
      <c r="J193" s="56"/>
      <c r="K193" s="4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74"/>
      <c r="C194" s="5"/>
      <c r="D194" s="27"/>
      <c r="E194" s="34"/>
      <c r="F194" s="44"/>
      <c r="G194" s="47"/>
      <c r="H194" s="53"/>
      <c r="I194" s="39"/>
      <c r="J194" s="56"/>
      <c r="K194" s="4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74"/>
      <c r="C195" s="5"/>
      <c r="D195" s="27"/>
      <c r="E195" s="34"/>
      <c r="F195" s="44"/>
      <c r="G195" s="47"/>
      <c r="H195" s="53"/>
      <c r="I195" s="39"/>
      <c r="J195" s="56"/>
      <c r="K195" s="4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74"/>
      <c r="C196" s="5"/>
      <c r="D196" s="27"/>
      <c r="E196" s="34"/>
      <c r="F196" s="44"/>
      <c r="G196" s="47"/>
      <c r="H196" s="53"/>
      <c r="I196" s="39"/>
      <c r="J196" s="56"/>
      <c r="K196" s="4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74"/>
      <c r="C197" s="5"/>
      <c r="D197" s="27"/>
      <c r="E197" s="34"/>
      <c r="F197" s="44"/>
      <c r="G197" s="47"/>
      <c r="H197" s="53"/>
      <c r="I197" s="39"/>
      <c r="J197" s="56"/>
      <c r="K197" s="4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74"/>
      <c r="C198" s="5"/>
      <c r="D198" s="27"/>
      <c r="E198" s="34"/>
      <c r="F198" s="44"/>
      <c r="G198" s="47"/>
      <c r="H198" s="53"/>
      <c r="I198" s="39"/>
      <c r="J198" s="56"/>
      <c r="K198" s="4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74"/>
      <c r="C199" s="5"/>
      <c r="D199" s="27"/>
      <c r="E199" s="34"/>
      <c r="F199" s="44"/>
      <c r="G199" s="47"/>
      <c r="H199" s="53"/>
      <c r="I199" s="39"/>
      <c r="J199" s="56"/>
      <c r="K199" s="4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74"/>
      <c r="C200" s="5"/>
      <c r="D200" s="27"/>
      <c r="E200" s="34"/>
      <c r="F200" s="44"/>
      <c r="G200" s="47"/>
      <c r="H200" s="53"/>
      <c r="I200" s="39"/>
      <c r="J200" s="56"/>
      <c r="K200" s="4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74"/>
      <c r="C201" s="5"/>
      <c r="D201" s="27"/>
      <c r="E201" s="34"/>
      <c r="F201" s="44"/>
      <c r="G201" s="47"/>
      <c r="H201" s="53"/>
      <c r="I201" s="39"/>
      <c r="J201" s="56"/>
      <c r="K201" s="4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74"/>
      <c r="C202" s="5"/>
      <c r="D202" s="27"/>
      <c r="E202" s="34"/>
      <c r="F202" s="44"/>
      <c r="G202" s="47"/>
      <c r="H202" s="53"/>
      <c r="I202" s="39"/>
      <c r="J202" s="56"/>
      <c r="K202" s="4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74"/>
      <c r="C203" s="5"/>
      <c r="D203" s="27"/>
      <c r="E203" s="34"/>
      <c r="F203" s="44"/>
      <c r="G203" s="47"/>
      <c r="H203" s="53"/>
      <c r="I203" s="39"/>
      <c r="J203" s="56"/>
      <c r="K203" s="4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74"/>
      <c r="C204" s="5"/>
      <c r="D204" s="27"/>
      <c r="E204" s="34"/>
      <c r="F204" s="44"/>
      <c r="G204" s="47"/>
      <c r="H204" s="53"/>
      <c r="I204" s="39"/>
      <c r="J204" s="56"/>
      <c r="K204" s="4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74"/>
      <c r="C205" s="5"/>
      <c r="D205" s="27"/>
      <c r="E205" s="34"/>
      <c r="F205" s="44"/>
      <c r="G205" s="47"/>
      <c r="H205" s="53"/>
      <c r="I205" s="39"/>
      <c r="J205" s="56"/>
      <c r="K205" s="4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74"/>
      <c r="C206" s="5"/>
      <c r="D206" s="27"/>
      <c r="E206" s="34"/>
      <c r="F206" s="44"/>
      <c r="G206" s="47"/>
      <c r="H206" s="53"/>
      <c r="I206" s="39"/>
      <c r="J206" s="56"/>
      <c r="K206" s="4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74"/>
      <c r="C207" s="5"/>
      <c r="D207" s="27"/>
      <c r="E207" s="34"/>
      <c r="F207" s="44"/>
      <c r="G207" s="47"/>
      <c r="H207" s="53"/>
      <c r="I207" s="39"/>
      <c r="J207" s="56"/>
      <c r="K207" s="4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74"/>
      <c r="C208" s="5"/>
      <c r="D208" s="27"/>
      <c r="E208" s="34"/>
      <c r="F208" s="44"/>
      <c r="G208" s="47"/>
      <c r="H208" s="53"/>
      <c r="I208" s="39"/>
      <c r="J208" s="56"/>
      <c r="K208" s="4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74"/>
      <c r="C209" s="5"/>
      <c r="D209" s="27"/>
      <c r="E209" s="34"/>
      <c r="F209" s="44"/>
      <c r="G209" s="47"/>
      <c r="H209" s="53"/>
      <c r="I209" s="39"/>
      <c r="J209" s="56"/>
      <c r="K209" s="4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74"/>
      <c r="C210" s="5"/>
      <c r="D210" s="27"/>
      <c r="E210" s="34"/>
      <c r="F210" s="44"/>
      <c r="G210" s="47"/>
      <c r="H210" s="53"/>
      <c r="I210" s="39"/>
      <c r="J210" s="56"/>
      <c r="K210" s="4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74"/>
      <c r="C211" s="5"/>
      <c r="D211" s="27"/>
      <c r="E211" s="34"/>
      <c r="F211" s="44"/>
      <c r="G211" s="47"/>
      <c r="H211" s="53"/>
      <c r="I211" s="39"/>
      <c r="J211" s="56"/>
      <c r="K211" s="4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74"/>
      <c r="C212" s="5"/>
      <c r="D212" s="27"/>
      <c r="E212" s="34"/>
      <c r="F212" s="44"/>
      <c r="G212" s="47"/>
      <c r="H212" s="53"/>
      <c r="I212" s="39"/>
      <c r="J212" s="56"/>
      <c r="K212" s="4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74"/>
      <c r="C213" s="5"/>
      <c r="D213" s="27"/>
      <c r="E213" s="34"/>
      <c r="F213" s="44"/>
      <c r="G213" s="47"/>
      <c r="H213" s="53"/>
      <c r="I213" s="39"/>
      <c r="J213" s="56"/>
      <c r="K213" s="4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74"/>
      <c r="C214" s="5"/>
      <c r="D214" s="27"/>
      <c r="E214" s="34"/>
      <c r="F214" s="44"/>
      <c r="G214" s="47"/>
      <c r="H214" s="53"/>
      <c r="I214" s="39"/>
      <c r="J214" s="56"/>
      <c r="K214" s="4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74"/>
      <c r="C215" s="5"/>
      <c r="D215" s="27"/>
      <c r="E215" s="34"/>
      <c r="F215" s="44"/>
      <c r="G215" s="47"/>
      <c r="H215" s="53"/>
      <c r="I215" s="39"/>
      <c r="J215" s="56"/>
      <c r="K215" s="4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74"/>
      <c r="C216" s="5"/>
      <c r="D216" s="27"/>
      <c r="E216" s="34"/>
      <c r="F216" s="44"/>
      <c r="G216" s="47"/>
      <c r="H216" s="53"/>
      <c r="I216" s="39"/>
      <c r="J216" s="56"/>
      <c r="K216" s="4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74"/>
      <c r="C217" s="5"/>
      <c r="D217" s="27"/>
      <c r="E217" s="34"/>
      <c r="F217" s="44"/>
      <c r="G217" s="47"/>
      <c r="H217" s="53"/>
      <c r="I217" s="39"/>
      <c r="J217" s="56"/>
      <c r="K217" s="4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74"/>
      <c r="C218" s="5"/>
      <c r="D218" s="27"/>
      <c r="E218" s="34"/>
      <c r="F218" s="44"/>
      <c r="G218" s="47"/>
      <c r="H218" s="53"/>
      <c r="I218" s="39"/>
      <c r="J218" s="56"/>
      <c r="K218" s="4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74"/>
      <c r="C219" s="5"/>
      <c r="D219" s="27"/>
      <c r="E219" s="34"/>
      <c r="F219" s="44"/>
      <c r="G219" s="47"/>
      <c r="H219" s="53"/>
      <c r="I219" s="39"/>
      <c r="J219" s="56"/>
      <c r="K219" s="4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74"/>
      <c r="C220" s="5"/>
      <c r="D220" s="27"/>
      <c r="E220" s="34"/>
      <c r="F220" s="44"/>
      <c r="G220" s="47"/>
      <c r="H220" s="53"/>
      <c r="I220" s="39"/>
      <c r="J220" s="56"/>
      <c r="K220" s="4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74"/>
      <c r="C221" s="5"/>
      <c r="D221" s="27"/>
      <c r="E221" s="34"/>
      <c r="F221" s="44"/>
      <c r="G221" s="47"/>
      <c r="H221" s="53"/>
      <c r="I221" s="39"/>
      <c r="J221" s="56"/>
      <c r="K221" s="4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74"/>
      <c r="C222" s="5"/>
      <c r="D222" s="27"/>
      <c r="E222" s="34"/>
      <c r="F222" s="44"/>
      <c r="G222" s="47"/>
      <c r="H222" s="53"/>
      <c r="I222" s="39"/>
      <c r="J222" s="56"/>
      <c r="K222" s="4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74"/>
      <c r="C223" s="5"/>
      <c r="D223" s="27"/>
      <c r="E223" s="34"/>
      <c r="F223" s="44"/>
      <c r="G223" s="47"/>
      <c r="H223" s="53"/>
      <c r="I223" s="39"/>
      <c r="J223" s="56"/>
      <c r="K223" s="4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74"/>
      <c r="C224" s="5"/>
      <c r="D224" s="27"/>
      <c r="E224" s="34"/>
      <c r="F224" s="44"/>
      <c r="G224" s="47"/>
      <c r="H224" s="53"/>
      <c r="I224" s="39"/>
      <c r="J224" s="56"/>
      <c r="K224" s="4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74"/>
      <c r="C225" s="5"/>
      <c r="D225" s="27"/>
      <c r="E225" s="34"/>
      <c r="F225" s="44"/>
      <c r="G225" s="47"/>
      <c r="H225" s="53"/>
      <c r="I225" s="39"/>
      <c r="J225" s="56"/>
      <c r="K225" s="4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74"/>
      <c r="C226" s="5"/>
      <c r="D226" s="27"/>
      <c r="E226" s="34"/>
      <c r="F226" s="44"/>
      <c r="G226" s="47"/>
      <c r="H226" s="53"/>
      <c r="I226" s="39"/>
      <c r="J226" s="56"/>
      <c r="K226" s="4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74"/>
      <c r="C227" s="5"/>
      <c r="D227" s="27"/>
      <c r="E227" s="34"/>
      <c r="F227" s="44"/>
      <c r="G227" s="47"/>
      <c r="H227" s="53"/>
      <c r="I227" s="39"/>
      <c r="J227" s="56"/>
      <c r="K227" s="4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74"/>
      <c r="C228" s="5"/>
      <c r="D228" s="27"/>
      <c r="E228" s="34"/>
      <c r="F228" s="44"/>
      <c r="G228" s="47"/>
      <c r="H228" s="53"/>
      <c r="I228" s="39"/>
      <c r="J228" s="56"/>
      <c r="K228" s="4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74"/>
      <c r="C229" s="5"/>
      <c r="D229" s="27"/>
      <c r="E229" s="34"/>
      <c r="F229" s="44"/>
      <c r="G229" s="47"/>
      <c r="H229" s="53"/>
      <c r="I229" s="39"/>
      <c r="J229" s="56"/>
      <c r="K229" s="4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74"/>
      <c r="C230" s="5"/>
      <c r="D230" s="27"/>
      <c r="E230" s="34"/>
      <c r="F230" s="44"/>
      <c r="G230" s="47"/>
      <c r="H230" s="53"/>
      <c r="I230" s="39"/>
      <c r="J230" s="56"/>
      <c r="K230" s="4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74"/>
      <c r="C231" s="5"/>
      <c r="D231" s="27"/>
      <c r="E231" s="34"/>
      <c r="F231" s="44"/>
      <c r="G231" s="47"/>
      <c r="H231" s="53"/>
      <c r="I231" s="39"/>
      <c r="J231" s="56"/>
      <c r="K231" s="4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74"/>
      <c r="C232" s="5"/>
      <c r="D232" s="27"/>
      <c r="E232" s="34"/>
      <c r="F232" s="44"/>
      <c r="G232" s="47"/>
      <c r="H232" s="53"/>
      <c r="I232" s="39"/>
      <c r="J232" s="56"/>
      <c r="K232" s="4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74"/>
      <c r="C233" s="5"/>
      <c r="D233" s="27"/>
      <c r="E233" s="34"/>
      <c r="F233" s="44"/>
      <c r="G233" s="47"/>
      <c r="H233" s="53"/>
      <c r="I233" s="39"/>
      <c r="J233" s="56"/>
      <c r="K233" s="4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74"/>
      <c r="C234" s="5"/>
      <c r="D234" s="27"/>
      <c r="E234" s="34"/>
      <c r="F234" s="44"/>
      <c r="G234" s="47"/>
      <c r="H234" s="53"/>
      <c r="I234" s="39"/>
      <c r="J234" s="56"/>
      <c r="K234" s="4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74"/>
      <c r="C235" s="5"/>
      <c r="D235" s="27"/>
      <c r="E235" s="34"/>
      <c r="F235" s="44"/>
      <c r="G235" s="47"/>
      <c r="H235" s="53"/>
      <c r="I235" s="39"/>
      <c r="J235" s="56"/>
      <c r="K235" s="4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74"/>
      <c r="C236" s="5"/>
      <c r="D236" s="27"/>
      <c r="E236" s="34"/>
      <c r="F236" s="44"/>
      <c r="G236" s="47"/>
      <c r="H236" s="53"/>
      <c r="I236" s="39"/>
      <c r="J236" s="56"/>
      <c r="K236" s="4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74"/>
      <c r="C237" s="5"/>
      <c r="D237" s="27"/>
      <c r="E237" s="34"/>
      <c r="F237" s="44"/>
      <c r="G237" s="47"/>
      <c r="H237" s="53"/>
      <c r="I237" s="39"/>
      <c r="J237" s="56"/>
      <c r="K237" s="4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74"/>
      <c r="C238" s="5"/>
      <c r="D238" s="27"/>
      <c r="E238" s="34"/>
      <c r="F238" s="44"/>
      <c r="G238" s="47"/>
      <c r="H238" s="53"/>
      <c r="I238" s="39"/>
      <c r="J238" s="56"/>
      <c r="K238" s="4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74"/>
      <c r="C239" s="5"/>
      <c r="D239" s="27"/>
      <c r="E239" s="34"/>
      <c r="F239" s="44"/>
      <c r="G239" s="47"/>
      <c r="H239" s="53"/>
      <c r="I239" s="39"/>
      <c r="J239" s="56"/>
      <c r="K239" s="4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74"/>
      <c r="C240" s="5"/>
      <c r="D240" s="27"/>
      <c r="E240" s="34"/>
      <c r="F240" s="44"/>
      <c r="G240" s="47"/>
      <c r="H240" s="53"/>
      <c r="I240" s="39"/>
      <c r="J240" s="56"/>
      <c r="K240" s="4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74"/>
      <c r="C241" s="5"/>
      <c r="D241" s="27"/>
      <c r="E241" s="34"/>
      <c r="F241" s="44"/>
      <c r="G241" s="47"/>
      <c r="H241" s="53"/>
      <c r="I241" s="39"/>
      <c r="J241" s="56"/>
      <c r="K241" s="4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74"/>
      <c r="C242" s="5"/>
      <c r="D242" s="27"/>
      <c r="E242" s="34"/>
      <c r="F242" s="44"/>
      <c r="G242" s="47"/>
      <c r="H242" s="53"/>
      <c r="I242" s="39"/>
      <c r="J242" s="56"/>
      <c r="K242" s="4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74"/>
      <c r="C243" s="5"/>
      <c r="D243" s="27"/>
      <c r="E243" s="34"/>
      <c r="F243" s="44"/>
      <c r="G243" s="47"/>
      <c r="H243" s="53"/>
      <c r="I243" s="39"/>
      <c r="J243" s="56"/>
      <c r="K243" s="4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74"/>
      <c r="C244" s="5"/>
      <c r="D244" s="27"/>
      <c r="E244" s="34"/>
      <c r="F244" s="44"/>
      <c r="G244" s="47"/>
      <c r="H244" s="53"/>
      <c r="I244" s="39"/>
      <c r="J244" s="56"/>
      <c r="K244" s="4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74"/>
      <c r="C245" s="5"/>
      <c r="D245" s="27"/>
      <c r="E245" s="34"/>
      <c r="F245" s="44"/>
      <c r="G245" s="47"/>
      <c r="H245" s="53"/>
      <c r="I245" s="39"/>
      <c r="J245" s="56"/>
      <c r="K245" s="4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74"/>
      <c r="C246" s="5"/>
      <c r="D246" s="27"/>
      <c r="E246" s="34"/>
      <c r="F246" s="44"/>
      <c r="G246" s="47"/>
      <c r="H246" s="53"/>
      <c r="I246" s="39"/>
      <c r="J246" s="56"/>
      <c r="K246" s="4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74"/>
      <c r="C247" s="5"/>
      <c r="D247" s="27"/>
      <c r="E247" s="34"/>
      <c r="F247" s="44"/>
      <c r="G247" s="47"/>
      <c r="H247" s="53"/>
      <c r="I247" s="39"/>
      <c r="J247" s="56"/>
      <c r="K247" s="4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74"/>
      <c r="C248" s="5"/>
      <c r="D248" s="27"/>
      <c r="E248" s="34"/>
      <c r="F248" s="44"/>
      <c r="G248" s="47"/>
      <c r="H248" s="53"/>
      <c r="I248" s="39"/>
      <c r="J248" s="56"/>
      <c r="K248" s="4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74"/>
      <c r="C249" s="5"/>
      <c r="D249" s="27"/>
      <c r="E249" s="34"/>
      <c r="F249" s="44"/>
      <c r="G249" s="47"/>
      <c r="H249" s="53"/>
      <c r="I249" s="39"/>
      <c r="J249" s="56"/>
      <c r="K249" s="4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74"/>
      <c r="C250" s="5"/>
      <c r="D250" s="27"/>
      <c r="E250" s="34"/>
      <c r="F250" s="44"/>
      <c r="G250" s="47"/>
      <c r="H250" s="53"/>
      <c r="I250" s="39"/>
      <c r="J250" s="56"/>
      <c r="K250" s="4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74"/>
      <c r="C251" s="5"/>
      <c r="D251" s="27"/>
      <c r="E251" s="34"/>
      <c r="F251" s="44"/>
      <c r="G251" s="47"/>
      <c r="H251" s="53"/>
      <c r="I251" s="39"/>
      <c r="J251" s="56"/>
      <c r="K251" s="4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74"/>
      <c r="C252" s="5"/>
      <c r="D252" s="27"/>
      <c r="E252" s="34"/>
      <c r="F252" s="44"/>
      <c r="G252" s="47"/>
      <c r="H252" s="53"/>
      <c r="I252" s="39"/>
      <c r="J252" s="56"/>
      <c r="K252" s="4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74"/>
      <c r="C253" s="5"/>
      <c r="D253" s="27"/>
      <c r="E253" s="34"/>
      <c r="F253" s="44"/>
      <c r="G253" s="47"/>
      <c r="H253" s="53"/>
      <c r="I253" s="39"/>
      <c r="J253" s="56"/>
      <c r="K253" s="4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74"/>
      <c r="C254" s="5"/>
      <c r="D254" s="27"/>
      <c r="E254" s="34"/>
      <c r="F254" s="44"/>
      <c r="G254" s="47"/>
      <c r="H254" s="53"/>
      <c r="I254" s="39"/>
      <c r="J254" s="56"/>
      <c r="K254" s="4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74"/>
      <c r="C255" s="5"/>
      <c r="D255" s="27"/>
      <c r="E255" s="34"/>
      <c r="F255" s="44"/>
      <c r="G255" s="47"/>
      <c r="H255" s="53"/>
      <c r="I255" s="39"/>
      <c r="J255" s="56"/>
      <c r="K255" s="4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74"/>
      <c r="C256" s="5"/>
      <c r="D256" s="27"/>
      <c r="E256" s="34"/>
      <c r="F256" s="44"/>
      <c r="G256" s="47"/>
      <c r="H256" s="53"/>
      <c r="I256" s="39"/>
      <c r="J256" s="56"/>
      <c r="K256" s="4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74"/>
      <c r="C257" s="5"/>
      <c r="D257" s="27"/>
      <c r="E257" s="34"/>
      <c r="F257" s="44"/>
      <c r="G257" s="47"/>
      <c r="H257" s="53"/>
      <c r="I257" s="39"/>
      <c r="J257" s="56"/>
      <c r="K257" s="4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74"/>
      <c r="C258" s="5"/>
      <c r="D258" s="27"/>
      <c r="E258" s="34"/>
      <c r="F258" s="44"/>
      <c r="G258" s="47"/>
      <c r="H258" s="53"/>
      <c r="I258" s="39"/>
      <c r="J258" s="56"/>
      <c r="K258" s="4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74"/>
      <c r="C259" s="5"/>
      <c r="D259" s="27"/>
      <c r="E259" s="34"/>
      <c r="F259" s="44"/>
      <c r="G259" s="47"/>
      <c r="H259" s="53"/>
      <c r="I259" s="39"/>
      <c r="J259" s="56"/>
      <c r="K259" s="4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74"/>
      <c r="C260" s="5"/>
      <c r="D260" s="27"/>
      <c r="E260" s="34"/>
      <c r="F260" s="44"/>
      <c r="G260" s="47"/>
      <c r="H260" s="53"/>
      <c r="I260" s="39"/>
      <c r="J260" s="56"/>
      <c r="K260" s="4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74"/>
      <c r="C261" s="5"/>
      <c r="D261" s="27"/>
      <c r="E261" s="34"/>
      <c r="F261" s="44"/>
      <c r="G261" s="47"/>
      <c r="H261" s="53"/>
      <c r="I261" s="39"/>
      <c r="J261" s="56"/>
      <c r="K261" s="4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74"/>
      <c r="C262" s="5"/>
      <c r="D262" s="27"/>
      <c r="E262" s="34"/>
      <c r="F262" s="44"/>
      <c r="G262" s="47"/>
      <c r="H262" s="53"/>
      <c r="I262" s="39"/>
      <c r="J262" s="56"/>
      <c r="K262" s="4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74"/>
      <c r="C263" s="5"/>
      <c r="D263" s="27"/>
      <c r="E263" s="34"/>
      <c r="F263" s="44"/>
      <c r="G263" s="47"/>
      <c r="H263" s="53"/>
      <c r="I263" s="39"/>
      <c r="J263" s="56"/>
      <c r="K263" s="4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74"/>
      <c r="C264" s="5"/>
      <c r="D264" s="27"/>
      <c r="E264" s="34"/>
      <c r="F264" s="44"/>
      <c r="G264" s="47"/>
      <c r="H264" s="53"/>
      <c r="I264" s="39"/>
      <c r="J264" s="56"/>
      <c r="K264" s="4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74"/>
      <c r="C265" s="5"/>
      <c r="D265" s="27"/>
      <c r="E265" s="34"/>
      <c r="F265" s="44"/>
      <c r="G265" s="47"/>
      <c r="H265" s="53"/>
      <c r="I265" s="39"/>
      <c r="J265" s="56"/>
      <c r="K265" s="4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74"/>
      <c r="C266" s="5"/>
      <c r="D266" s="27"/>
      <c r="E266" s="34"/>
      <c r="F266" s="44"/>
      <c r="G266" s="47"/>
      <c r="H266" s="53"/>
      <c r="I266" s="39"/>
      <c r="J266" s="56"/>
      <c r="K266" s="4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74"/>
      <c r="C267" s="5"/>
      <c r="D267" s="27"/>
      <c r="E267" s="34"/>
      <c r="F267" s="44"/>
      <c r="G267" s="47"/>
      <c r="H267" s="53"/>
      <c r="I267" s="39"/>
      <c r="J267" s="56"/>
      <c r="K267" s="4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74"/>
      <c r="C268" s="5"/>
      <c r="D268" s="27"/>
      <c r="E268" s="34"/>
      <c r="F268" s="44"/>
      <c r="G268" s="47"/>
      <c r="H268" s="53"/>
      <c r="I268" s="39"/>
      <c r="J268" s="56"/>
      <c r="K268" s="4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74"/>
      <c r="C269" s="5"/>
      <c r="D269" s="27"/>
      <c r="E269" s="34"/>
      <c r="F269" s="44"/>
      <c r="G269" s="47"/>
      <c r="H269" s="53"/>
      <c r="I269" s="39"/>
      <c r="J269" s="56"/>
      <c r="K269" s="4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74"/>
      <c r="C270" s="5"/>
      <c r="D270" s="27"/>
      <c r="E270" s="34"/>
      <c r="F270" s="44"/>
      <c r="G270" s="47"/>
      <c r="H270" s="53"/>
      <c r="I270" s="39"/>
      <c r="J270" s="56"/>
      <c r="K270" s="4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74"/>
      <c r="C271" s="5"/>
      <c r="D271" s="27"/>
      <c r="E271" s="34"/>
      <c r="F271" s="44"/>
      <c r="G271" s="47"/>
      <c r="H271" s="53"/>
      <c r="I271" s="39"/>
      <c r="J271" s="56"/>
      <c r="K271" s="4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74"/>
      <c r="C272" s="5"/>
      <c r="D272" s="27"/>
      <c r="E272" s="34"/>
      <c r="F272" s="44"/>
      <c r="G272" s="47"/>
      <c r="H272" s="53"/>
      <c r="I272" s="39"/>
      <c r="J272" s="56"/>
      <c r="K272" s="4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74"/>
      <c r="C273" s="5"/>
      <c r="D273" s="27"/>
      <c r="E273" s="34"/>
      <c r="F273" s="44"/>
      <c r="G273" s="47"/>
      <c r="H273" s="53"/>
      <c r="I273" s="39"/>
      <c r="J273" s="56"/>
      <c r="K273" s="4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74"/>
      <c r="C274" s="5"/>
      <c r="D274" s="27"/>
      <c r="E274" s="34"/>
      <c r="F274" s="44"/>
      <c r="G274" s="47"/>
      <c r="H274" s="53"/>
      <c r="I274" s="39"/>
      <c r="J274" s="56"/>
      <c r="K274" s="4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74"/>
      <c r="C275" s="5"/>
      <c r="D275" s="27"/>
      <c r="E275" s="34"/>
      <c r="F275" s="44"/>
      <c r="G275" s="47"/>
      <c r="H275" s="53"/>
      <c r="I275" s="39"/>
      <c r="J275" s="56"/>
      <c r="K275" s="4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74"/>
      <c r="C276" s="5"/>
      <c r="D276" s="27"/>
      <c r="E276" s="34"/>
      <c r="F276" s="44"/>
      <c r="G276" s="47"/>
      <c r="H276" s="53"/>
      <c r="I276" s="39"/>
      <c r="J276" s="56"/>
      <c r="K276" s="4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74"/>
      <c r="C277" s="5"/>
      <c r="D277" s="27"/>
      <c r="E277" s="34"/>
      <c r="F277" s="44"/>
      <c r="G277" s="47"/>
      <c r="H277" s="53"/>
      <c r="I277" s="39"/>
      <c r="J277" s="56"/>
      <c r="K277" s="4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74"/>
      <c r="C278" s="5"/>
      <c r="D278" s="27"/>
      <c r="E278" s="34"/>
      <c r="F278" s="44"/>
      <c r="G278" s="47"/>
      <c r="H278" s="53"/>
      <c r="I278" s="39"/>
      <c r="J278" s="56"/>
      <c r="K278" s="4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74"/>
      <c r="C279" s="5"/>
      <c r="D279" s="27"/>
      <c r="E279" s="34"/>
      <c r="F279" s="44"/>
      <c r="G279" s="47"/>
      <c r="H279" s="53"/>
      <c r="I279" s="39"/>
      <c r="J279" s="56"/>
      <c r="K279" s="4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74"/>
      <c r="C280" s="5"/>
      <c r="D280" s="27"/>
      <c r="E280" s="34"/>
      <c r="F280" s="44"/>
      <c r="G280" s="47"/>
      <c r="H280" s="53"/>
      <c r="I280" s="39"/>
      <c r="J280" s="56"/>
      <c r="K280" s="4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74"/>
      <c r="C281" s="5"/>
      <c r="D281" s="27"/>
      <c r="E281" s="34"/>
      <c r="F281" s="44"/>
      <c r="G281" s="47"/>
      <c r="H281" s="53"/>
      <c r="I281" s="39"/>
      <c r="J281" s="56"/>
      <c r="K281" s="4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74"/>
      <c r="C282" s="5"/>
      <c r="D282" s="27"/>
      <c r="E282" s="34"/>
      <c r="F282" s="44"/>
      <c r="G282" s="47"/>
      <c r="H282" s="53"/>
      <c r="I282" s="39"/>
      <c r="J282" s="56"/>
      <c r="K282" s="4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74"/>
      <c r="C283" s="5"/>
      <c r="D283" s="27"/>
      <c r="E283" s="34"/>
      <c r="F283" s="44"/>
      <c r="G283" s="47"/>
      <c r="H283" s="53"/>
      <c r="I283" s="39"/>
      <c r="J283" s="56"/>
      <c r="K283" s="4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74"/>
      <c r="C284" s="5"/>
      <c r="D284" s="27"/>
      <c r="E284" s="34"/>
      <c r="F284" s="44"/>
      <c r="G284" s="47"/>
      <c r="H284" s="53"/>
      <c r="I284" s="39"/>
      <c r="J284" s="56"/>
      <c r="K284" s="4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74"/>
      <c r="C285" s="5"/>
      <c r="D285" s="27"/>
      <c r="E285" s="34"/>
      <c r="F285" s="44"/>
      <c r="G285" s="47"/>
      <c r="H285" s="53"/>
      <c r="I285" s="39"/>
      <c r="J285" s="56"/>
      <c r="K285" s="4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74"/>
      <c r="C286" s="5"/>
      <c r="D286" s="27"/>
      <c r="E286" s="34"/>
      <c r="F286" s="44"/>
      <c r="G286" s="47"/>
      <c r="H286" s="53"/>
      <c r="I286" s="39"/>
      <c r="J286" s="56"/>
      <c r="K286" s="4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74"/>
      <c r="C287" s="5"/>
      <c r="D287" s="27"/>
      <c r="E287" s="34"/>
      <c r="F287" s="44"/>
      <c r="G287" s="47"/>
      <c r="H287" s="53"/>
      <c r="I287" s="39"/>
      <c r="J287" s="56"/>
      <c r="K287" s="4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74"/>
      <c r="C288" s="5"/>
      <c r="D288" s="27"/>
      <c r="E288" s="34"/>
      <c r="F288" s="44"/>
      <c r="G288" s="47"/>
      <c r="H288" s="53"/>
      <c r="I288" s="39"/>
      <c r="J288" s="56"/>
      <c r="K288" s="4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74"/>
      <c r="C289" s="5"/>
      <c r="D289" s="27"/>
      <c r="E289" s="34"/>
      <c r="F289" s="44"/>
      <c r="G289" s="47"/>
      <c r="H289" s="53"/>
      <c r="I289" s="39"/>
      <c r="J289" s="56"/>
      <c r="K289" s="4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74"/>
      <c r="C290" s="5"/>
      <c r="D290" s="27"/>
      <c r="E290" s="34"/>
      <c r="F290" s="44"/>
      <c r="G290" s="47"/>
      <c r="H290" s="53"/>
      <c r="I290" s="39"/>
      <c r="J290" s="56"/>
      <c r="K290" s="4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74"/>
      <c r="C291" s="5"/>
      <c r="D291" s="27"/>
      <c r="E291" s="34"/>
      <c r="F291" s="44"/>
      <c r="G291" s="47"/>
      <c r="H291" s="53"/>
      <c r="I291" s="39"/>
      <c r="J291" s="56"/>
      <c r="K291" s="4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74"/>
      <c r="C292" s="5"/>
      <c r="D292" s="27"/>
      <c r="E292" s="34"/>
      <c r="F292" s="44"/>
      <c r="G292" s="47"/>
      <c r="H292" s="53"/>
      <c r="I292" s="39"/>
      <c r="J292" s="56"/>
      <c r="K292" s="4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74"/>
      <c r="C293" s="5"/>
      <c r="D293" s="27"/>
      <c r="E293" s="34"/>
      <c r="F293" s="44"/>
      <c r="G293" s="47"/>
      <c r="H293" s="53"/>
      <c r="I293" s="39"/>
      <c r="J293" s="56"/>
      <c r="K293" s="4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74"/>
      <c r="C294" s="5"/>
      <c r="D294" s="27"/>
      <c r="E294" s="34"/>
      <c r="F294" s="44"/>
      <c r="G294" s="47"/>
      <c r="H294" s="53"/>
      <c r="I294" s="39"/>
      <c r="J294" s="56"/>
      <c r="K294" s="4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74"/>
      <c r="C295" s="5"/>
      <c r="D295" s="27"/>
      <c r="E295" s="34"/>
      <c r="F295" s="44"/>
      <c r="G295" s="47"/>
      <c r="H295" s="53"/>
      <c r="I295" s="39"/>
      <c r="J295" s="56"/>
      <c r="K295" s="4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74"/>
      <c r="C296" s="5"/>
      <c r="D296" s="27"/>
      <c r="E296" s="34"/>
      <c r="F296" s="44"/>
      <c r="G296" s="47"/>
      <c r="H296" s="53"/>
      <c r="I296" s="39"/>
      <c r="J296" s="56"/>
      <c r="K296" s="4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74"/>
      <c r="C297" s="5"/>
      <c r="D297" s="27"/>
      <c r="E297" s="34"/>
      <c r="F297" s="44"/>
      <c r="G297" s="47"/>
      <c r="H297" s="53"/>
      <c r="I297" s="39"/>
      <c r="J297" s="56"/>
      <c r="K297" s="4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74"/>
      <c r="C298" s="5"/>
      <c r="D298" s="27"/>
      <c r="E298" s="34"/>
      <c r="F298" s="44"/>
      <c r="G298" s="47"/>
      <c r="H298" s="53"/>
      <c r="I298" s="39"/>
      <c r="J298" s="56"/>
      <c r="K298" s="4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74"/>
      <c r="C299" s="5"/>
      <c r="D299" s="27"/>
      <c r="E299" s="34"/>
      <c r="F299" s="44"/>
      <c r="G299" s="47"/>
      <c r="H299" s="53"/>
      <c r="I299" s="39"/>
      <c r="J299" s="56"/>
      <c r="K299" s="4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74"/>
      <c r="C300" s="5"/>
      <c r="D300" s="27"/>
      <c r="E300" s="34"/>
      <c r="F300" s="44"/>
      <c r="G300" s="47"/>
      <c r="H300" s="53"/>
      <c r="I300" s="39"/>
      <c r="J300" s="56"/>
      <c r="K300" s="4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74"/>
      <c r="C301" s="5"/>
      <c r="D301" s="27"/>
      <c r="E301" s="34"/>
      <c r="F301" s="44"/>
      <c r="G301" s="47"/>
      <c r="H301" s="53"/>
      <c r="I301" s="39"/>
      <c r="J301" s="56"/>
      <c r="K301" s="4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74"/>
      <c r="C302" s="5"/>
      <c r="D302" s="27"/>
      <c r="E302" s="34"/>
      <c r="F302" s="44"/>
      <c r="G302" s="47"/>
      <c r="H302" s="53"/>
      <c r="I302" s="39"/>
      <c r="J302" s="56"/>
      <c r="K302" s="4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74"/>
      <c r="C303" s="5"/>
      <c r="D303" s="27"/>
      <c r="E303" s="34"/>
      <c r="F303" s="44"/>
      <c r="G303" s="47"/>
      <c r="H303" s="53"/>
      <c r="I303" s="39"/>
      <c r="J303" s="56"/>
      <c r="K303" s="4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74"/>
      <c r="C304" s="5"/>
      <c r="D304" s="27"/>
      <c r="E304" s="34"/>
      <c r="F304" s="44"/>
      <c r="G304" s="47"/>
      <c r="H304" s="53"/>
      <c r="I304" s="39"/>
      <c r="J304" s="56"/>
      <c r="K304" s="4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74"/>
      <c r="C305" s="5"/>
      <c r="D305" s="27"/>
      <c r="E305" s="34"/>
      <c r="F305" s="44"/>
      <c r="G305" s="47"/>
      <c r="H305" s="53"/>
      <c r="I305" s="39"/>
      <c r="J305" s="56"/>
      <c r="K305" s="4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74"/>
      <c r="C306" s="5"/>
      <c r="D306" s="27"/>
      <c r="E306" s="34"/>
      <c r="F306" s="44"/>
      <c r="G306" s="47"/>
      <c r="H306" s="53"/>
      <c r="I306" s="39"/>
      <c r="J306" s="56"/>
      <c r="K306" s="4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74"/>
      <c r="C307" s="5"/>
      <c r="D307" s="27"/>
      <c r="E307" s="34"/>
      <c r="F307" s="44"/>
      <c r="G307" s="47"/>
      <c r="H307" s="53"/>
      <c r="I307" s="39"/>
      <c r="J307" s="56"/>
      <c r="K307" s="4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74"/>
      <c r="C308" s="5"/>
      <c r="D308" s="27"/>
      <c r="E308" s="34"/>
      <c r="F308" s="44"/>
      <c r="G308" s="47"/>
      <c r="H308" s="53"/>
      <c r="I308" s="39"/>
      <c r="J308" s="56"/>
      <c r="K308" s="4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74"/>
      <c r="C309" s="5"/>
      <c r="D309" s="27"/>
      <c r="E309" s="34"/>
      <c r="F309" s="44"/>
      <c r="G309" s="47"/>
      <c r="H309" s="53"/>
      <c r="I309" s="39"/>
      <c r="J309" s="56"/>
      <c r="K309" s="4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74"/>
      <c r="C310" s="5"/>
      <c r="D310" s="27"/>
      <c r="E310" s="34"/>
      <c r="F310" s="44"/>
      <c r="G310" s="47"/>
      <c r="H310" s="53"/>
      <c r="I310" s="39"/>
      <c r="J310" s="56"/>
      <c r="K310" s="4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74"/>
      <c r="C311" s="5"/>
      <c r="D311" s="27"/>
      <c r="E311" s="34"/>
      <c r="F311" s="44"/>
      <c r="G311" s="47"/>
      <c r="H311" s="53"/>
      <c r="I311" s="39"/>
      <c r="J311" s="56"/>
      <c r="K311" s="4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74"/>
      <c r="C312" s="5"/>
      <c r="D312" s="27"/>
      <c r="E312" s="34"/>
      <c r="F312" s="44"/>
      <c r="G312" s="47"/>
      <c r="H312" s="53"/>
      <c r="I312" s="39"/>
      <c r="J312" s="56"/>
      <c r="K312" s="4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74"/>
      <c r="C313" s="5"/>
      <c r="D313" s="27"/>
      <c r="E313" s="34"/>
      <c r="F313" s="44"/>
      <c r="G313" s="47"/>
      <c r="H313" s="53"/>
      <c r="I313" s="39"/>
      <c r="J313" s="56"/>
      <c r="K313" s="4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74"/>
      <c r="C314" s="5"/>
      <c r="D314" s="27"/>
      <c r="E314" s="34"/>
      <c r="F314" s="44"/>
      <c r="G314" s="47"/>
      <c r="H314" s="53"/>
      <c r="I314" s="39"/>
      <c r="J314" s="56"/>
      <c r="K314" s="4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74"/>
      <c r="C315" s="5"/>
      <c r="D315" s="27"/>
      <c r="E315" s="34"/>
      <c r="F315" s="44"/>
      <c r="G315" s="47"/>
      <c r="H315" s="53"/>
      <c r="I315" s="39"/>
      <c r="J315" s="56"/>
      <c r="K315" s="4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74"/>
      <c r="C316" s="5"/>
      <c r="D316" s="27"/>
      <c r="E316" s="34"/>
      <c r="F316" s="44"/>
      <c r="G316" s="47"/>
      <c r="H316" s="53"/>
      <c r="I316" s="39"/>
      <c r="J316" s="56"/>
      <c r="K316" s="4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74"/>
      <c r="C317" s="5"/>
      <c r="D317" s="27"/>
      <c r="E317" s="34"/>
      <c r="F317" s="44"/>
      <c r="G317" s="47"/>
      <c r="H317" s="53"/>
      <c r="I317" s="39"/>
      <c r="J317" s="56"/>
      <c r="K317" s="4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74"/>
      <c r="C318" s="5"/>
      <c r="D318" s="27"/>
      <c r="E318" s="34"/>
      <c r="F318" s="44"/>
      <c r="G318" s="47"/>
      <c r="H318" s="53"/>
      <c r="I318" s="39"/>
      <c r="J318" s="56"/>
      <c r="K318" s="4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74"/>
      <c r="C319" s="5"/>
      <c r="D319" s="27"/>
      <c r="E319" s="34"/>
      <c r="F319" s="44"/>
      <c r="G319" s="47"/>
      <c r="H319" s="53"/>
      <c r="I319" s="39"/>
      <c r="J319" s="56"/>
      <c r="K319" s="4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74"/>
      <c r="C320" s="5"/>
      <c r="D320" s="27"/>
      <c r="E320" s="34"/>
      <c r="F320" s="44"/>
      <c r="G320" s="47"/>
      <c r="H320" s="53"/>
      <c r="I320" s="39"/>
      <c r="J320" s="56"/>
      <c r="K320" s="4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74"/>
      <c r="C321" s="5"/>
      <c r="D321" s="27"/>
      <c r="E321" s="34"/>
      <c r="F321" s="44"/>
      <c r="G321" s="47"/>
      <c r="H321" s="53"/>
      <c r="I321" s="39"/>
      <c r="J321" s="56"/>
      <c r="K321" s="4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74"/>
      <c r="C322" s="5"/>
      <c r="D322" s="27"/>
      <c r="E322" s="34"/>
      <c r="F322" s="44"/>
      <c r="G322" s="47"/>
      <c r="H322" s="53"/>
      <c r="I322" s="39"/>
      <c r="J322" s="56"/>
      <c r="K322" s="4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74"/>
      <c r="C323" s="5"/>
      <c r="D323" s="27"/>
      <c r="E323" s="34"/>
      <c r="F323" s="44"/>
      <c r="G323" s="47"/>
      <c r="H323" s="53"/>
      <c r="I323" s="39"/>
      <c r="J323" s="56"/>
      <c r="K323" s="4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74"/>
      <c r="C324" s="5"/>
      <c r="D324" s="27"/>
      <c r="E324" s="34"/>
      <c r="F324" s="44"/>
      <c r="G324" s="47"/>
      <c r="H324" s="53"/>
      <c r="I324" s="39"/>
      <c r="J324" s="56"/>
      <c r="K324" s="4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74"/>
      <c r="C325" s="5"/>
      <c r="D325" s="27"/>
      <c r="E325" s="34"/>
      <c r="F325" s="44"/>
      <c r="G325" s="47"/>
      <c r="H325" s="53"/>
      <c r="I325" s="39"/>
      <c r="J325" s="56"/>
      <c r="K325" s="4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74"/>
      <c r="C326" s="5"/>
      <c r="D326" s="27"/>
      <c r="E326" s="34"/>
      <c r="F326" s="44"/>
      <c r="G326" s="47"/>
      <c r="H326" s="53"/>
      <c r="I326" s="39"/>
      <c r="J326" s="56"/>
      <c r="K326" s="4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74"/>
      <c r="C327" s="5"/>
      <c r="D327" s="27"/>
      <c r="E327" s="34"/>
      <c r="F327" s="44"/>
      <c r="G327" s="47"/>
      <c r="H327" s="53"/>
      <c r="I327" s="39"/>
      <c r="J327" s="56"/>
      <c r="K327" s="4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74"/>
      <c r="C328" s="5"/>
      <c r="D328" s="27"/>
      <c r="E328" s="34"/>
      <c r="F328" s="44"/>
      <c r="G328" s="47"/>
      <c r="H328" s="53"/>
      <c r="I328" s="39"/>
      <c r="J328" s="56"/>
      <c r="K328" s="4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74"/>
      <c r="C329" s="5"/>
      <c r="D329" s="27"/>
      <c r="E329" s="34"/>
      <c r="F329" s="44"/>
      <c r="G329" s="47"/>
      <c r="H329" s="53"/>
      <c r="I329" s="39"/>
      <c r="J329" s="56"/>
      <c r="K329" s="4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74"/>
      <c r="C330" s="5"/>
      <c r="D330" s="27"/>
      <c r="E330" s="34"/>
      <c r="F330" s="44"/>
      <c r="G330" s="47"/>
      <c r="H330" s="53"/>
      <c r="I330" s="39"/>
      <c r="J330" s="56"/>
      <c r="K330" s="4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74"/>
      <c r="C331" s="5"/>
      <c r="D331" s="27"/>
      <c r="E331" s="34"/>
      <c r="F331" s="44"/>
      <c r="G331" s="47"/>
      <c r="H331" s="53"/>
      <c r="I331" s="39"/>
      <c r="J331" s="56"/>
      <c r="K331" s="4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74"/>
      <c r="C332" s="5"/>
      <c r="D332" s="27"/>
      <c r="E332" s="34"/>
      <c r="F332" s="44"/>
      <c r="G332" s="47"/>
      <c r="H332" s="53"/>
      <c r="I332" s="39"/>
      <c r="J332" s="56"/>
      <c r="K332" s="4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74"/>
      <c r="C333" s="5"/>
      <c r="D333" s="27"/>
      <c r="E333" s="34"/>
      <c r="F333" s="44"/>
      <c r="G333" s="47"/>
      <c r="H333" s="53"/>
      <c r="I333" s="39"/>
      <c r="J333" s="56"/>
      <c r="K333" s="4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74"/>
      <c r="C334" s="5"/>
      <c r="D334" s="27"/>
      <c r="E334" s="34"/>
      <c r="F334" s="44"/>
      <c r="G334" s="47"/>
      <c r="H334" s="53"/>
      <c r="I334" s="39"/>
      <c r="J334" s="56"/>
      <c r="K334" s="4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74"/>
      <c r="C335" s="5"/>
      <c r="D335" s="27"/>
      <c r="E335" s="34"/>
      <c r="F335" s="44"/>
      <c r="G335" s="47"/>
      <c r="H335" s="53"/>
      <c r="I335" s="39"/>
      <c r="J335" s="56"/>
      <c r="K335" s="4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74"/>
      <c r="C336" s="5"/>
      <c r="D336" s="27"/>
      <c r="E336" s="34"/>
      <c r="F336" s="44"/>
      <c r="G336" s="47"/>
      <c r="H336" s="53"/>
      <c r="I336" s="39"/>
      <c r="J336" s="56"/>
      <c r="K336" s="4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74"/>
      <c r="C337" s="5"/>
      <c r="D337" s="27"/>
      <c r="E337" s="34"/>
      <c r="F337" s="44"/>
      <c r="G337" s="47"/>
      <c r="H337" s="53"/>
      <c r="I337" s="39"/>
      <c r="J337" s="56"/>
      <c r="K337" s="4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74"/>
      <c r="C338" s="5"/>
      <c r="D338" s="27"/>
      <c r="E338" s="34"/>
      <c r="F338" s="44"/>
      <c r="G338" s="47"/>
      <c r="H338" s="53"/>
      <c r="I338" s="39"/>
      <c r="J338" s="56"/>
      <c r="K338" s="4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74"/>
      <c r="C339" s="5"/>
      <c r="D339" s="27"/>
      <c r="E339" s="34"/>
      <c r="F339" s="44"/>
      <c r="G339" s="47"/>
      <c r="H339" s="53"/>
      <c r="I339" s="39"/>
      <c r="J339" s="56"/>
      <c r="K339" s="4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74"/>
      <c r="C340" s="5"/>
      <c r="D340" s="27"/>
      <c r="E340" s="34"/>
      <c r="F340" s="44"/>
      <c r="G340" s="47"/>
      <c r="H340" s="53"/>
      <c r="I340" s="39"/>
      <c r="J340" s="56"/>
      <c r="K340" s="4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74"/>
      <c r="C341" s="5"/>
      <c r="D341" s="27"/>
      <c r="E341" s="34"/>
      <c r="F341" s="44"/>
      <c r="G341" s="47"/>
      <c r="H341" s="53"/>
      <c r="I341" s="39"/>
      <c r="J341" s="56"/>
      <c r="K341" s="4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74"/>
      <c r="C342" s="5"/>
      <c r="D342" s="27"/>
      <c r="E342" s="34"/>
      <c r="F342" s="44"/>
      <c r="G342" s="47"/>
      <c r="H342" s="53"/>
      <c r="I342" s="39"/>
      <c r="J342" s="56"/>
      <c r="K342" s="4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74"/>
      <c r="C343" s="5"/>
      <c r="D343" s="27"/>
      <c r="E343" s="34"/>
      <c r="F343" s="44"/>
      <c r="G343" s="47"/>
      <c r="H343" s="53"/>
      <c r="I343" s="39"/>
      <c r="J343" s="56"/>
      <c r="K343" s="4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74"/>
      <c r="C344" s="5"/>
      <c r="D344" s="27"/>
      <c r="E344" s="34"/>
      <c r="F344" s="44"/>
      <c r="G344" s="47"/>
      <c r="H344" s="53"/>
      <c r="I344" s="39"/>
      <c r="J344" s="56"/>
      <c r="K344" s="4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74"/>
      <c r="C345" s="5"/>
      <c r="D345" s="27"/>
      <c r="E345" s="34"/>
      <c r="F345" s="44"/>
      <c r="G345" s="47"/>
      <c r="H345" s="53"/>
      <c r="I345" s="39"/>
      <c r="J345" s="56"/>
      <c r="K345" s="4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74"/>
      <c r="C346" s="5"/>
      <c r="D346" s="27"/>
      <c r="E346" s="34"/>
      <c r="F346" s="44"/>
      <c r="G346" s="47"/>
      <c r="H346" s="53"/>
      <c r="I346" s="39"/>
      <c r="J346" s="56"/>
      <c r="K346" s="4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74"/>
      <c r="C347" s="5"/>
      <c r="D347" s="27"/>
      <c r="E347" s="34"/>
      <c r="F347" s="44"/>
      <c r="G347" s="47"/>
      <c r="H347" s="53"/>
      <c r="I347" s="39"/>
      <c r="J347" s="56"/>
      <c r="K347" s="4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74"/>
      <c r="C348" s="5"/>
      <c r="D348" s="27"/>
      <c r="E348" s="34"/>
      <c r="F348" s="44"/>
      <c r="G348" s="47"/>
      <c r="H348" s="53"/>
      <c r="I348" s="39"/>
      <c r="J348" s="56"/>
      <c r="K348" s="4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74"/>
      <c r="C349" s="5"/>
      <c r="D349" s="27"/>
      <c r="E349" s="34"/>
      <c r="F349" s="44"/>
      <c r="G349" s="47"/>
      <c r="H349" s="53"/>
      <c r="I349" s="39"/>
      <c r="J349" s="56"/>
      <c r="K349" s="4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74"/>
      <c r="C350" s="5"/>
      <c r="D350" s="27"/>
      <c r="E350" s="34"/>
      <c r="F350" s="44"/>
      <c r="G350" s="47"/>
      <c r="H350" s="53"/>
      <c r="I350" s="39"/>
      <c r="J350" s="56"/>
      <c r="K350" s="4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74"/>
      <c r="C351" s="5"/>
      <c r="D351" s="27"/>
      <c r="E351" s="34"/>
      <c r="F351" s="44"/>
      <c r="G351" s="47"/>
      <c r="H351" s="53"/>
      <c r="I351" s="39"/>
      <c r="J351" s="56"/>
      <c r="K351" s="4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74"/>
      <c r="C352" s="5"/>
      <c r="D352" s="27"/>
      <c r="E352" s="34"/>
      <c r="F352" s="44"/>
      <c r="G352" s="47"/>
      <c r="H352" s="53"/>
      <c r="I352" s="39"/>
      <c r="J352" s="56"/>
      <c r="K352" s="4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74"/>
      <c r="C353" s="5"/>
      <c r="D353" s="27"/>
      <c r="E353" s="34"/>
      <c r="F353" s="44"/>
      <c r="G353" s="47"/>
      <c r="H353" s="53"/>
      <c r="I353" s="39"/>
      <c r="J353" s="56"/>
      <c r="K353" s="4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74"/>
      <c r="C354" s="5"/>
      <c r="D354" s="27"/>
      <c r="E354" s="34"/>
      <c r="F354" s="44"/>
      <c r="G354" s="47"/>
      <c r="H354" s="53"/>
      <c r="I354" s="39"/>
      <c r="J354" s="56"/>
      <c r="K354" s="4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74"/>
      <c r="C355" s="5"/>
      <c r="D355" s="27"/>
      <c r="E355" s="34"/>
      <c r="F355" s="44"/>
      <c r="G355" s="47"/>
      <c r="H355" s="53"/>
      <c r="I355" s="39"/>
      <c r="J355" s="56"/>
      <c r="K355" s="4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74"/>
      <c r="C356" s="5"/>
      <c r="D356" s="27"/>
      <c r="E356" s="34"/>
      <c r="F356" s="44"/>
      <c r="G356" s="47"/>
      <c r="H356" s="53"/>
      <c r="I356" s="39"/>
      <c r="J356" s="56"/>
      <c r="K356" s="4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74"/>
      <c r="C357" s="5"/>
      <c r="D357" s="27"/>
      <c r="E357" s="34"/>
      <c r="F357" s="44"/>
      <c r="G357" s="47"/>
      <c r="H357" s="53"/>
      <c r="I357" s="39"/>
      <c r="J357" s="56"/>
      <c r="K357" s="4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74"/>
      <c r="C358" s="5"/>
      <c r="D358" s="27"/>
      <c r="E358" s="34"/>
      <c r="F358" s="44"/>
      <c r="G358" s="47"/>
      <c r="H358" s="53"/>
      <c r="I358" s="39"/>
      <c r="J358" s="56"/>
      <c r="K358" s="4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74"/>
      <c r="C359" s="5"/>
      <c r="D359" s="27"/>
      <c r="E359" s="34"/>
      <c r="F359" s="44"/>
      <c r="G359" s="47"/>
      <c r="H359" s="53"/>
      <c r="I359" s="39"/>
      <c r="J359" s="56"/>
      <c r="K359" s="4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74"/>
      <c r="C360" s="5"/>
      <c r="D360" s="27"/>
      <c r="E360" s="34"/>
      <c r="F360" s="44"/>
      <c r="G360" s="47"/>
      <c r="H360" s="53"/>
      <c r="I360" s="39"/>
      <c r="J360" s="56"/>
      <c r="K360" s="4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74"/>
      <c r="C361" s="5"/>
      <c r="D361" s="27"/>
      <c r="E361" s="34"/>
      <c r="F361" s="44"/>
      <c r="G361" s="47"/>
      <c r="H361" s="53"/>
      <c r="I361" s="39"/>
      <c r="J361" s="56"/>
      <c r="K361" s="4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74"/>
      <c r="C362" s="5"/>
      <c r="D362" s="27"/>
      <c r="E362" s="34"/>
      <c r="F362" s="44"/>
      <c r="G362" s="47"/>
      <c r="H362" s="53"/>
      <c r="I362" s="39"/>
      <c r="J362" s="56"/>
      <c r="K362" s="4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74"/>
      <c r="C363" s="5"/>
      <c r="D363" s="27"/>
      <c r="E363" s="34"/>
      <c r="F363" s="44"/>
      <c r="G363" s="47"/>
      <c r="H363" s="53"/>
      <c r="I363" s="39"/>
      <c r="J363" s="56"/>
      <c r="K363" s="4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74"/>
      <c r="C364" s="5"/>
      <c r="D364" s="27"/>
      <c r="E364" s="34"/>
      <c r="F364" s="44"/>
      <c r="G364" s="47"/>
      <c r="H364" s="53"/>
      <c r="I364" s="39"/>
      <c r="J364" s="56"/>
      <c r="K364" s="4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74"/>
      <c r="C365" s="5"/>
      <c r="D365" s="27"/>
      <c r="E365" s="34"/>
      <c r="F365" s="44"/>
      <c r="G365" s="47"/>
      <c r="H365" s="53"/>
      <c r="I365" s="39"/>
      <c r="J365" s="56"/>
      <c r="K365" s="4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74"/>
      <c r="C366" s="5"/>
      <c r="D366" s="27"/>
      <c r="E366" s="34"/>
      <c r="F366" s="44"/>
      <c r="G366" s="47"/>
      <c r="H366" s="53"/>
      <c r="I366" s="39"/>
      <c r="J366" s="56"/>
      <c r="K366" s="4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74"/>
      <c r="C367" s="5"/>
      <c r="D367" s="27"/>
      <c r="E367" s="34"/>
      <c r="F367" s="44"/>
      <c r="G367" s="47"/>
      <c r="H367" s="53"/>
      <c r="I367" s="39"/>
      <c r="J367" s="56"/>
      <c r="K367" s="4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74"/>
      <c r="C368" s="5"/>
      <c r="D368" s="27"/>
      <c r="E368" s="34"/>
      <c r="F368" s="44"/>
      <c r="G368" s="47"/>
      <c r="H368" s="53"/>
      <c r="I368" s="39"/>
      <c r="J368" s="56"/>
      <c r="K368" s="4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74"/>
      <c r="C369" s="5"/>
      <c r="D369" s="27"/>
      <c r="E369" s="34"/>
      <c r="F369" s="44"/>
      <c r="G369" s="47"/>
      <c r="H369" s="53"/>
      <c r="I369" s="39"/>
      <c r="J369" s="56"/>
      <c r="K369" s="4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74"/>
      <c r="C370" s="5"/>
      <c r="D370" s="27"/>
      <c r="E370" s="34"/>
      <c r="F370" s="44"/>
      <c r="G370" s="47"/>
      <c r="H370" s="53"/>
      <c r="I370" s="39"/>
      <c r="J370" s="56"/>
      <c r="K370" s="4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74"/>
      <c r="C371" s="5"/>
      <c r="D371" s="27"/>
      <c r="E371" s="34"/>
      <c r="F371" s="44"/>
      <c r="G371" s="47"/>
      <c r="H371" s="53"/>
      <c r="I371" s="39"/>
      <c r="J371" s="56"/>
      <c r="K371" s="4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74"/>
      <c r="C372" s="5"/>
      <c r="D372" s="27"/>
      <c r="E372" s="34"/>
      <c r="F372" s="44"/>
      <c r="G372" s="47"/>
      <c r="H372" s="53"/>
      <c r="I372" s="39"/>
      <c r="J372" s="56"/>
      <c r="K372" s="4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74"/>
      <c r="C373" s="5"/>
      <c r="D373" s="27"/>
      <c r="E373" s="34"/>
      <c r="F373" s="44"/>
      <c r="G373" s="47"/>
      <c r="H373" s="53"/>
      <c r="I373" s="39"/>
      <c r="J373" s="56"/>
      <c r="K373" s="4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74"/>
      <c r="C374" s="5"/>
      <c r="D374" s="27"/>
      <c r="E374" s="34"/>
      <c r="F374" s="44"/>
      <c r="G374" s="47"/>
      <c r="H374" s="53"/>
      <c r="I374" s="39"/>
      <c r="J374" s="56"/>
      <c r="K374" s="4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74"/>
      <c r="C375" s="5"/>
      <c r="D375" s="27"/>
      <c r="E375" s="34"/>
      <c r="F375" s="44"/>
      <c r="G375" s="47"/>
      <c r="H375" s="53"/>
      <c r="I375" s="39"/>
      <c r="J375" s="56"/>
      <c r="K375" s="4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74"/>
      <c r="C376" s="5"/>
      <c r="D376" s="27"/>
      <c r="E376" s="34"/>
      <c r="F376" s="44"/>
      <c r="G376" s="47"/>
      <c r="H376" s="53"/>
      <c r="I376" s="39"/>
      <c r="J376" s="56"/>
      <c r="K376" s="4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74"/>
      <c r="C377" s="5"/>
      <c r="D377" s="27"/>
      <c r="E377" s="34"/>
      <c r="F377" s="44"/>
      <c r="G377" s="47"/>
      <c r="H377" s="53"/>
      <c r="I377" s="39"/>
      <c r="J377" s="56"/>
      <c r="K377" s="4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74"/>
      <c r="C378" s="5"/>
      <c r="D378" s="27"/>
      <c r="E378" s="34"/>
      <c r="F378" s="44"/>
      <c r="G378" s="47"/>
      <c r="H378" s="53"/>
      <c r="I378" s="39"/>
      <c r="J378" s="56"/>
      <c r="K378" s="4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74"/>
      <c r="C379" s="5"/>
      <c r="D379" s="27"/>
      <c r="E379" s="34"/>
      <c r="F379" s="44"/>
      <c r="G379" s="47"/>
      <c r="H379" s="53"/>
      <c r="I379" s="39"/>
      <c r="J379" s="56"/>
      <c r="K379" s="4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74"/>
      <c r="C380" s="5"/>
      <c r="D380" s="27"/>
      <c r="E380" s="34"/>
      <c r="F380" s="44"/>
      <c r="G380" s="47"/>
      <c r="H380" s="53"/>
      <c r="I380" s="39"/>
      <c r="J380" s="56"/>
      <c r="K380" s="4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74"/>
      <c r="C381" s="5"/>
      <c r="D381" s="27"/>
      <c r="E381" s="34"/>
      <c r="F381" s="44"/>
      <c r="G381" s="47"/>
      <c r="H381" s="53"/>
      <c r="I381" s="39"/>
      <c r="J381" s="56"/>
      <c r="K381" s="4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74"/>
      <c r="C382" s="5"/>
      <c r="D382" s="27"/>
      <c r="E382" s="34"/>
      <c r="F382" s="44"/>
      <c r="G382" s="47"/>
      <c r="H382" s="53"/>
      <c r="I382" s="39"/>
      <c r="J382" s="56"/>
      <c r="K382" s="4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74"/>
      <c r="C383" s="5"/>
      <c r="D383" s="27"/>
      <c r="E383" s="34"/>
      <c r="F383" s="44"/>
      <c r="G383" s="47"/>
      <c r="H383" s="53"/>
      <c r="I383" s="39"/>
      <c r="J383" s="56"/>
      <c r="K383" s="4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74"/>
      <c r="C384" s="5"/>
      <c r="D384" s="27"/>
      <c r="E384" s="34"/>
      <c r="F384" s="44"/>
      <c r="G384" s="47"/>
      <c r="H384" s="53"/>
      <c r="I384" s="39"/>
      <c r="J384" s="56"/>
      <c r="K384" s="4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74"/>
      <c r="C385" s="5"/>
      <c r="D385" s="27"/>
      <c r="E385" s="34"/>
      <c r="F385" s="44"/>
      <c r="G385" s="47"/>
      <c r="H385" s="53"/>
      <c r="I385" s="39"/>
      <c r="J385" s="56"/>
      <c r="K385" s="4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74"/>
      <c r="C386" s="5"/>
      <c r="D386" s="27"/>
      <c r="E386" s="34"/>
      <c r="F386" s="44"/>
      <c r="G386" s="47"/>
      <c r="H386" s="53"/>
      <c r="I386" s="39"/>
      <c r="J386" s="56"/>
      <c r="K386" s="4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74"/>
      <c r="C387" s="5"/>
      <c r="D387" s="27"/>
      <c r="E387" s="34"/>
      <c r="F387" s="44"/>
      <c r="G387" s="47"/>
      <c r="H387" s="53"/>
      <c r="I387" s="39"/>
      <c r="J387" s="56"/>
      <c r="K387" s="4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74"/>
      <c r="C388" s="5"/>
      <c r="D388" s="27"/>
      <c r="E388" s="34"/>
      <c r="F388" s="44"/>
      <c r="G388" s="47"/>
      <c r="H388" s="53"/>
      <c r="I388" s="39"/>
      <c r="J388" s="56"/>
      <c r="K388" s="4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74"/>
      <c r="C389" s="5"/>
      <c r="D389" s="27"/>
      <c r="E389" s="34"/>
      <c r="F389" s="44"/>
      <c r="G389" s="47"/>
      <c r="H389" s="53"/>
      <c r="I389" s="39"/>
      <c r="J389" s="56"/>
      <c r="K389" s="4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74"/>
      <c r="C390" s="5"/>
      <c r="D390" s="27"/>
      <c r="E390" s="34"/>
      <c r="F390" s="44"/>
      <c r="G390" s="47"/>
      <c r="H390" s="53"/>
      <c r="I390" s="39"/>
      <c r="J390" s="56"/>
      <c r="K390" s="4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74"/>
      <c r="C391" s="5"/>
      <c r="D391" s="27"/>
      <c r="E391" s="34"/>
      <c r="F391" s="44"/>
      <c r="G391" s="47"/>
      <c r="H391" s="53"/>
      <c r="I391" s="39"/>
      <c r="J391" s="56"/>
      <c r="K391" s="4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74"/>
      <c r="C392" s="5"/>
      <c r="D392" s="27"/>
      <c r="E392" s="34"/>
      <c r="F392" s="44"/>
      <c r="G392" s="47"/>
      <c r="H392" s="53"/>
      <c r="I392" s="39"/>
      <c r="J392" s="56"/>
      <c r="K392" s="4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74"/>
      <c r="C393" s="5"/>
      <c r="D393" s="27"/>
      <c r="E393" s="34"/>
      <c r="F393" s="44"/>
      <c r="G393" s="47"/>
      <c r="H393" s="53"/>
      <c r="I393" s="39"/>
      <c r="J393" s="56"/>
      <c r="K393" s="4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74"/>
      <c r="C394" s="5"/>
      <c r="D394" s="27"/>
      <c r="E394" s="34"/>
      <c r="F394" s="44"/>
      <c r="G394" s="47"/>
      <c r="H394" s="53"/>
      <c r="I394" s="39"/>
      <c r="J394" s="56"/>
      <c r="K394" s="4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74"/>
      <c r="C395" s="5"/>
      <c r="D395" s="27"/>
      <c r="E395" s="34"/>
      <c r="F395" s="44"/>
      <c r="G395" s="47"/>
      <c r="H395" s="53"/>
      <c r="I395" s="39"/>
      <c r="J395" s="56"/>
      <c r="K395" s="4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74"/>
      <c r="C396" s="5"/>
      <c r="D396" s="27"/>
      <c r="E396" s="34"/>
      <c r="F396" s="44"/>
      <c r="G396" s="47"/>
      <c r="H396" s="53"/>
      <c r="I396" s="39"/>
      <c r="J396" s="56"/>
      <c r="K396" s="4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74"/>
      <c r="C397" s="5"/>
      <c r="D397" s="27"/>
      <c r="E397" s="34"/>
      <c r="F397" s="44"/>
      <c r="G397" s="47"/>
      <c r="H397" s="53"/>
      <c r="I397" s="39"/>
      <c r="J397" s="56"/>
      <c r="K397" s="4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74"/>
      <c r="C398" s="5"/>
      <c r="D398" s="27"/>
      <c r="E398" s="34"/>
      <c r="F398" s="44"/>
      <c r="G398" s="47"/>
      <c r="H398" s="53"/>
      <c r="I398" s="39"/>
      <c r="J398" s="56"/>
      <c r="K398" s="4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74"/>
      <c r="C399" s="5"/>
      <c r="D399" s="27"/>
      <c r="E399" s="34"/>
      <c r="F399" s="44"/>
      <c r="G399" s="47"/>
      <c r="H399" s="53"/>
      <c r="I399" s="39"/>
      <c r="J399" s="56"/>
      <c r="K399" s="4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74"/>
      <c r="C400" s="5"/>
      <c r="D400" s="27"/>
      <c r="E400" s="34"/>
      <c r="F400" s="44"/>
      <c r="G400" s="47"/>
      <c r="H400" s="53"/>
      <c r="I400" s="39"/>
      <c r="J400" s="56"/>
      <c r="K400" s="4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74"/>
      <c r="C401" s="5"/>
      <c r="D401" s="27"/>
      <c r="E401" s="34"/>
      <c r="F401" s="44"/>
      <c r="G401" s="47"/>
      <c r="H401" s="53"/>
      <c r="I401" s="39"/>
      <c r="J401" s="56"/>
      <c r="K401" s="4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74"/>
      <c r="C402" s="5"/>
      <c r="D402" s="27"/>
      <c r="E402" s="34"/>
      <c r="F402" s="44"/>
      <c r="G402" s="47"/>
      <c r="H402" s="53"/>
      <c r="I402" s="39"/>
      <c r="J402" s="56"/>
      <c r="K402" s="4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74"/>
      <c r="C403" s="5"/>
      <c r="D403" s="27"/>
      <c r="E403" s="34"/>
      <c r="F403" s="44"/>
      <c r="G403" s="47"/>
      <c r="H403" s="53"/>
      <c r="I403" s="39"/>
      <c r="J403" s="56"/>
      <c r="K403" s="4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74"/>
      <c r="C404" s="5"/>
      <c r="D404" s="27"/>
      <c r="E404" s="34"/>
      <c r="F404" s="44"/>
      <c r="G404" s="47"/>
      <c r="H404" s="53"/>
      <c r="I404" s="39"/>
      <c r="J404" s="56"/>
      <c r="K404" s="4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74"/>
      <c r="C405" s="5"/>
      <c r="D405" s="27"/>
      <c r="E405" s="34"/>
      <c r="F405" s="44"/>
      <c r="G405" s="47"/>
      <c r="H405" s="53"/>
      <c r="I405" s="39"/>
      <c r="J405" s="56"/>
      <c r="K405" s="4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74"/>
      <c r="C406" s="5"/>
      <c r="D406" s="27"/>
      <c r="E406" s="34"/>
      <c r="F406" s="44"/>
      <c r="G406" s="47"/>
      <c r="H406" s="53"/>
      <c r="I406" s="39"/>
      <c r="J406" s="56"/>
      <c r="K406" s="4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74"/>
      <c r="C407" s="5"/>
      <c r="D407" s="27"/>
      <c r="E407" s="34"/>
      <c r="F407" s="44"/>
      <c r="G407" s="47"/>
      <c r="H407" s="53"/>
      <c r="I407" s="39"/>
      <c r="J407" s="56"/>
      <c r="K407" s="4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74"/>
      <c r="C408" s="5"/>
      <c r="D408" s="27"/>
      <c r="E408" s="34"/>
      <c r="F408" s="44"/>
      <c r="G408" s="47"/>
      <c r="H408" s="53"/>
      <c r="I408" s="39"/>
      <c r="J408" s="56"/>
      <c r="K408" s="4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74"/>
      <c r="C409" s="5"/>
      <c r="D409" s="27"/>
      <c r="E409" s="34"/>
      <c r="F409" s="44"/>
      <c r="G409" s="47"/>
      <c r="H409" s="53"/>
      <c r="I409" s="39"/>
      <c r="J409" s="56"/>
      <c r="K409" s="4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74"/>
      <c r="C410" s="5"/>
      <c r="D410" s="27"/>
      <c r="E410" s="34"/>
      <c r="F410" s="44"/>
      <c r="G410" s="47"/>
      <c r="H410" s="53"/>
      <c r="I410" s="39"/>
      <c r="J410" s="56"/>
      <c r="K410" s="4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74"/>
      <c r="C411" s="5"/>
      <c r="D411" s="27"/>
      <c r="E411" s="34"/>
      <c r="F411" s="44"/>
      <c r="G411" s="47"/>
      <c r="H411" s="53"/>
      <c r="I411" s="39"/>
      <c r="J411" s="56"/>
      <c r="K411" s="4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74"/>
      <c r="C412" s="5"/>
      <c r="D412" s="27"/>
      <c r="E412" s="34"/>
      <c r="F412" s="44"/>
      <c r="G412" s="47"/>
      <c r="H412" s="53"/>
      <c r="I412" s="39"/>
      <c r="J412" s="56"/>
      <c r="K412" s="4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74"/>
      <c r="C413" s="5"/>
      <c r="D413" s="27"/>
      <c r="E413" s="34"/>
      <c r="F413" s="44"/>
      <c r="G413" s="47"/>
      <c r="H413" s="53"/>
      <c r="I413" s="39"/>
      <c r="J413" s="56"/>
      <c r="K413" s="4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74"/>
      <c r="C414" s="5"/>
      <c r="D414" s="27"/>
      <c r="E414" s="34"/>
      <c r="F414" s="44"/>
      <c r="G414" s="47"/>
      <c r="H414" s="53"/>
      <c r="I414" s="39"/>
      <c r="J414" s="56"/>
      <c r="K414" s="4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74"/>
      <c r="C415" s="5"/>
      <c r="D415" s="27"/>
      <c r="E415" s="34"/>
      <c r="F415" s="44"/>
      <c r="G415" s="47"/>
      <c r="H415" s="53"/>
      <c r="I415" s="39"/>
      <c r="J415" s="56"/>
      <c r="K415" s="4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74"/>
      <c r="C416" s="5"/>
      <c r="D416" s="27"/>
      <c r="E416" s="34"/>
      <c r="F416" s="44"/>
      <c r="G416" s="47"/>
      <c r="H416" s="53"/>
      <c r="I416" s="39"/>
      <c r="J416" s="56"/>
      <c r="K416" s="4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74"/>
      <c r="C417" s="5"/>
      <c r="D417" s="27"/>
      <c r="E417" s="34"/>
      <c r="F417" s="44"/>
      <c r="G417" s="47"/>
      <c r="H417" s="53"/>
      <c r="I417" s="39"/>
      <c r="J417" s="56"/>
      <c r="K417" s="4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74"/>
      <c r="C418" s="5"/>
      <c r="D418" s="27"/>
      <c r="E418" s="34"/>
      <c r="F418" s="44"/>
      <c r="G418" s="47"/>
      <c r="H418" s="53"/>
      <c r="I418" s="39"/>
      <c r="J418" s="56"/>
      <c r="K418" s="4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74"/>
      <c r="C419" s="5"/>
      <c r="D419" s="27"/>
      <c r="E419" s="34"/>
      <c r="F419" s="44"/>
      <c r="G419" s="47"/>
      <c r="H419" s="53"/>
      <c r="I419" s="39"/>
      <c r="J419" s="56"/>
      <c r="K419" s="4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74"/>
      <c r="C420" s="5"/>
      <c r="D420" s="27"/>
      <c r="E420" s="34"/>
      <c r="F420" s="44"/>
      <c r="G420" s="47"/>
      <c r="H420" s="53"/>
      <c r="I420" s="39"/>
      <c r="J420" s="56"/>
      <c r="K420" s="4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74"/>
      <c r="C421" s="5"/>
      <c r="D421" s="27"/>
      <c r="E421" s="34"/>
      <c r="F421" s="44"/>
      <c r="G421" s="47"/>
      <c r="H421" s="53"/>
      <c r="I421" s="39"/>
      <c r="J421" s="56"/>
      <c r="K421" s="4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74"/>
      <c r="C422" s="5"/>
      <c r="D422" s="27"/>
      <c r="E422" s="34"/>
      <c r="F422" s="44"/>
      <c r="G422" s="47"/>
      <c r="H422" s="53"/>
      <c r="I422" s="39"/>
      <c r="J422" s="56"/>
      <c r="K422" s="4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74"/>
      <c r="C423" s="5"/>
      <c r="D423" s="27"/>
      <c r="E423" s="34"/>
      <c r="F423" s="44"/>
      <c r="G423" s="47"/>
      <c r="H423" s="53"/>
      <c r="I423" s="39"/>
      <c r="J423" s="56"/>
      <c r="K423" s="4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74"/>
      <c r="C424" s="5"/>
      <c r="D424" s="27"/>
      <c r="E424" s="34"/>
      <c r="F424" s="44"/>
      <c r="G424" s="47"/>
      <c r="H424" s="53"/>
      <c r="I424" s="39"/>
      <c r="J424" s="56"/>
      <c r="K424" s="4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74"/>
      <c r="C425" s="5"/>
      <c r="D425" s="27"/>
      <c r="E425" s="34"/>
      <c r="F425" s="44"/>
      <c r="G425" s="47"/>
      <c r="H425" s="53"/>
      <c r="I425" s="39"/>
      <c r="J425" s="56"/>
      <c r="K425" s="4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74"/>
      <c r="C426" s="5"/>
      <c r="D426" s="27"/>
      <c r="E426" s="34"/>
      <c r="F426" s="44"/>
      <c r="G426" s="47"/>
      <c r="H426" s="53"/>
      <c r="I426" s="39"/>
      <c r="J426" s="56"/>
      <c r="K426" s="4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74"/>
      <c r="C427" s="5"/>
      <c r="D427" s="27"/>
      <c r="E427" s="34"/>
      <c r="F427" s="44"/>
      <c r="G427" s="47"/>
      <c r="H427" s="53"/>
      <c r="I427" s="39"/>
      <c r="J427" s="56"/>
      <c r="K427" s="4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74"/>
      <c r="C428" s="5"/>
      <c r="D428" s="27"/>
      <c r="E428" s="34"/>
      <c r="F428" s="44"/>
      <c r="G428" s="47"/>
      <c r="H428" s="53"/>
      <c r="I428" s="39"/>
      <c r="J428" s="56"/>
      <c r="K428" s="4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74"/>
      <c r="C429" s="5"/>
      <c r="D429" s="27"/>
      <c r="E429" s="34"/>
      <c r="F429" s="44"/>
      <c r="G429" s="47"/>
      <c r="H429" s="53"/>
      <c r="I429" s="39"/>
      <c r="J429" s="56"/>
      <c r="K429" s="4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74"/>
      <c r="C430" s="5"/>
      <c r="D430" s="27"/>
      <c r="E430" s="34"/>
      <c r="F430" s="44"/>
      <c r="G430" s="47"/>
      <c r="H430" s="53"/>
      <c r="I430" s="39"/>
      <c r="J430" s="56"/>
      <c r="K430" s="4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74"/>
      <c r="C431" s="5"/>
      <c r="D431" s="27"/>
      <c r="E431" s="34"/>
      <c r="F431" s="44"/>
      <c r="G431" s="47"/>
      <c r="H431" s="53"/>
      <c r="I431" s="39"/>
      <c r="J431" s="56"/>
      <c r="K431" s="4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74"/>
      <c r="C432" s="5"/>
      <c r="D432" s="27"/>
      <c r="E432" s="34"/>
      <c r="F432" s="44"/>
      <c r="G432" s="47"/>
      <c r="H432" s="53"/>
      <c r="I432" s="39"/>
      <c r="J432" s="56"/>
      <c r="K432" s="4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74"/>
      <c r="C433" s="5"/>
      <c r="D433" s="27"/>
      <c r="E433" s="34"/>
      <c r="F433" s="44"/>
      <c r="G433" s="47"/>
      <c r="H433" s="53"/>
      <c r="I433" s="39"/>
      <c r="J433" s="56"/>
      <c r="K433" s="4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74"/>
      <c r="C434" s="5"/>
      <c r="D434" s="27"/>
      <c r="E434" s="34"/>
      <c r="F434" s="44"/>
      <c r="G434" s="47"/>
      <c r="H434" s="53"/>
      <c r="I434" s="39"/>
      <c r="J434" s="56"/>
      <c r="K434" s="4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74"/>
      <c r="C435" s="5"/>
      <c r="D435" s="27"/>
      <c r="E435" s="34"/>
      <c r="F435" s="44"/>
      <c r="G435" s="47"/>
      <c r="H435" s="53"/>
      <c r="I435" s="39"/>
      <c r="J435" s="56"/>
      <c r="K435" s="4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74"/>
      <c r="C436" s="5"/>
      <c r="D436" s="27"/>
      <c r="E436" s="34"/>
      <c r="F436" s="44"/>
      <c r="G436" s="47"/>
      <c r="H436" s="53"/>
      <c r="I436" s="39"/>
      <c r="J436" s="56"/>
      <c r="K436" s="4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74"/>
      <c r="C437" s="5"/>
      <c r="D437" s="27"/>
      <c r="E437" s="34"/>
      <c r="F437" s="44"/>
      <c r="G437" s="47"/>
      <c r="H437" s="53"/>
      <c r="I437" s="39"/>
      <c r="J437" s="56"/>
      <c r="K437" s="4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74"/>
      <c r="C438" s="5"/>
      <c r="D438" s="27"/>
      <c r="E438" s="34"/>
      <c r="F438" s="44"/>
      <c r="G438" s="47"/>
      <c r="H438" s="53"/>
      <c r="I438" s="39"/>
      <c r="J438" s="56"/>
      <c r="K438" s="4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74"/>
      <c r="C439" s="5"/>
      <c r="D439" s="27"/>
      <c r="E439" s="34"/>
      <c r="F439" s="44"/>
      <c r="G439" s="47"/>
      <c r="H439" s="53"/>
      <c r="I439" s="39"/>
      <c r="J439" s="56"/>
      <c r="K439" s="4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74"/>
      <c r="C440" s="5"/>
      <c r="D440" s="27"/>
      <c r="E440" s="34"/>
      <c r="F440" s="44"/>
      <c r="G440" s="47"/>
      <c r="H440" s="53"/>
      <c r="I440" s="39"/>
      <c r="J440" s="56"/>
      <c r="K440" s="4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74"/>
      <c r="C441" s="5"/>
      <c r="D441" s="27"/>
      <c r="E441" s="34"/>
      <c r="F441" s="44"/>
      <c r="G441" s="47"/>
      <c r="H441" s="53"/>
      <c r="I441" s="39"/>
      <c r="J441" s="56"/>
      <c r="K441" s="4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74"/>
      <c r="C442" s="5"/>
      <c r="D442" s="27"/>
      <c r="E442" s="34"/>
      <c r="F442" s="44"/>
      <c r="G442" s="47"/>
      <c r="H442" s="53"/>
      <c r="I442" s="39"/>
      <c r="J442" s="56"/>
      <c r="K442" s="4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74"/>
      <c r="C443" s="5"/>
      <c r="D443" s="27"/>
      <c r="E443" s="34"/>
      <c r="F443" s="44"/>
      <c r="G443" s="47"/>
      <c r="H443" s="53"/>
      <c r="I443" s="39"/>
      <c r="J443" s="56"/>
      <c r="K443" s="4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74"/>
      <c r="C444" s="5"/>
      <c r="D444" s="27"/>
      <c r="E444" s="34"/>
      <c r="F444" s="44"/>
      <c r="G444" s="47"/>
      <c r="H444" s="53"/>
      <c r="I444" s="39"/>
      <c r="J444" s="56"/>
      <c r="K444" s="4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74"/>
      <c r="C445" s="5"/>
      <c r="D445" s="27"/>
      <c r="E445" s="34"/>
      <c r="F445" s="44"/>
      <c r="G445" s="47"/>
      <c r="H445" s="53"/>
      <c r="I445" s="39"/>
      <c r="J445" s="56"/>
      <c r="K445" s="4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74"/>
      <c r="C446" s="5"/>
      <c r="D446" s="27"/>
      <c r="E446" s="34"/>
      <c r="F446" s="44"/>
      <c r="G446" s="47"/>
      <c r="H446" s="53"/>
      <c r="I446" s="39"/>
      <c r="J446" s="56"/>
      <c r="K446" s="4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74"/>
      <c r="C447" s="5"/>
      <c r="D447" s="27"/>
      <c r="E447" s="34"/>
      <c r="F447" s="44"/>
      <c r="G447" s="47"/>
      <c r="H447" s="53"/>
      <c r="I447" s="39"/>
      <c r="J447" s="56"/>
      <c r="K447" s="4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74"/>
      <c r="C448" s="5"/>
      <c r="D448" s="27"/>
      <c r="E448" s="34"/>
      <c r="F448" s="44"/>
      <c r="G448" s="47"/>
      <c r="H448" s="53"/>
      <c r="I448" s="39"/>
      <c r="J448" s="56"/>
      <c r="K448" s="4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74"/>
      <c r="C449" s="5"/>
      <c r="D449" s="27"/>
      <c r="E449" s="34"/>
      <c r="F449" s="44"/>
      <c r="G449" s="47"/>
      <c r="H449" s="53"/>
      <c r="I449" s="39"/>
      <c r="J449" s="56"/>
      <c r="K449" s="4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74"/>
      <c r="C450" s="5"/>
      <c r="D450" s="27"/>
      <c r="E450" s="34"/>
      <c r="F450" s="44"/>
      <c r="G450" s="47"/>
      <c r="H450" s="53"/>
      <c r="I450" s="39"/>
      <c r="J450" s="56"/>
      <c r="K450" s="4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74"/>
      <c r="C451" s="5"/>
      <c r="D451" s="27"/>
      <c r="E451" s="34"/>
      <c r="F451" s="44"/>
      <c r="G451" s="47"/>
      <c r="H451" s="53"/>
      <c r="I451" s="39"/>
      <c r="J451" s="56"/>
      <c r="K451" s="4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74"/>
      <c r="C452" s="5"/>
      <c r="D452" s="27"/>
      <c r="E452" s="34"/>
      <c r="F452" s="44"/>
      <c r="G452" s="47"/>
      <c r="H452" s="53"/>
      <c r="I452" s="39"/>
      <c r="J452" s="56"/>
      <c r="K452" s="4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74"/>
      <c r="C453" s="5"/>
      <c r="D453" s="27"/>
      <c r="E453" s="34"/>
      <c r="F453" s="44"/>
      <c r="G453" s="47"/>
      <c r="H453" s="53"/>
      <c r="I453" s="39"/>
      <c r="J453" s="56"/>
      <c r="K453" s="4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74"/>
      <c r="C454" s="5"/>
      <c r="D454" s="27"/>
      <c r="E454" s="34"/>
      <c r="F454" s="44"/>
      <c r="G454" s="47"/>
      <c r="H454" s="53"/>
      <c r="I454" s="39"/>
      <c r="J454" s="56"/>
      <c r="K454" s="4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74"/>
      <c r="C455" s="5"/>
      <c r="D455" s="27"/>
      <c r="E455" s="34"/>
      <c r="F455" s="44"/>
      <c r="G455" s="47"/>
      <c r="H455" s="53"/>
      <c r="I455" s="39"/>
      <c r="J455" s="56"/>
      <c r="K455" s="4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74"/>
      <c r="C456" s="5"/>
      <c r="D456" s="27"/>
      <c r="E456" s="34"/>
      <c r="F456" s="44"/>
      <c r="G456" s="47"/>
      <c r="H456" s="53"/>
      <c r="I456" s="39"/>
      <c r="J456" s="56"/>
      <c r="K456" s="4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74"/>
      <c r="C457" s="5"/>
      <c r="D457" s="27"/>
      <c r="E457" s="34"/>
      <c r="F457" s="44"/>
      <c r="G457" s="47"/>
      <c r="H457" s="53"/>
      <c r="I457" s="39"/>
      <c r="J457" s="56"/>
      <c r="K457" s="4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74"/>
      <c r="C458" s="5"/>
      <c r="D458" s="27"/>
      <c r="E458" s="34"/>
      <c r="F458" s="44"/>
      <c r="G458" s="47"/>
      <c r="H458" s="53"/>
      <c r="I458" s="39"/>
      <c r="J458" s="56"/>
      <c r="K458" s="4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74"/>
      <c r="C459" s="5"/>
      <c r="D459" s="27"/>
      <c r="E459" s="34"/>
      <c r="F459" s="44"/>
      <c r="G459" s="47"/>
      <c r="H459" s="53"/>
      <c r="I459" s="39"/>
      <c r="J459" s="56"/>
      <c r="K459" s="4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74"/>
      <c r="C460" s="5"/>
      <c r="D460" s="27"/>
      <c r="E460" s="34"/>
      <c r="F460" s="44"/>
      <c r="G460" s="47"/>
      <c r="H460" s="53"/>
      <c r="I460" s="39"/>
      <c r="J460" s="56"/>
      <c r="K460" s="4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74"/>
      <c r="C461" s="5"/>
      <c r="D461" s="27"/>
      <c r="E461" s="34"/>
      <c r="F461" s="44"/>
      <c r="G461" s="47"/>
      <c r="H461" s="53"/>
      <c r="I461" s="39"/>
      <c r="J461" s="56"/>
      <c r="K461" s="4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74"/>
      <c r="C462" s="5"/>
      <c r="D462" s="27"/>
      <c r="E462" s="34"/>
      <c r="F462" s="44"/>
      <c r="G462" s="47"/>
      <c r="H462" s="53"/>
      <c r="I462" s="39"/>
      <c r="J462" s="56"/>
      <c r="K462" s="4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74"/>
      <c r="C463" s="5"/>
      <c r="D463" s="27"/>
      <c r="E463" s="34"/>
      <c r="F463" s="44"/>
      <c r="G463" s="47"/>
      <c r="H463" s="53"/>
      <c r="I463" s="39"/>
      <c r="J463" s="56"/>
      <c r="K463" s="4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74"/>
      <c r="C464" s="5"/>
      <c r="D464" s="27"/>
      <c r="E464" s="34"/>
      <c r="F464" s="44"/>
      <c r="G464" s="47"/>
      <c r="H464" s="53"/>
      <c r="I464" s="39"/>
      <c r="J464" s="56"/>
      <c r="K464" s="4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74"/>
      <c r="C465" s="5"/>
      <c r="D465" s="27"/>
      <c r="E465" s="34"/>
      <c r="F465" s="44"/>
      <c r="G465" s="47"/>
      <c r="H465" s="53"/>
      <c r="I465" s="39"/>
      <c r="J465" s="56"/>
      <c r="K465" s="4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74"/>
      <c r="C466" s="5"/>
      <c r="D466" s="27"/>
      <c r="E466" s="34"/>
      <c r="F466" s="44"/>
      <c r="G466" s="47"/>
      <c r="H466" s="53"/>
      <c r="I466" s="39"/>
      <c r="J466" s="56"/>
      <c r="K466" s="4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74"/>
      <c r="C467" s="5"/>
      <c r="D467" s="27"/>
      <c r="E467" s="34"/>
      <c r="F467" s="44"/>
      <c r="G467" s="47"/>
      <c r="H467" s="53"/>
      <c r="I467" s="39"/>
      <c r="J467" s="56"/>
      <c r="K467" s="4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74"/>
      <c r="C468" s="5"/>
      <c r="D468" s="27"/>
      <c r="E468" s="34"/>
      <c r="F468" s="44"/>
      <c r="G468" s="47"/>
      <c r="H468" s="53"/>
      <c r="I468" s="39"/>
      <c r="J468" s="56"/>
      <c r="K468" s="4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74"/>
      <c r="C469" s="5"/>
      <c r="D469" s="27"/>
      <c r="E469" s="34"/>
      <c r="F469" s="44"/>
      <c r="G469" s="47"/>
      <c r="H469" s="53"/>
      <c r="I469" s="39"/>
      <c r="J469" s="56"/>
      <c r="K469" s="4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74"/>
      <c r="C470" s="5"/>
      <c r="D470" s="27"/>
      <c r="E470" s="34"/>
      <c r="F470" s="44"/>
      <c r="G470" s="47"/>
      <c r="H470" s="53"/>
      <c r="I470" s="39"/>
      <c r="J470" s="56"/>
      <c r="K470" s="4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74"/>
      <c r="C471" s="5"/>
      <c r="D471" s="27"/>
      <c r="E471" s="34"/>
      <c r="F471" s="44"/>
      <c r="G471" s="47"/>
      <c r="H471" s="53"/>
      <c r="I471" s="39"/>
      <c r="J471" s="56"/>
      <c r="K471" s="4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74"/>
      <c r="C472" s="5"/>
      <c r="D472" s="27"/>
      <c r="E472" s="34"/>
      <c r="F472" s="44"/>
      <c r="G472" s="47"/>
      <c r="H472" s="53"/>
      <c r="I472" s="39"/>
      <c r="J472" s="56"/>
      <c r="K472" s="4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74"/>
      <c r="C473" s="5"/>
      <c r="D473" s="27"/>
      <c r="E473" s="34"/>
      <c r="F473" s="44"/>
      <c r="G473" s="47"/>
      <c r="H473" s="53"/>
      <c r="I473" s="39"/>
      <c r="J473" s="56"/>
      <c r="K473" s="4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74"/>
      <c r="C474" s="5"/>
      <c r="D474" s="27"/>
      <c r="E474" s="34"/>
      <c r="F474" s="44"/>
      <c r="G474" s="47"/>
      <c r="H474" s="53"/>
      <c r="I474" s="39"/>
      <c r="J474" s="56"/>
      <c r="K474" s="4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74"/>
      <c r="C475" s="5"/>
      <c r="D475" s="27"/>
      <c r="E475" s="34"/>
      <c r="F475" s="44"/>
      <c r="G475" s="47"/>
      <c r="H475" s="53"/>
      <c r="I475" s="39"/>
      <c r="J475" s="56"/>
      <c r="K475" s="4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74"/>
      <c r="C476" s="5"/>
      <c r="D476" s="27"/>
      <c r="E476" s="34"/>
      <c r="F476" s="44"/>
      <c r="G476" s="47"/>
      <c r="H476" s="53"/>
      <c r="I476" s="39"/>
      <c r="J476" s="56"/>
      <c r="K476" s="4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74"/>
      <c r="C477" s="5"/>
      <c r="D477" s="27"/>
      <c r="E477" s="34"/>
      <c r="F477" s="44"/>
      <c r="G477" s="47"/>
      <c r="H477" s="53"/>
      <c r="I477" s="39"/>
      <c r="J477" s="56"/>
      <c r="K477" s="4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74"/>
      <c r="C478" s="5"/>
      <c r="D478" s="27"/>
      <c r="E478" s="34"/>
      <c r="F478" s="44"/>
      <c r="G478" s="47"/>
      <c r="H478" s="53"/>
      <c r="I478" s="39"/>
      <c r="J478" s="56"/>
      <c r="K478" s="4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74"/>
      <c r="C479" s="5"/>
      <c r="D479" s="27"/>
      <c r="E479" s="34"/>
      <c r="F479" s="44"/>
      <c r="G479" s="47"/>
      <c r="H479" s="53"/>
      <c r="I479" s="39"/>
      <c r="J479" s="56"/>
      <c r="K479" s="4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74"/>
      <c r="C480" s="5"/>
      <c r="D480" s="27"/>
      <c r="E480" s="34"/>
      <c r="F480" s="44"/>
      <c r="G480" s="47"/>
      <c r="H480" s="53"/>
      <c r="I480" s="39"/>
      <c r="J480" s="56"/>
      <c r="K480" s="4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74"/>
      <c r="C481" s="5"/>
      <c r="D481" s="27"/>
      <c r="E481" s="34"/>
      <c r="F481" s="44"/>
      <c r="G481" s="47"/>
      <c r="H481" s="53"/>
      <c r="I481" s="39"/>
      <c r="J481" s="56"/>
      <c r="K481" s="4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74"/>
      <c r="C482" s="5"/>
      <c r="D482" s="27"/>
      <c r="E482" s="34"/>
      <c r="F482" s="44"/>
      <c r="G482" s="47"/>
      <c r="H482" s="53"/>
      <c r="I482" s="39"/>
      <c r="J482" s="56"/>
      <c r="K482" s="4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74"/>
      <c r="C483" s="5"/>
      <c r="D483" s="27"/>
      <c r="E483" s="34"/>
      <c r="F483" s="44"/>
      <c r="G483" s="47"/>
      <c r="H483" s="53"/>
      <c r="I483" s="39"/>
      <c r="J483" s="56"/>
      <c r="K483" s="4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74"/>
      <c r="C484" s="5"/>
      <c r="D484" s="27"/>
      <c r="E484" s="34"/>
      <c r="F484" s="44"/>
      <c r="G484" s="47"/>
      <c r="H484" s="53"/>
      <c r="I484" s="39"/>
      <c r="J484" s="56"/>
      <c r="K484" s="4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74"/>
      <c r="C485" s="5"/>
      <c r="D485" s="27"/>
      <c r="E485" s="34"/>
      <c r="F485" s="44"/>
      <c r="G485" s="47"/>
      <c r="H485" s="53"/>
      <c r="I485" s="39"/>
      <c r="J485" s="56"/>
      <c r="K485" s="4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74"/>
      <c r="C486" s="5"/>
      <c r="D486" s="27"/>
      <c r="E486" s="34"/>
      <c r="F486" s="44"/>
      <c r="G486" s="47"/>
      <c r="H486" s="53"/>
      <c r="I486" s="39"/>
      <c r="J486" s="56"/>
      <c r="K486" s="4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74"/>
      <c r="C487" s="5"/>
      <c r="D487" s="27"/>
      <c r="E487" s="34"/>
      <c r="F487" s="44"/>
      <c r="G487" s="47"/>
      <c r="H487" s="53"/>
      <c r="I487" s="39"/>
      <c r="J487" s="56"/>
      <c r="K487" s="4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74"/>
      <c r="C488" s="5"/>
      <c r="D488" s="27"/>
      <c r="E488" s="34"/>
      <c r="F488" s="44"/>
      <c r="G488" s="47"/>
      <c r="H488" s="53"/>
      <c r="I488" s="39"/>
      <c r="J488" s="56"/>
      <c r="K488" s="4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74"/>
      <c r="C489" s="5"/>
      <c r="D489" s="27"/>
      <c r="E489" s="34"/>
      <c r="F489" s="44"/>
      <c r="G489" s="47"/>
      <c r="H489" s="53"/>
      <c r="I489" s="39"/>
      <c r="J489" s="56"/>
      <c r="K489" s="4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74"/>
      <c r="C490" s="5"/>
      <c r="D490" s="27"/>
      <c r="E490" s="34"/>
      <c r="F490" s="44"/>
      <c r="G490" s="47"/>
      <c r="H490" s="53"/>
      <c r="I490" s="39"/>
      <c r="J490" s="56"/>
      <c r="K490" s="4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74"/>
      <c r="C491" s="5"/>
      <c r="D491" s="27"/>
      <c r="E491" s="34"/>
      <c r="F491" s="44"/>
      <c r="G491" s="47"/>
      <c r="H491" s="53"/>
      <c r="I491" s="39"/>
      <c r="J491" s="56"/>
      <c r="K491" s="4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74"/>
      <c r="C492" s="5"/>
      <c r="D492" s="27"/>
      <c r="E492" s="34"/>
      <c r="F492" s="44"/>
      <c r="G492" s="47"/>
      <c r="H492" s="53"/>
      <c r="I492" s="39"/>
      <c r="J492" s="56"/>
      <c r="K492" s="4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74"/>
      <c r="C493" s="5"/>
      <c r="D493" s="27"/>
      <c r="E493" s="34"/>
      <c r="F493" s="44"/>
      <c r="G493" s="47"/>
      <c r="H493" s="53"/>
      <c r="I493" s="39"/>
      <c r="J493" s="56"/>
      <c r="K493" s="4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74"/>
      <c r="C494" s="5"/>
      <c r="D494" s="27"/>
      <c r="E494" s="34"/>
      <c r="F494" s="44"/>
      <c r="G494" s="47"/>
      <c r="H494" s="53"/>
      <c r="I494" s="39"/>
      <c r="J494" s="56"/>
      <c r="K494" s="4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74"/>
      <c r="C495" s="5"/>
      <c r="D495" s="27"/>
      <c r="E495" s="34"/>
      <c r="F495" s="44"/>
      <c r="G495" s="47"/>
      <c r="H495" s="53"/>
      <c r="I495" s="39"/>
      <c r="J495" s="56"/>
      <c r="K495" s="4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74"/>
      <c r="C496" s="5"/>
      <c r="D496" s="27"/>
      <c r="E496" s="34"/>
      <c r="F496" s="44"/>
      <c r="G496" s="47"/>
      <c r="H496" s="53"/>
      <c r="I496" s="39"/>
      <c r="J496" s="56"/>
      <c r="K496" s="4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74"/>
      <c r="C497" s="5"/>
      <c r="D497" s="27"/>
      <c r="E497" s="34"/>
      <c r="F497" s="44"/>
      <c r="G497" s="47"/>
      <c r="H497" s="53"/>
      <c r="I497" s="39"/>
      <c r="J497" s="56"/>
      <c r="K497" s="4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74"/>
      <c r="C498" s="5"/>
      <c r="D498" s="27"/>
      <c r="E498" s="34"/>
      <c r="F498" s="44"/>
      <c r="G498" s="47"/>
      <c r="H498" s="53"/>
      <c r="I498" s="39"/>
      <c r="J498" s="56"/>
      <c r="K498" s="4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74"/>
      <c r="C499" s="5"/>
      <c r="D499" s="27"/>
      <c r="E499" s="34"/>
      <c r="F499" s="44"/>
      <c r="G499" s="47"/>
      <c r="H499" s="53"/>
      <c r="I499" s="39"/>
      <c r="J499" s="56"/>
      <c r="K499" s="4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74"/>
      <c r="C500" s="5"/>
      <c r="D500" s="27"/>
      <c r="E500" s="34"/>
      <c r="F500" s="44"/>
      <c r="G500" s="47"/>
      <c r="H500" s="53"/>
      <c r="I500" s="39"/>
      <c r="J500" s="56"/>
      <c r="K500" s="4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74"/>
      <c r="C501" s="5"/>
      <c r="D501" s="27"/>
      <c r="E501" s="34"/>
      <c r="F501" s="44"/>
      <c r="G501" s="47"/>
      <c r="H501" s="53"/>
      <c r="I501" s="39"/>
      <c r="J501" s="56"/>
      <c r="K501" s="4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74"/>
      <c r="C502" s="5"/>
      <c r="D502" s="27"/>
      <c r="E502" s="34"/>
      <c r="F502" s="44"/>
      <c r="G502" s="47"/>
      <c r="H502" s="53"/>
      <c r="I502" s="39"/>
      <c r="J502" s="56"/>
      <c r="K502" s="4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74"/>
      <c r="C503" s="5"/>
      <c r="D503" s="27"/>
      <c r="E503" s="34"/>
      <c r="F503" s="44"/>
      <c r="G503" s="47"/>
      <c r="H503" s="53"/>
      <c r="I503" s="39"/>
      <c r="J503" s="56"/>
      <c r="K503" s="4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74"/>
      <c r="C504" s="5"/>
      <c r="D504" s="27"/>
      <c r="E504" s="34"/>
      <c r="F504" s="44"/>
      <c r="G504" s="47"/>
      <c r="H504" s="53"/>
      <c r="I504" s="39"/>
      <c r="J504" s="56"/>
      <c r="K504" s="4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74"/>
      <c r="C505" s="5"/>
      <c r="D505" s="27"/>
      <c r="E505" s="34"/>
      <c r="F505" s="44"/>
      <c r="G505" s="47"/>
      <c r="H505" s="53"/>
      <c r="I505" s="39"/>
      <c r="J505" s="56"/>
      <c r="K505" s="4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74"/>
      <c r="C506" s="5"/>
      <c r="D506" s="27"/>
      <c r="E506" s="34"/>
      <c r="F506" s="44"/>
      <c r="G506" s="47"/>
      <c r="H506" s="53"/>
      <c r="I506" s="39"/>
      <c r="J506" s="56"/>
      <c r="K506" s="4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74"/>
      <c r="C507" s="5"/>
      <c r="D507" s="27"/>
      <c r="E507" s="34"/>
      <c r="F507" s="44"/>
      <c r="G507" s="47"/>
      <c r="H507" s="53"/>
      <c r="I507" s="39"/>
      <c r="J507" s="56"/>
      <c r="K507" s="4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74"/>
      <c r="C508" s="5"/>
      <c r="D508" s="27"/>
      <c r="E508" s="34"/>
      <c r="F508" s="44"/>
      <c r="G508" s="47"/>
      <c r="H508" s="53"/>
      <c r="I508" s="39"/>
      <c r="J508" s="56"/>
      <c r="K508" s="4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74"/>
      <c r="C509" s="5"/>
      <c r="D509" s="27"/>
      <c r="E509" s="34"/>
      <c r="F509" s="44"/>
      <c r="G509" s="47"/>
      <c r="H509" s="53"/>
      <c r="I509" s="39"/>
      <c r="J509" s="56"/>
      <c r="K509" s="4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74"/>
      <c r="C510" s="5"/>
      <c r="D510" s="27"/>
      <c r="E510" s="34"/>
      <c r="F510" s="44"/>
      <c r="G510" s="47"/>
      <c r="H510" s="53"/>
      <c r="I510" s="39"/>
      <c r="J510" s="56"/>
      <c r="K510" s="4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74"/>
      <c r="C511" s="5"/>
      <c r="D511" s="27"/>
      <c r="E511" s="34"/>
      <c r="F511" s="44"/>
      <c r="G511" s="47"/>
      <c r="H511" s="53"/>
      <c r="I511" s="39"/>
      <c r="J511" s="56"/>
      <c r="K511" s="4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74"/>
      <c r="C512" s="5"/>
      <c r="D512" s="27"/>
      <c r="E512" s="34"/>
      <c r="F512" s="44"/>
      <c r="G512" s="47"/>
      <c r="H512" s="53"/>
      <c r="I512" s="39"/>
      <c r="J512" s="56"/>
      <c r="K512" s="4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74"/>
      <c r="C513" s="5"/>
      <c r="D513" s="27"/>
      <c r="E513" s="34"/>
      <c r="F513" s="44"/>
      <c r="G513" s="47"/>
      <c r="H513" s="53"/>
      <c r="I513" s="39"/>
      <c r="J513" s="56"/>
      <c r="K513" s="4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74"/>
      <c r="C514" s="5"/>
      <c r="D514" s="27"/>
      <c r="E514" s="34"/>
      <c r="F514" s="44"/>
      <c r="G514" s="47"/>
      <c r="H514" s="53"/>
      <c r="I514" s="39"/>
      <c r="J514" s="56"/>
      <c r="K514" s="4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74"/>
      <c r="C515" s="5"/>
      <c r="D515" s="27"/>
      <c r="E515" s="34"/>
      <c r="F515" s="44"/>
      <c r="G515" s="47"/>
      <c r="H515" s="53"/>
      <c r="I515" s="39"/>
      <c r="J515" s="56"/>
      <c r="K515" s="4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74"/>
      <c r="C516" s="5"/>
      <c r="D516" s="27"/>
      <c r="E516" s="34"/>
      <c r="F516" s="44"/>
      <c r="G516" s="47"/>
      <c r="H516" s="53"/>
      <c r="I516" s="39"/>
      <c r="J516" s="56"/>
      <c r="K516" s="4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74"/>
      <c r="C517" s="5"/>
      <c r="D517" s="27"/>
      <c r="E517" s="34"/>
      <c r="F517" s="44"/>
      <c r="G517" s="47"/>
      <c r="H517" s="53"/>
      <c r="I517" s="39"/>
      <c r="J517" s="56"/>
      <c r="K517" s="4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74"/>
      <c r="C518" s="5"/>
      <c r="D518" s="27"/>
      <c r="E518" s="34"/>
      <c r="F518" s="44"/>
      <c r="G518" s="47"/>
      <c r="H518" s="53"/>
      <c r="I518" s="39"/>
      <c r="J518" s="56"/>
      <c r="K518" s="4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74"/>
      <c r="C519" s="5"/>
      <c r="D519" s="27"/>
      <c r="E519" s="34"/>
      <c r="F519" s="44"/>
      <c r="G519" s="47"/>
      <c r="H519" s="53"/>
      <c r="I519" s="39"/>
      <c r="J519" s="56"/>
      <c r="K519" s="4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74"/>
      <c r="C520" s="5"/>
      <c r="D520" s="27"/>
      <c r="E520" s="34"/>
      <c r="F520" s="44"/>
      <c r="G520" s="47"/>
      <c r="H520" s="53"/>
      <c r="I520" s="39"/>
      <c r="J520" s="56"/>
      <c r="K520" s="4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74"/>
      <c r="C521" s="5"/>
      <c r="D521" s="27"/>
      <c r="E521" s="34"/>
      <c r="F521" s="44"/>
      <c r="G521" s="47"/>
      <c r="H521" s="53"/>
      <c r="I521" s="39"/>
      <c r="J521" s="56"/>
      <c r="K521" s="4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74"/>
      <c r="C522" s="5"/>
      <c r="D522" s="27"/>
      <c r="E522" s="34"/>
      <c r="F522" s="44"/>
      <c r="G522" s="47"/>
      <c r="H522" s="53"/>
      <c r="I522" s="39"/>
      <c r="J522" s="56"/>
      <c r="K522" s="4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74"/>
      <c r="C523" s="5"/>
      <c r="D523" s="27"/>
      <c r="E523" s="34"/>
      <c r="F523" s="44"/>
      <c r="G523" s="47"/>
      <c r="H523" s="53"/>
      <c r="I523" s="39"/>
      <c r="J523" s="56"/>
      <c r="K523" s="4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74"/>
      <c r="C524" s="5"/>
      <c r="D524" s="27"/>
      <c r="E524" s="34"/>
      <c r="F524" s="44"/>
      <c r="G524" s="47"/>
      <c r="H524" s="53"/>
      <c r="I524" s="39"/>
      <c r="J524" s="56"/>
      <c r="K524" s="4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74"/>
      <c r="C525" s="5"/>
      <c r="D525" s="27"/>
      <c r="E525" s="34"/>
      <c r="F525" s="44"/>
      <c r="G525" s="47"/>
      <c r="H525" s="53"/>
      <c r="I525" s="39"/>
      <c r="J525" s="56"/>
      <c r="K525" s="4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74"/>
      <c r="C526" s="5"/>
      <c r="D526" s="27"/>
      <c r="E526" s="34"/>
      <c r="F526" s="44"/>
      <c r="G526" s="47"/>
      <c r="H526" s="53"/>
      <c r="I526" s="39"/>
      <c r="J526" s="56"/>
      <c r="K526" s="4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74"/>
      <c r="C527" s="5"/>
      <c r="D527" s="27"/>
      <c r="E527" s="34"/>
      <c r="F527" s="44"/>
      <c r="G527" s="47"/>
      <c r="H527" s="53"/>
      <c r="I527" s="39"/>
      <c r="J527" s="56"/>
      <c r="K527" s="4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74"/>
      <c r="C528" s="5"/>
      <c r="D528" s="27"/>
      <c r="E528" s="34"/>
      <c r="F528" s="44"/>
      <c r="G528" s="47"/>
      <c r="H528" s="53"/>
      <c r="I528" s="39"/>
      <c r="J528" s="56"/>
      <c r="K528" s="4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74"/>
      <c r="C529" s="5"/>
      <c r="D529" s="27"/>
      <c r="E529" s="34"/>
      <c r="F529" s="44"/>
      <c r="G529" s="47"/>
      <c r="H529" s="53"/>
      <c r="I529" s="39"/>
      <c r="J529" s="56"/>
      <c r="K529" s="4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74"/>
      <c r="C530" s="5"/>
      <c r="D530" s="27"/>
      <c r="E530" s="34"/>
      <c r="F530" s="44"/>
      <c r="G530" s="47"/>
      <c r="H530" s="53"/>
      <c r="I530" s="39"/>
      <c r="J530" s="56"/>
      <c r="K530" s="4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74"/>
      <c r="C531" s="5"/>
      <c r="D531" s="27"/>
      <c r="E531" s="34"/>
      <c r="F531" s="44"/>
      <c r="G531" s="47"/>
      <c r="H531" s="53"/>
      <c r="I531" s="39"/>
      <c r="J531" s="56"/>
      <c r="K531" s="4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74"/>
      <c r="C532" s="5"/>
      <c r="D532" s="27"/>
      <c r="E532" s="34"/>
      <c r="F532" s="44"/>
      <c r="G532" s="47"/>
      <c r="H532" s="53"/>
      <c r="I532" s="39"/>
      <c r="J532" s="56"/>
      <c r="K532" s="4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74"/>
      <c r="C533" s="5"/>
      <c r="D533" s="27"/>
      <c r="E533" s="34"/>
      <c r="F533" s="44"/>
      <c r="G533" s="47"/>
      <c r="H533" s="53"/>
      <c r="I533" s="39"/>
      <c r="J533" s="56"/>
      <c r="K533" s="4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74"/>
      <c r="C534" s="5"/>
      <c r="D534" s="27"/>
      <c r="E534" s="34"/>
      <c r="F534" s="44"/>
      <c r="G534" s="47"/>
      <c r="H534" s="53"/>
      <c r="I534" s="39"/>
      <c r="J534" s="56"/>
      <c r="K534" s="4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74"/>
      <c r="C535" s="5"/>
      <c r="D535" s="27"/>
      <c r="E535" s="34"/>
      <c r="F535" s="44"/>
      <c r="G535" s="47"/>
      <c r="H535" s="53"/>
      <c r="I535" s="39"/>
      <c r="J535" s="56"/>
      <c r="K535" s="4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74"/>
      <c r="C536" s="5"/>
      <c r="D536" s="27"/>
      <c r="E536" s="34"/>
      <c r="F536" s="44"/>
      <c r="G536" s="47"/>
      <c r="H536" s="53"/>
      <c r="I536" s="39"/>
      <c r="J536" s="56"/>
      <c r="K536" s="4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74"/>
      <c r="C537" s="5"/>
      <c r="D537" s="27"/>
      <c r="E537" s="34"/>
      <c r="F537" s="44"/>
      <c r="G537" s="47"/>
      <c r="H537" s="53"/>
      <c r="I537" s="39"/>
      <c r="J537" s="56"/>
      <c r="K537" s="4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74"/>
      <c r="C538" s="5"/>
      <c r="D538" s="27"/>
      <c r="E538" s="34"/>
      <c r="F538" s="44"/>
      <c r="G538" s="47"/>
      <c r="H538" s="53"/>
      <c r="I538" s="39"/>
      <c r="J538" s="56"/>
      <c r="K538" s="4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74"/>
      <c r="C539" s="5"/>
      <c r="D539" s="27"/>
      <c r="E539" s="34"/>
      <c r="F539" s="44"/>
      <c r="G539" s="47"/>
      <c r="H539" s="53"/>
      <c r="I539" s="39"/>
      <c r="J539" s="56"/>
      <c r="K539" s="4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74"/>
      <c r="C540" s="5"/>
      <c r="D540" s="27"/>
      <c r="E540" s="34"/>
      <c r="F540" s="44"/>
      <c r="G540" s="47"/>
      <c r="H540" s="53"/>
      <c r="I540" s="39"/>
      <c r="J540" s="56"/>
      <c r="K540" s="4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74"/>
      <c r="C541" s="5"/>
      <c r="D541" s="27"/>
      <c r="E541" s="34"/>
      <c r="F541" s="44"/>
      <c r="G541" s="47"/>
      <c r="H541" s="53"/>
      <c r="I541" s="39"/>
      <c r="J541" s="56"/>
      <c r="K541" s="4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74"/>
      <c r="C542" s="5"/>
      <c r="D542" s="27"/>
      <c r="E542" s="34"/>
      <c r="F542" s="44"/>
      <c r="G542" s="47"/>
      <c r="H542" s="53"/>
      <c r="I542" s="39"/>
      <c r="J542" s="56"/>
      <c r="K542" s="4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74"/>
      <c r="C543" s="5"/>
      <c r="D543" s="27"/>
      <c r="E543" s="34"/>
      <c r="F543" s="44"/>
      <c r="G543" s="47"/>
      <c r="H543" s="53"/>
      <c r="I543" s="39"/>
      <c r="J543" s="56"/>
      <c r="K543" s="4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74"/>
      <c r="C544" s="5"/>
      <c r="D544" s="27"/>
      <c r="E544" s="34"/>
      <c r="F544" s="44"/>
      <c r="G544" s="47"/>
      <c r="H544" s="53"/>
      <c r="I544" s="39"/>
      <c r="J544" s="56"/>
      <c r="K544" s="4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74"/>
      <c r="C545" s="5"/>
      <c r="D545" s="27"/>
      <c r="E545" s="34"/>
      <c r="F545" s="44"/>
      <c r="G545" s="47"/>
      <c r="H545" s="53"/>
      <c r="I545" s="39"/>
      <c r="J545" s="56"/>
      <c r="K545" s="4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74"/>
      <c r="C546" s="5"/>
      <c r="D546" s="27"/>
      <c r="E546" s="34"/>
      <c r="F546" s="44"/>
      <c r="G546" s="47"/>
      <c r="H546" s="53"/>
      <c r="I546" s="39"/>
      <c r="J546" s="56"/>
      <c r="K546" s="4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74"/>
      <c r="C547" s="5"/>
      <c r="D547" s="27"/>
      <c r="E547" s="34"/>
      <c r="F547" s="44"/>
      <c r="G547" s="47"/>
      <c r="H547" s="53"/>
      <c r="I547" s="39"/>
      <c r="J547" s="56"/>
      <c r="K547" s="4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74"/>
      <c r="C548" s="5"/>
      <c r="D548" s="27"/>
      <c r="E548" s="34"/>
      <c r="F548" s="44"/>
      <c r="G548" s="47"/>
      <c r="H548" s="53"/>
      <c r="I548" s="39"/>
      <c r="J548" s="56"/>
      <c r="K548" s="4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74"/>
      <c r="C549" s="5"/>
      <c r="D549" s="27"/>
      <c r="E549" s="34"/>
      <c r="F549" s="44"/>
      <c r="G549" s="47"/>
      <c r="H549" s="53"/>
      <c r="I549" s="39"/>
      <c r="J549" s="56"/>
      <c r="K549" s="4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74"/>
      <c r="C550" s="5"/>
      <c r="D550" s="27"/>
      <c r="E550" s="34"/>
      <c r="F550" s="44"/>
      <c r="G550" s="47"/>
      <c r="H550" s="53"/>
      <c r="I550" s="39"/>
      <c r="J550" s="56"/>
      <c r="K550" s="4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74"/>
      <c r="C551" s="5"/>
      <c r="D551" s="27"/>
      <c r="E551" s="34"/>
      <c r="F551" s="44"/>
      <c r="G551" s="47"/>
      <c r="H551" s="53"/>
      <c r="I551" s="39"/>
      <c r="J551" s="56"/>
      <c r="K551" s="4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74"/>
      <c r="C552" s="5"/>
      <c r="D552" s="27"/>
      <c r="E552" s="34"/>
      <c r="F552" s="44"/>
      <c r="G552" s="47"/>
      <c r="H552" s="53"/>
      <c r="I552" s="39"/>
      <c r="J552" s="56"/>
      <c r="K552" s="4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74"/>
      <c r="C553" s="5"/>
      <c r="D553" s="27"/>
      <c r="E553" s="34"/>
      <c r="F553" s="44"/>
      <c r="G553" s="47"/>
      <c r="H553" s="53"/>
      <c r="I553" s="39"/>
      <c r="J553" s="56"/>
      <c r="K553" s="4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74"/>
      <c r="C554" s="5"/>
      <c r="D554" s="27"/>
      <c r="E554" s="34"/>
      <c r="F554" s="44"/>
      <c r="G554" s="47"/>
      <c r="H554" s="53"/>
      <c r="I554" s="39"/>
      <c r="J554" s="56"/>
      <c r="K554" s="4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74"/>
      <c r="C555" s="5"/>
      <c r="D555" s="27"/>
      <c r="E555" s="34"/>
      <c r="F555" s="44"/>
      <c r="G555" s="47"/>
      <c r="H555" s="53"/>
      <c r="I555" s="39"/>
      <c r="J555" s="56"/>
      <c r="K555" s="4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74"/>
      <c r="C556" s="5"/>
      <c r="D556" s="27"/>
      <c r="E556" s="34"/>
      <c r="F556" s="44"/>
      <c r="G556" s="47"/>
      <c r="H556" s="53"/>
      <c r="I556" s="39"/>
      <c r="J556" s="56"/>
      <c r="K556" s="4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74"/>
      <c r="C557" s="5"/>
      <c r="D557" s="27"/>
      <c r="E557" s="34"/>
      <c r="F557" s="44"/>
      <c r="G557" s="47"/>
      <c r="H557" s="53"/>
      <c r="I557" s="39"/>
      <c r="J557" s="56"/>
      <c r="K557" s="4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74"/>
      <c r="C558" s="5"/>
      <c r="D558" s="27"/>
      <c r="E558" s="34"/>
      <c r="F558" s="44"/>
      <c r="G558" s="47"/>
      <c r="H558" s="53"/>
      <c r="I558" s="39"/>
      <c r="J558" s="56"/>
      <c r="K558" s="4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74"/>
      <c r="C559" s="5"/>
      <c r="D559" s="27"/>
      <c r="E559" s="34"/>
      <c r="F559" s="44"/>
      <c r="G559" s="47"/>
      <c r="H559" s="53"/>
      <c r="I559" s="39"/>
      <c r="J559" s="56"/>
      <c r="K559" s="4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74"/>
      <c r="C560" s="5"/>
      <c r="D560" s="27"/>
      <c r="E560" s="34"/>
      <c r="F560" s="44"/>
      <c r="G560" s="47"/>
      <c r="H560" s="53"/>
      <c r="I560" s="39"/>
      <c r="J560" s="56"/>
      <c r="K560" s="4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74"/>
      <c r="C561" s="5"/>
      <c r="D561" s="27"/>
      <c r="E561" s="34"/>
      <c r="F561" s="44"/>
      <c r="G561" s="47"/>
      <c r="H561" s="53"/>
      <c r="I561" s="39"/>
      <c r="J561" s="56"/>
      <c r="K561" s="4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74"/>
      <c r="C562" s="5"/>
      <c r="D562" s="27"/>
      <c r="E562" s="34"/>
      <c r="F562" s="44"/>
      <c r="G562" s="47"/>
      <c r="H562" s="53"/>
      <c r="I562" s="39"/>
      <c r="J562" s="56"/>
      <c r="K562" s="4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74"/>
      <c r="C563" s="5"/>
      <c r="D563" s="27"/>
      <c r="E563" s="34"/>
      <c r="F563" s="44"/>
      <c r="G563" s="47"/>
      <c r="H563" s="53"/>
      <c r="I563" s="39"/>
      <c r="J563" s="56"/>
      <c r="K563" s="4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74"/>
      <c r="C564" s="5"/>
      <c r="D564" s="27"/>
      <c r="E564" s="34"/>
      <c r="F564" s="44"/>
      <c r="G564" s="47"/>
      <c r="H564" s="53"/>
      <c r="I564" s="39"/>
      <c r="J564" s="56"/>
      <c r="K564" s="4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74"/>
      <c r="C565" s="5"/>
      <c r="D565" s="27"/>
      <c r="E565" s="34"/>
      <c r="F565" s="44"/>
      <c r="G565" s="47"/>
      <c r="H565" s="53"/>
      <c r="I565" s="39"/>
      <c r="J565" s="56"/>
      <c r="K565" s="4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74"/>
      <c r="C566" s="5"/>
      <c r="D566" s="27"/>
      <c r="E566" s="34"/>
      <c r="F566" s="44"/>
      <c r="G566" s="47"/>
      <c r="H566" s="53"/>
      <c r="I566" s="39"/>
      <c r="J566" s="56"/>
      <c r="K566" s="4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74"/>
      <c r="C567" s="5"/>
      <c r="D567" s="27"/>
      <c r="E567" s="34"/>
      <c r="F567" s="44"/>
      <c r="G567" s="47"/>
      <c r="H567" s="53"/>
      <c r="I567" s="39"/>
      <c r="J567" s="56"/>
      <c r="K567" s="4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74"/>
      <c r="C568" s="5"/>
      <c r="D568" s="27"/>
      <c r="E568" s="34"/>
      <c r="F568" s="44"/>
      <c r="G568" s="47"/>
      <c r="H568" s="53"/>
      <c r="I568" s="39"/>
      <c r="J568" s="56"/>
      <c r="K568" s="4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74"/>
      <c r="C569" s="5"/>
      <c r="D569" s="27"/>
      <c r="E569" s="34"/>
      <c r="F569" s="44"/>
      <c r="G569" s="47"/>
      <c r="H569" s="53"/>
      <c r="I569" s="39"/>
      <c r="J569" s="56"/>
      <c r="K569" s="4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74"/>
      <c r="C570" s="5"/>
      <c r="D570" s="27"/>
      <c r="E570" s="34"/>
      <c r="F570" s="44"/>
      <c r="G570" s="47"/>
      <c r="H570" s="53"/>
      <c r="I570" s="39"/>
      <c r="J570" s="56"/>
      <c r="K570" s="4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74"/>
      <c r="C571" s="5"/>
      <c r="D571" s="27"/>
      <c r="E571" s="34"/>
      <c r="F571" s="44"/>
      <c r="G571" s="47"/>
      <c r="H571" s="53"/>
      <c r="I571" s="39"/>
      <c r="J571" s="56"/>
      <c r="K571" s="4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74"/>
      <c r="C572" s="5"/>
      <c r="D572" s="27"/>
      <c r="E572" s="34"/>
      <c r="F572" s="44"/>
      <c r="G572" s="47"/>
      <c r="H572" s="53"/>
      <c r="I572" s="39"/>
      <c r="J572" s="56"/>
      <c r="K572" s="4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74"/>
      <c r="C573" s="5"/>
      <c r="D573" s="27"/>
      <c r="E573" s="34"/>
      <c r="F573" s="44"/>
      <c r="G573" s="47"/>
      <c r="H573" s="53"/>
      <c r="I573" s="39"/>
      <c r="J573" s="56"/>
      <c r="K573" s="4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74"/>
      <c r="C574" s="5"/>
      <c r="D574" s="27"/>
      <c r="E574" s="34"/>
      <c r="F574" s="44"/>
      <c r="G574" s="47"/>
      <c r="H574" s="53"/>
      <c r="I574" s="39"/>
      <c r="J574" s="56"/>
      <c r="K574" s="4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74"/>
      <c r="C575" s="5"/>
      <c r="D575" s="27"/>
      <c r="E575" s="34"/>
      <c r="F575" s="44"/>
      <c r="G575" s="47"/>
      <c r="H575" s="53"/>
      <c r="I575" s="39"/>
      <c r="J575" s="56"/>
      <c r="K575" s="4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74"/>
      <c r="C576" s="5"/>
      <c r="D576" s="27"/>
      <c r="E576" s="34"/>
      <c r="F576" s="44"/>
      <c r="G576" s="47"/>
      <c r="H576" s="53"/>
      <c r="I576" s="39"/>
      <c r="J576" s="56"/>
      <c r="K576" s="4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74"/>
      <c r="C577" s="5"/>
      <c r="D577" s="27"/>
      <c r="E577" s="34"/>
      <c r="F577" s="44"/>
      <c r="G577" s="47"/>
      <c r="H577" s="53"/>
      <c r="I577" s="39"/>
      <c r="J577" s="56"/>
      <c r="K577" s="4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74"/>
      <c r="C578" s="5"/>
      <c r="D578" s="27"/>
      <c r="E578" s="34"/>
      <c r="F578" s="44"/>
      <c r="G578" s="47"/>
      <c r="H578" s="53"/>
      <c r="I578" s="39"/>
      <c r="J578" s="56"/>
      <c r="K578" s="4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74"/>
      <c r="C579" s="5"/>
      <c r="D579" s="27"/>
      <c r="E579" s="34"/>
      <c r="F579" s="44"/>
      <c r="G579" s="47"/>
      <c r="H579" s="53"/>
      <c r="I579" s="39"/>
      <c r="J579" s="56"/>
      <c r="K579" s="4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74"/>
      <c r="C580" s="5"/>
      <c r="D580" s="27"/>
      <c r="E580" s="34"/>
      <c r="F580" s="44"/>
      <c r="G580" s="47"/>
      <c r="H580" s="53"/>
      <c r="I580" s="39"/>
      <c r="J580" s="56"/>
      <c r="K580" s="4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74"/>
      <c r="C581" s="5"/>
      <c r="D581" s="27"/>
      <c r="E581" s="34"/>
      <c r="F581" s="44"/>
      <c r="G581" s="47"/>
      <c r="H581" s="53"/>
      <c r="I581" s="39"/>
      <c r="J581" s="56"/>
      <c r="K581" s="4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74"/>
      <c r="C582" s="5"/>
      <c r="D582" s="27"/>
      <c r="E582" s="34"/>
      <c r="F582" s="44"/>
      <c r="G582" s="47"/>
      <c r="H582" s="53"/>
      <c r="I582" s="39"/>
      <c r="J582" s="56"/>
      <c r="K582" s="4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74"/>
      <c r="C583" s="5"/>
      <c r="D583" s="27"/>
      <c r="E583" s="34"/>
      <c r="F583" s="44"/>
      <c r="G583" s="47"/>
      <c r="H583" s="53"/>
      <c r="I583" s="39"/>
      <c r="J583" s="56"/>
      <c r="K583" s="4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74"/>
      <c r="C584" s="5"/>
      <c r="D584" s="27"/>
      <c r="E584" s="34"/>
      <c r="F584" s="44"/>
      <c r="G584" s="47"/>
      <c r="H584" s="53"/>
      <c r="I584" s="39"/>
      <c r="J584" s="56"/>
      <c r="K584" s="4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74"/>
      <c r="C585" s="5"/>
      <c r="D585" s="27"/>
      <c r="E585" s="34"/>
      <c r="F585" s="44"/>
      <c r="G585" s="47"/>
      <c r="H585" s="53"/>
      <c r="I585" s="39"/>
      <c r="J585" s="56"/>
      <c r="K585" s="4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74"/>
      <c r="C586" s="5"/>
      <c r="D586" s="27"/>
      <c r="E586" s="34"/>
      <c r="F586" s="44"/>
      <c r="G586" s="47"/>
      <c r="H586" s="53"/>
      <c r="I586" s="39"/>
      <c r="J586" s="56"/>
      <c r="K586" s="4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74"/>
      <c r="C587" s="5"/>
      <c r="D587" s="27"/>
      <c r="E587" s="34"/>
      <c r="F587" s="44"/>
      <c r="G587" s="47"/>
      <c r="H587" s="53"/>
      <c r="I587" s="39"/>
      <c r="J587" s="56"/>
      <c r="K587" s="4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74"/>
      <c r="C588" s="5"/>
      <c r="D588" s="27"/>
      <c r="E588" s="34"/>
      <c r="F588" s="44"/>
      <c r="G588" s="47"/>
      <c r="H588" s="53"/>
      <c r="I588" s="39"/>
      <c r="J588" s="56"/>
      <c r="K588" s="4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74"/>
      <c r="C589" s="5"/>
      <c r="D589" s="27"/>
      <c r="E589" s="34"/>
      <c r="F589" s="44"/>
      <c r="G589" s="47"/>
      <c r="H589" s="53"/>
      <c r="I589" s="39"/>
      <c r="J589" s="56"/>
      <c r="K589" s="4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74"/>
      <c r="C590" s="5"/>
      <c r="D590" s="27"/>
      <c r="E590" s="34"/>
      <c r="F590" s="44"/>
      <c r="G590" s="47"/>
      <c r="H590" s="53"/>
      <c r="I590" s="39"/>
      <c r="J590" s="56"/>
      <c r="K590" s="4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74"/>
      <c r="C591" s="5"/>
      <c r="D591" s="27"/>
      <c r="E591" s="34"/>
      <c r="F591" s="44"/>
      <c r="G591" s="47"/>
      <c r="H591" s="53"/>
      <c r="I591" s="39"/>
      <c r="J591" s="56"/>
      <c r="K591" s="4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74"/>
      <c r="C592" s="5"/>
      <c r="D592" s="27"/>
      <c r="E592" s="34"/>
      <c r="F592" s="44"/>
      <c r="G592" s="47"/>
      <c r="H592" s="53"/>
      <c r="I592" s="39"/>
      <c r="J592" s="56"/>
      <c r="K592" s="4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74"/>
      <c r="C593" s="5"/>
      <c r="D593" s="27"/>
      <c r="E593" s="34"/>
      <c r="F593" s="44"/>
      <c r="G593" s="47"/>
      <c r="H593" s="53"/>
      <c r="I593" s="39"/>
      <c r="J593" s="56"/>
      <c r="K593" s="4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74"/>
      <c r="C594" s="5"/>
      <c r="D594" s="27"/>
      <c r="E594" s="34"/>
      <c r="F594" s="44"/>
      <c r="G594" s="47"/>
      <c r="H594" s="53"/>
      <c r="I594" s="39"/>
      <c r="J594" s="56"/>
      <c r="K594" s="4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74"/>
      <c r="C595" s="5"/>
      <c r="D595" s="27"/>
      <c r="E595" s="34"/>
      <c r="F595" s="44"/>
      <c r="G595" s="47"/>
      <c r="H595" s="53"/>
      <c r="I595" s="39"/>
      <c r="J595" s="56"/>
      <c r="K595" s="4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74"/>
      <c r="C596" s="5"/>
      <c r="D596" s="27"/>
      <c r="E596" s="34"/>
      <c r="F596" s="44"/>
      <c r="G596" s="47"/>
      <c r="H596" s="53"/>
      <c r="I596" s="39"/>
      <c r="J596" s="56"/>
      <c r="K596" s="4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74"/>
      <c r="C597" s="5"/>
      <c r="D597" s="27"/>
      <c r="E597" s="34"/>
      <c r="F597" s="44"/>
      <c r="G597" s="47"/>
      <c r="H597" s="53"/>
      <c r="I597" s="39"/>
      <c r="J597" s="56"/>
      <c r="K597" s="4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74"/>
      <c r="C598" s="5"/>
      <c r="D598" s="27"/>
      <c r="E598" s="34"/>
      <c r="F598" s="44"/>
      <c r="G598" s="47"/>
      <c r="H598" s="53"/>
      <c r="I598" s="39"/>
      <c r="J598" s="56"/>
      <c r="K598" s="4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74"/>
      <c r="C599" s="5"/>
      <c r="D599" s="27"/>
      <c r="E599" s="34"/>
      <c r="F599" s="44"/>
      <c r="G599" s="47"/>
      <c r="H599" s="53"/>
      <c r="I599" s="39"/>
      <c r="J599" s="56"/>
      <c r="K599" s="4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74"/>
      <c r="C600" s="5"/>
      <c r="D600" s="27"/>
      <c r="E600" s="34"/>
      <c r="F600" s="44"/>
      <c r="G600" s="47"/>
      <c r="H600" s="53"/>
      <c r="I600" s="39"/>
      <c r="J600" s="56"/>
      <c r="K600" s="4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74"/>
      <c r="C601" s="5"/>
      <c r="D601" s="27"/>
      <c r="E601" s="34"/>
      <c r="F601" s="44"/>
      <c r="G601" s="47"/>
      <c r="H601" s="53"/>
      <c r="I601" s="39"/>
      <c r="J601" s="56"/>
      <c r="K601" s="4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74"/>
      <c r="C602" s="5"/>
      <c r="D602" s="27"/>
      <c r="E602" s="34"/>
      <c r="F602" s="44"/>
      <c r="G602" s="47"/>
      <c r="H602" s="53"/>
      <c r="I602" s="39"/>
      <c r="J602" s="56"/>
      <c r="K602" s="4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74"/>
      <c r="C603" s="5"/>
      <c r="D603" s="27"/>
      <c r="E603" s="34"/>
      <c r="F603" s="44"/>
      <c r="G603" s="47"/>
      <c r="H603" s="53"/>
      <c r="I603" s="39"/>
      <c r="J603" s="56"/>
      <c r="K603" s="4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74"/>
      <c r="C604" s="5"/>
      <c r="D604" s="27"/>
      <c r="E604" s="34"/>
      <c r="F604" s="44"/>
      <c r="G604" s="47"/>
      <c r="H604" s="53"/>
      <c r="I604" s="39"/>
      <c r="J604" s="56"/>
      <c r="K604" s="4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74"/>
      <c r="C605" s="5"/>
      <c r="D605" s="27"/>
      <c r="E605" s="34"/>
      <c r="F605" s="44"/>
      <c r="G605" s="47"/>
      <c r="H605" s="53"/>
      <c r="I605" s="39"/>
      <c r="J605" s="56"/>
      <c r="K605" s="4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74"/>
      <c r="C606" s="5"/>
      <c r="D606" s="27"/>
      <c r="E606" s="34"/>
      <c r="F606" s="44"/>
      <c r="G606" s="47"/>
      <c r="H606" s="53"/>
      <c r="I606" s="39"/>
      <c r="J606" s="56"/>
      <c r="K606" s="4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74"/>
      <c r="C607" s="5"/>
      <c r="D607" s="27"/>
      <c r="E607" s="34"/>
      <c r="F607" s="44"/>
      <c r="G607" s="47"/>
      <c r="H607" s="53"/>
      <c r="I607" s="39"/>
      <c r="J607" s="56"/>
      <c r="K607" s="4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74"/>
      <c r="C608" s="5"/>
      <c r="D608" s="27"/>
      <c r="E608" s="34"/>
      <c r="F608" s="44"/>
      <c r="G608" s="47"/>
      <c r="H608" s="53"/>
      <c r="I608" s="39"/>
      <c r="J608" s="56"/>
      <c r="K608" s="4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74"/>
      <c r="C609" s="5"/>
      <c r="D609" s="27"/>
      <c r="E609" s="34"/>
      <c r="F609" s="44"/>
      <c r="G609" s="47"/>
      <c r="H609" s="53"/>
      <c r="I609" s="39"/>
      <c r="J609" s="56"/>
      <c r="K609" s="4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74"/>
      <c r="C610" s="5"/>
      <c r="D610" s="27"/>
      <c r="E610" s="34"/>
      <c r="F610" s="44"/>
      <c r="G610" s="47"/>
      <c r="H610" s="53"/>
      <c r="I610" s="39"/>
      <c r="J610" s="56"/>
      <c r="K610" s="4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74"/>
      <c r="C611" s="5"/>
      <c r="D611" s="27"/>
      <c r="E611" s="34"/>
      <c r="F611" s="44"/>
      <c r="G611" s="47"/>
      <c r="H611" s="53"/>
      <c r="I611" s="39"/>
      <c r="J611" s="56"/>
      <c r="K611" s="4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74"/>
      <c r="C612" s="5"/>
      <c r="D612" s="27"/>
      <c r="E612" s="34"/>
      <c r="F612" s="44"/>
      <c r="G612" s="47"/>
      <c r="H612" s="53"/>
      <c r="I612" s="39"/>
      <c r="J612" s="56"/>
      <c r="K612" s="4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74"/>
      <c r="C613" s="5"/>
      <c r="D613" s="27"/>
      <c r="E613" s="34"/>
      <c r="F613" s="44"/>
      <c r="G613" s="47"/>
      <c r="H613" s="53"/>
      <c r="I613" s="39"/>
      <c r="J613" s="56"/>
      <c r="K613" s="4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74"/>
      <c r="C614" s="5"/>
      <c r="D614" s="27"/>
      <c r="E614" s="34"/>
      <c r="F614" s="44"/>
      <c r="G614" s="47"/>
      <c r="H614" s="53"/>
      <c r="I614" s="39"/>
      <c r="J614" s="56"/>
      <c r="K614" s="4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74"/>
      <c r="C615" s="5"/>
      <c r="D615" s="27"/>
      <c r="E615" s="34"/>
      <c r="F615" s="44"/>
      <c r="G615" s="47"/>
      <c r="H615" s="53"/>
      <c r="I615" s="39"/>
      <c r="J615" s="56"/>
      <c r="K615" s="4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74"/>
      <c r="C616" s="5"/>
      <c r="D616" s="27"/>
      <c r="E616" s="34"/>
      <c r="F616" s="44"/>
      <c r="G616" s="47"/>
      <c r="H616" s="53"/>
      <c r="I616" s="39"/>
      <c r="J616" s="56"/>
      <c r="K616" s="4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74"/>
      <c r="C617" s="5"/>
      <c r="D617" s="27"/>
      <c r="E617" s="34"/>
      <c r="F617" s="44"/>
      <c r="G617" s="47"/>
      <c r="H617" s="53"/>
      <c r="I617" s="39"/>
      <c r="J617" s="56"/>
      <c r="K617" s="4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74"/>
      <c r="C618" s="5"/>
      <c r="D618" s="27"/>
      <c r="E618" s="34"/>
      <c r="F618" s="44"/>
      <c r="G618" s="47"/>
      <c r="H618" s="53"/>
      <c r="I618" s="39"/>
      <c r="J618" s="56"/>
      <c r="K618" s="4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74"/>
      <c r="C619" s="5"/>
      <c r="D619" s="27"/>
      <c r="E619" s="34"/>
      <c r="F619" s="44"/>
      <c r="G619" s="47"/>
      <c r="H619" s="53"/>
      <c r="I619" s="39"/>
      <c r="J619" s="56"/>
      <c r="K619" s="4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74"/>
      <c r="C620" s="5"/>
      <c r="D620" s="27"/>
      <c r="E620" s="34"/>
      <c r="F620" s="44"/>
      <c r="G620" s="47"/>
      <c r="H620" s="53"/>
      <c r="I620" s="39"/>
      <c r="J620" s="56"/>
      <c r="K620" s="4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74"/>
      <c r="C621" s="5"/>
      <c r="D621" s="27"/>
      <c r="E621" s="34"/>
      <c r="F621" s="44"/>
      <c r="G621" s="47"/>
      <c r="H621" s="53"/>
      <c r="I621" s="39"/>
      <c r="J621" s="56"/>
      <c r="K621" s="4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74"/>
      <c r="C622" s="5"/>
      <c r="D622" s="27"/>
      <c r="E622" s="34"/>
      <c r="F622" s="44"/>
      <c r="G622" s="47"/>
      <c r="H622" s="53"/>
      <c r="I622" s="39"/>
      <c r="J622" s="56"/>
      <c r="K622" s="4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74"/>
      <c r="C623" s="5"/>
      <c r="D623" s="27"/>
      <c r="E623" s="34"/>
      <c r="F623" s="44"/>
      <c r="G623" s="47"/>
      <c r="H623" s="53"/>
      <c r="I623" s="39"/>
      <c r="J623" s="56"/>
      <c r="K623" s="4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74"/>
      <c r="C624" s="5"/>
      <c r="D624" s="27"/>
      <c r="E624" s="34"/>
      <c r="F624" s="44"/>
      <c r="G624" s="47"/>
      <c r="H624" s="53"/>
      <c r="I624" s="39"/>
      <c r="J624" s="56"/>
      <c r="K624" s="4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74"/>
      <c r="C625" s="5"/>
      <c r="D625" s="27"/>
      <c r="E625" s="34"/>
      <c r="F625" s="44"/>
      <c r="G625" s="47"/>
      <c r="H625" s="53"/>
      <c r="I625" s="39"/>
      <c r="J625" s="56"/>
      <c r="K625" s="4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74"/>
      <c r="C626" s="5"/>
      <c r="D626" s="27"/>
      <c r="E626" s="34"/>
      <c r="F626" s="44"/>
      <c r="G626" s="47"/>
      <c r="H626" s="53"/>
      <c r="I626" s="39"/>
      <c r="J626" s="56"/>
      <c r="K626" s="4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74"/>
      <c r="C627" s="5"/>
      <c r="D627" s="27"/>
      <c r="E627" s="34"/>
      <c r="F627" s="44"/>
      <c r="G627" s="47"/>
      <c r="H627" s="53"/>
      <c r="I627" s="39"/>
      <c r="J627" s="56"/>
      <c r="K627" s="4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74"/>
      <c r="C628" s="5"/>
      <c r="D628" s="27"/>
      <c r="E628" s="34"/>
      <c r="F628" s="44"/>
      <c r="G628" s="47"/>
      <c r="H628" s="53"/>
      <c r="I628" s="39"/>
      <c r="J628" s="56"/>
      <c r="K628" s="4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74"/>
      <c r="C629" s="5"/>
      <c r="D629" s="27"/>
      <c r="E629" s="34"/>
      <c r="F629" s="44"/>
      <c r="G629" s="47"/>
      <c r="H629" s="53"/>
      <c r="I629" s="39"/>
      <c r="J629" s="56"/>
      <c r="K629" s="4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74"/>
      <c r="C630" s="5"/>
      <c r="D630" s="27"/>
      <c r="E630" s="34"/>
      <c r="F630" s="44"/>
      <c r="G630" s="47"/>
      <c r="H630" s="53"/>
      <c r="I630" s="39"/>
      <c r="J630" s="56"/>
      <c r="K630" s="4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74"/>
      <c r="C631" s="5"/>
      <c r="D631" s="27"/>
      <c r="E631" s="34"/>
      <c r="F631" s="44"/>
      <c r="G631" s="47"/>
      <c r="H631" s="53"/>
      <c r="I631" s="39"/>
      <c r="J631" s="56"/>
      <c r="K631" s="4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74"/>
      <c r="C632" s="5"/>
      <c r="D632" s="27"/>
      <c r="E632" s="34"/>
      <c r="F632" s="44"/>
      <c r="G632" s="47"/>
      <c r="H632" s="53"/>
      <c r="I632" s="39"/>
      <c r="J632" s="56"/>
      <c r="K632" s="4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74"/>
      <c r="C633" s="5"/>
      <c r="D633" s="27"/>
      <c r="E633" s="34"/>
      <c r="F633" s="44"/>
      <c r="G633" s="47"/>
      <c r="H633" s="53"/>
      <c r="I633" s="39"/>
      <c r="J633" s="56"/>
      <c r="K633" s="4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74"/>
      <c r="C634" s="5"/>
      <c r="D634" s="27"/>
      <c r="E634" s="34"/>
      <c r="F634" s="44"/>
      <c r="G634" s="47"/>
      <c r="H634" s="53"/>
      <c r="I634" s="39"/>
      <c r="J634" s="56"/>
      <c r="K634" s="4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74"/>
      <c r="C635" s="5"/>
      <c r="D635" s="27"/>
      <c r="E635" s="34"/>
      <c r="F635" s="44"/>
      <c r="G635" s="47"/>
      <c r="H635" s="53"/>
      <c r="I635" s="39"/>
      <c r="J635" s="56"/>
      <c r="K635" s="4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74"/>
      <c r="C636" s="5"/>
      <c r="D636" s="27"/>
      <c r="E636" s="34"/>
      <c r="F636" s="44"/>
      <c r="G636" s="47"/>
      <c r="H636" s="53"/>
      <c r="I636" s="39"/>
      <c r="J636" s="56"/>
      <c r="K636" s="4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74"/>
      <c r="C637" s="5"/>
      <c r="D637" s="27"/>
      <c r="E637" s="34"/>
      <c r="F637" s="44"/>
      <c r="G637" s="47"/>
      <c r="H637" s="53"/>
      <c r="I637" s="39"/>
      <c r="J637" s="56"/>
      <c r="K637" s="4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74"/>
      <c r="C638" s="5"/>
      <c r="D638" s="27"/>
      <c r="E638" s="34"/>
      <c r="F638" s="44"/>
      <c r="G638" s="47"/>
      <c r="H638" s="53"/>
      <c r="I638" s="39"/>
      <c r="J638" s="56"/>
      <c r="K638" s="4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74"/>
      <c r="C639" s="5"/>
      <c r="D639" s="27"/>
      <c r="E639" s="34"/>
      <c r="F639" s="44"/>
      <c r="G639" s="47"/>
      <c r="H639" s="53"/>
      <c r="I639" s="39"/>
      <c r="J639" s="56"/>
      <c r="K639" s="4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74"/>
      <c r="C640" s="5"/>
      <c r="D640" s="27"/>
      <c r="E640" s="34"/>
      <c r="F640" s="44"/>
      <c r="G640" s="47"/>
      <c r="H640" s="53"/>
      <c r="I640" s="39"/>
      <c r="J640" s="56"/>
      <c r="K640" s="4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74"/>
      <c r="C641" s="5"/>
      <c r="D641" s="27"/>
      <c r="E641" s="34"/>
      <c r="F641" s="44"/>
      <c r="G641" s="47"/>
      <c r="H641" s="53"/>
      <c r="I641" s="39"/>
      <c r="J641" s="56"/>
      <c r="K641" s="4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74"/>
      <c r="C642" s="5"/>
      <c r="D642" s="27"/>
      <c r="E642" s="34"/>
      <c r="F642" s="44"/>
      <c r="G642" s="47"/>
      <c r="H642" s="53"/>
      <c r="I642" s="39"/>
      <c r="J642" s="56"/>
      <c r="K642" s="4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74"/>
      <c r="C643" s="5"/>
      <c r="D643" s="27"/>
      <c r="E643" s="34"/>
      <c r="F643" s="44"/>
      <c r="G643" s="47"/>
      <c r="H643" s="53"/>
      <c r="I643" s="39"/>
      <c r="J643" s="56"/>
      <c r="K643" s="4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74"/>
      <c r="C644" s="5"/>
      <c r="D644" s="27"/>
      <c r="E644" s="34"/>
      <c r="F644" s="44"/>
      <c r="G644" s="47"/>
      <c r="H644" s="53"/>
      <c r="I644" s="39"/>
      <c r="J644" s="56"/>
      <c r="K644" s="4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74"/>
      <c r="C645" s="5"/>
      <c r="D645" s="27"/>
      <c r="E645" s="34"/>
      <c r="F645" s="44"/>
      <c r="G645" s="47"/>
      <c r="H645" s="53"/>
      <c r="I645" s="39"/>
      <c r="J645" s="56"/>
      <c r="K645" s="4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74"/>
      <c r="C646" s="5"/>
      <c r="D646" s="27"/>
      <c r="E646" s="34"/>
      <c r="F646" s="44"/>
      <c r="G646" s="47"/>
      <c r="H646" s="53"/>
      <c r="I646" s="39"/>
      <c r="J646" s="56"/>
      <c r="K646" s="4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74"/>
      <c r="C647" s="5"/>
      <c r="D647" s="27"/>
      <c r="E647" s="34"/>
      <c r="F647" s="44"/>
      <c r="G647" s="47"/>
      <c r="H647" s="53"/>
      <c r="I647" s="39"/>
      <c r="J647" s="56"/>
      <c r="K647" s="4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74"/>
      <c r="C648" s="5"/>
      <c r="D648" s="27"/>
      <c r="E648" s="34"/>
      <c r="F648" s="44"/>
      <c r="G648" s="47"/>
      <c r="H648" s="53"/>
      <c r="I648" s="39"/>
      <c r="J648" s="56"/>
      <c r="K648" s="4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74"/>
      <c r="C649" s="5"/>
      <c r="D649" s="27"/>
      <c r="E649" s="34"/>
      <c r="F649" s="44"/>
      <c r="G649" s="47"/>
      <c r="H649" s="53"/>
      <c r="I649" s="39"/>
      <c r="J649" s="56"/>
      <c r="K649" s="4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74"/>
      <c r="C650" s="5"/>
      <c r="D650" s="27"/>
      <c r="E650" s="34"/>
      <c r="F650" s="44"/>
      <c r="G650" s="47"/>
      <c r="H650" s="53"/>
      <c r="I650" s="39"/>
      <c r="J650" s="56"/>
      <c r="K650" s="4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74"/>
      <c r="C651" s="5"/>
      <c r="D651" s="27"/>
      <c r="E651" s="34"/>
      <c r="F651" s="44"/>
      <c r="G651" s="47"/>
      <c r="H651" s="53"/>
      <c r="I651" s="39"/>
      <c r="J651" s="56"/>
      <c r="K651" s="4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74"/>
      <c r="C652" s="5"/>
      <c r="D652" s="27"/>
      <c r="E652" s="34"/>
      <c r="F652" s="44"/>
      <c r="G652" s="47"/>
      <c r="H652" s="53"/>
      <c r="I652" s="39"/>
      <c r="J652" s="56"/>
      <c r="K652" s="4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74"/>
      <c r="C653" s="5"/>
      <c r="D653" s="27"/>
      <c r="E653" s="34"/>
      <c r="F653" s="44"/>
      <c r="G653" s="47"/>
      <c r="H653" s="53"/>
      <c r="I653" s="39"/>
      <c r="J653" s="56"/>
      <c r="K653" s="4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74"/>
      <c r="C654" s="5"/>
      <c r="D654" s="27"/>
      <c r="E654" s="34"/>
      <c r="F654" s="44"/>
      <c r="G654" s="47"/>
      <c r="H654" s="53"/>
      <c r="I654" s="39"/>
      <c r="J654" s="56"/>
      <c r="K654" s="4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74"/>
      <c r="C655" s="5"/>
      <c r="D655" s="27"/>
      <c r="E655" s="34"/>
      <c r="F655" s="44"/>
      <c r="G655" s="47"/>
      <c r="H655" s="53"/>
      <c r="I655" s="39"/>
      <c r="J655" s="56"/>
      <c r="K655" s="4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74"/>
      <c r="C656" s="5"/>
      <c r="D656" s="27"/>
      <c r="E656" s="34"/>
      <c r="F656" s="44"/>
      <c r="G656" s="47"/>
      <c r="H656" s="53"/>
      <c r="I656" s="39"/>
      <c r="J656" s="56"/>
      <c r="K656" s="4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74"/>
      <c r="C657" s="5"/>
      <c r="D657" s="27"/>
      <c r="E657" s="34"/>
      <c r="F657" s="44"/>
      <c r="G657" s="47"/>
      <c r="H657" s="53"/>
      <c r="I657" s="39"/>
      <c r="J657" s="56"/>
      <c r="K657" s="4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74"/>
      <c r="C658" s="5"/>
      <c r="D658" s="27"/>
      <c r="E658" s="34"/>
      <c r="F658" s="44"/>
      <c r="G658" s="47"/>
      <c r="H658" s="53"/>
      <c r="I658" s="39"/>
      <c r="J658" s="56"/>
      <c r="K658" s="4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74"/>
      <c r="C659" s="5"/>
      <c r="D659" s="27"/>
      <c r="E659" s="34"/>
      <c r="F659" s="44"/>
      <c r="G659" s="47"/>
      <c r="H659" s="53"/>
      <c r="I659" s="39"/>
      <c r="J659" s="56"/>
      <c r="K659" s="4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74"/>
      <c r="C660" s="5"/>
      <c r="D660" s="27"/>
      <c r="E660" s="34"/>
      <c r="F660" s="44"/>
      <c r="G660" s="47"/>
      <c r="H660" s="53"/>
      <c r="I660" s="39"/>
      <c r="J660" s="56"/>
      <c r="K660" s="4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74"/>
      <c r="C661" s="5"/>
      <c r="D661" s="27"/>
      <c r="E661" s="34"/>
      <c r="F661" s="44"/>
      <c r="G661" s="47"/>
      <c r="H661" s="53"/>
      <c r="I661" s="39"/>
      <c r="J661" s="56"/>
      <c r="K661" s="4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74"/>
      <c r="C662" s="5"/>
      <c r="D662" s="27"/>
      <c r="E662" s="34"/>
      <c r="F662" s="44"/>
      <c r="G662" s="47"/>
      <c r="H662" s="53"/>
      <c r="I662" s="39"/>
      <c r="J662" s="56"/>
      <c r="K662" s="4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74"/>
      <c r="C663" s="5"/>
      <c r="D663" s="27"/>
      <c r="E663" s="34"/>
      <c r="F663" s="44"/>
      <c r="G663" s="47"/>
      <c r="H663" s="53"/>
      <c r="I663" s="39"/>
      <c r="J663" s="56"/>
      <c r="K663" s="4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74"/>
      <c r="C664" s="5"/>
      <c r="D664" s="27"/>
      <c r="E664" s="34"/>
      <c r="F664" s="44"/>
      <c r="G664" s="47"/>
      <c r="H664" s="53"/>
      <c r="I664" s="39"/>
      <c r="J664" s="56"/>
      <c r="K664" s="4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74"/>
      <c r="C665" s="5"/>
      <c r="D665" s="27"/>
      <c r="E665" s="34"/>
      <c r="F665" s="44"/>
      <c r="G665" s="47"/>
      <c r="H665" s="53"/>
      <c r="I665" s="39"/>
      <c r="J665" s="56"/>
      <c r="K665" s="4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74"/>
      <c r="C666" s="5"/>
      <c r="D666" s="27"/>
      <c r="E666" s="34"/>
      <c r="F666" s="44"/>
      <c r="G666" s="47"/>
      <c r="H666" s="53"/>
      <c r="I666" s="39"/>
      <c r="J666" s="56"/>
      <c r="K666" s="4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74"/>
      <c r="C667" s="5"/>
      <c r="D667" s="27"/>
      <c r="E667" s="34"/>
      <c r="F667" s="44"/>
      <c r="G667" s="47"/>
      <c r="H667" s="53"/>
      <c r="I667" s="39"/>
      <c r="J667" s="56"/>
      <c r="K667" s="4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74"/>
      <c r="C668" s="5"/>
      <c r="D668" s="27"/>
      <c r="E668" s="34"/>
      <c r="F668" s="44"/>
      <c r="G668" s="47"/>
      <c r="H668" s="53"/>
      <c r="I668" s="39"/>
      <c r="J668" s="56"/>
      <c r="K668" s="4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74"/>
      <c r="C669" s="5"/>
      <c r="D669" s="27"/>
      <c r="E669" s="34"/>
      <c r="F669" s="44"/>
      <c r="G669" s="47"/>
      <c r="H669" s="53"/>
      <c r="I669" s="39"/>
      <c r="J669" s="56"/>
      <c r="K669" s="4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74"/>
      <c r="C670" s="5"/>
      <c r="D670" s="27"/>
      <c r="E670" s="34"/>
      <c r="F670" s="44"/>
      <c r="G670" s="47"/>
      <c r="H670" s="53"/>
      <c r="I670" s="39"/>
      <c r="J670" s="56"/>
      <c r="K670" s="4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74"/>
      <c r="C671" s="5"/>
      <c r="D671" s="27"/>
      <c r="E671" s="34"/>
      <c r="F671" s="44"/>
      <c r="G671" s="47"/>
      <c r="H671" s="53"/>
      <c r="I671" s="39"/>
      <c r="J671" s="56"/>
      <c r="K671" s="4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74"/>
      <c r="C672" s="5"/>
      <c r="D672" s="27"/>
      <c r="E672" s="34"/>
      <c r="F672" s="44"/>
      <c r="G672" s="47"/>
      <c r="H672" s="53"/>
      <c r="I672" s="39"/>
      <c r="J672" s="56"/>
      <c r="K672" s="4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74"/>
      <c r="C673" s="5"/>
      <c r="D673" s="27"/>
      <c r="E673" s="34"/>
      <c r="F673" s="44"/>
      <c r="G673" s="47"/>
      <c r="H673" s="53"/>
      <c r="I673" s="39"/>
      <c r="J673" s="56"/>
      <c r="K673" s="4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74"/>
      <c r="C674" s="5"/>
      <c r="D674" s="27"/>
      <c r="E674" s="34"/>
      <c r="F674" s="44"/>
      <c r="G674" s="47"/>
      <c r="H674" s="53"/>
      <c r="I674" s="39"/>
      <c r="J674" s="56"/>
      <c r="K674" s="4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74"/>
      <c r="C675" s="5"/>
      <c r="D675" s="27"/>
      <c r="E675" s="34"/>
      <c r="F675" s="44"/>
      <c r="G675" s="47"/>
      <c r="H675" s="53"/>
      <c r="I675" s="39"/>
      <c r="J675" s="56"/>
      <c r="K675" s="4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74"/>
      <c r="C676" s="5"/>
      <c r="D676" s="27"/>
      <c r="E676" s="34"/>
      <c r="F676" s="44"/>
      <c r="G676" s="47"/>
      <c r="H676" s="53"/>
      <c r="I676" s="39"/>
      <c r="J676" s="56"/>
      <c r="K676" s="4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74"/>
      <c r="C677" s="5"/>
      <c r="D677" s="27"/>
      <c r="E677" s="34"/>
      <c r="F677" s="44"/>
      <c r="G677" s="47"/>
      <c r="H677" s="53"/>
      <c r="I677" s="39"/>
      <c r="J677" s="56"/>
      <c r="K677" s="4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74"/>
      <c r="C678" s="5"/>
      <c r="D678" s="27"/>
      <c r="E678" s="34"/>
      <c r="F678" s="44"/>
      <c r="G678" s="47"/>
      <c r="H678" s="53"/>
      <c r="I678" s="39"/>
      <c r="J678" s="56"/>
      <c r="K678" s="4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74"/>
      <c r="C679" s="5"/>
      <c r="D679" s="27"/>
      <c r="E679" s="34"/>
      <c r="F679" s="44"/>
      <c r="G679" s="47"/>
      <c r="H679" s="53"/>
      <c r="I679" s="39"/>
      <c r="J679" s="56"/>
      <c r="K679" s="4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74"/>
      <c r="C680" s="5"/>
      <c r="D680" s="27"/>
      <c r="E680" s="34"/>
      <c r="F680" s="44"/>
      <c r="G680" s="47"/>
      <c r="H680" s="53"/>
      <c r="I680" s="39"/>
      <c r="J680" s="56"/>
      <c r="K680" s="4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74"/>
      <c r="C681" s="5"/>
      <c r="D681" s="27"/>
      <c r="E681" s="34"/>
      <c r="F681" s="44"/>
      <c r="G681" s="47"/>
      <c r="H681" s="53"/>
      <c r="I681" s="39"/>
      <c r="J681" s="56"/>
      <c r="K681" s="4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74"/>
      <c r="C682" s="5"/>
      <c r="D682" s="27"/>
      <c r="E682" s="34"/>
      <c r="F682" s="44"/>
      <c r="G682" s="47"/>
      <c r="H682" s="53"/>
      <c r="I682" s="39"/>
      <c r="J682" s="56"/>
      <c r="K682" s="4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74"/>
      <c r="C683" s="5"/>
      <c r="D683" s="27"/>
      <c r="E683" s="34"/>
      <c r="F683" s="44"/>
      <c r="G683" s="47"/>
      <c r="H683" s="53"/>
      <c r="I683" s="39"/>
      <c r="J683" s="56"/>
      <c r="K683" s="4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74"/>
      <c r="C684" s="5"/>
      <c r="D684" s="27"/>
      <c r="E684" s="34"/>
      <c r="F684" s="44"/>
      <c r="G684" s="47"/>
      <c r="H684" s="53"/>
      <c r="I684" s="39"/>
      <c r="J684" s="56"/>
      <c r="K684" s="4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74"/>
      <c r="C685" s="5"/>
      <c r="D685" s="27"/>
      <c r="E685" s="34"/>
      <c r="F685" s="44"/>
      <c r="G685" s="47"/>
      <c r="H685" s="53"/>
      <c r="I685" s="39"/>
      <c r="J685" s="56"/>
      <c r="K685" s="4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74"/>
      <c r="C686" s="5"/>
      <c r="D686" s="27"/>
      <c r="E686" s="34"/>
      <c r="F686" s="44"/>
      <c r="G686" s="47"/>
      <c r="H686" s="53"/>
      <c r="I686" s="39"/>
      <c r="J686" s="56"/>
      <c r="K686" s="4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74"/>
      <c r="C687" s="5"/>
      <c r="D687" s="27"/>
      <c r="E687" s="34"/>
      <c r="F687" s="44"/>
      <c r="G687" s="47"/>
      <c r="H687" s="53"/>
      <c r="I687" s="39"/>
      <c r="J687" s="56"/>
      <c r="K687" s="4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74"/>
      <c r="C688" s="5"/>
      <c r="D688" s="27"/>
      <c r="E688" s="34"/>
      <c r="F688" s="44"/>
      <c r="G688" s="47"/>
      <c r="H688" s="53"/>
      <c r="I688" s="39"/>
      <c r="J688" s="56"/>
      <c r="K688" s="4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74"/>
      <c r="C689" s="5"/>
      <c r="D689" s="27"/>
      <c r="E689" s="34"/>
      <c r="F689" s="44"/>
      <c r="G689" s="47"/>
      <c r="H689" s="53"/>
      <c r="I689" s="39"/>
      <c r="J689" s="56"/>
      <c r="K689" s="4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74"/>
      <c r="C690" s="5"/>
      <c r="D690" s="27"/>
      <c r="E690" s="34"/>
      <c r="F690" s="44"/>
      <c r="G690" s="47"/>
      <c r="H690" s="53"/>
      <c r="I690" s="39"/>
      <c r="J690" s="56"/>
      <c r="K690" s="4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74"/>
      <c r="C691" s="5"/>
      <c r="D691" s="27"/>
      <c r="E691" s="34"/>
      <c r="F691" s="44"/>
      <c r="G691" s="47"/>
      <c r="H691" s="53"/>
      <c r="I691" s="39"/>
      <c r="J691" s="56"/>
      <c r="K691" s="4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74"/>
      <c r="C692" s="5"/>
      <c r="D692" s="27"/>
      <c r="E692" s="34"/>
      <c r="F692" s="44"/>
      <c r="G692" s="47"/>
      <c r="H692" s="53"/>
      <c r="I692" s="39"/>
      <c r="J692" s="56"/>
      <c r="K692" s="4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74"/>
      <c r="C693" s="5"/>
      <c r="D693" s="27"/>
      <c r="E693" s="34"/>
      <c r="F693" s="44"/>
      <c r="G693" s="47"/>
      <c r="H693" s="53"/>
      <c r="I693" s="39"/>
      <c r="J693" s="56"/>
      <c r="K693" s="4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74"/>
      <c r="C694" s="5"/>
      <c r="D694" s="27"/>
      <c r="E694" s="34"/>
      <c r="F694" s="44"/>
      <c r="G694" s="47"/>
      <c r="H694" s="53"/>
      <c r="I694" s="39"/>
      <c r="J694" s="56"/>
      <c r="K694" s="4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74"/>
      <c r="C695" s="5"/>
      <c r="D695" s="27"/>
      <c r="E695" s="34"/>
      <c r="F695" s="44"/>
      <c r="G695" s="47"/>
      <c r="H695" s="53"/>
      <c r="I695" s="39"/>
      <c r="J695" s="56"/>
      <c r="K695" s="4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74"/>
      <c r="C696" s="5"/>
      <c r="D696" s="27"/>
      <c r="E696" s="34"/>
      <c r="F696" s="44"/>
      <c r="G696" s="47"/>
      <c r="H696" s="53"/>
      <c r="I696" s="39"/>
      <c r="J696" s="56"/>
      <c r="K696" s="4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74"/>
      <c r="C697" s="5"/>
      <c r="D697" s="27"/>
      <c r="E697" s="34"/>
      <c r="F697" s="44"/>
      <c r="G697" s="47"/>
      <c r="H697" s="53"/>
      <c r="I697" s="39"/>
      <c r="J697" s="56"/>
      <c r="K697" s="4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74"/>
      <c r="C698" s="5"/>
      <c r="D698" s="27"/>
      <c r="E698" s="34"/>
      <c r="F698" s="44"/>
      <c r="G698" s="47"/>
      <c r="H698" s="53"/>
      <c r="I698" s="39"/>
      <c r="J698" s="56"/>
      <c r="K698" s="4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74"/>
      <c r="C699" s="5"/>
      <c r="D699" s="27"/>
      <c r="E699" s="34"/>
      <c r="F699" s="44"/>
      <c r="G699" s="47"/>
      <c r="H699" s="53"/>
      <c r="I699" s="39"/>
      <c r="J699" s="56"/>
      <c r="K699" s="4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74"/>
      <c r="C700" s="5"/>
      <c r="D700" s="27"/>
      <c r="E700" s="34"/>
      <c r="F700" s="44"/>
      <c r="G700" s="47"/>
      <c r="H700" s="53"/>
      <c r="I700" s="39"/>
      <c r="J700" s="56"/>
      <c r="K700" s="4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74"/>
      <c r="C701" s="5"/>
      <c r="D701" s="27"/>
      <c r="E701" s="34"/>
      <c r="F701" s="44"/>
      <c r="G701" s="47"/>
      <c r="H701" s="53"/>
      <c r="I701" s="39"/>
      <c r="J701" s="56"/>
      <c r="K701" s="4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74"/>
      <c r="C702" s="5"/>
      <c r="D702" s="27"/>
      <c r="E702" s="34"/>
      <c r="F702" s="44"/>
      <c r="G702" s="47"/>
      <c r="H702" s="53"/>
      <c r="I702" s="39"/>
      <c r="J702" s="56"/>
      <c r="K702" s="4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74"/>
      <c r="C703" s="5"/>
      <c r="D703" s="27"/>
      <c r="E703" s="34"/>
      <c r="F703" s="44"/>
      <c r="G703" s="47"/>
      <c r="H703" s="53"/>
      <c r="I703" s="39"/>
      <c r="J703" s="56"/>
      <c r="K703" s="4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74"/>
      <c r="C704" s="5"/>
      <c r="D704" s="27"/>
      <c r="E704" s="34"/>
      <c r="F704" s="44"/>
      <c r="G704" s="47"/>
      <c r="H704" s="53"/>
      <c r="I704" s="39"/>
      <c r="J704" s="56"/>
      <c r="K704" s="4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74"/>
      <c r="C705" s="5"/>
      <c r="D705" s="27"/>
      <c r="E705" s="34"/>
      <c r="F705" s="44"/>
      <c r="G705" s="47"/>
      <c r="H705" s="53"/>
      <c r="I705" s="39"/>
      <c r="J705" s="56"/>
      <c r="K705" s="4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74"/>
      <c r="C706" s="5"/>
      <c r="D706" s="27"/>
      <c r="E706" s="34"/>
      <c r="F706" s="44"/>
      <c r="G706" s="47"/>
      <c r="H706" s="53"/>
      <c r="I706" s="39"/>
      <c r="J706" s="56"/>
      <c r="K706" s="4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74"/>
      <c r="C707" s="5"/>
      <c r="D707" s="27"/>
      <c r="E707" s="34"/>
      <c r="F707" s="44"/>
      <c r="G707" s="47"/>
      <c r="H707" s="53"/>
      <c r="I707" s="39"/>
      <c r="J707" s="56"/>
      <c r="K707" s="4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74"/>
      <c r="C708" s="5"/>
      <c r="D708" s="27"/>
      <c r="E708" s="34"/>
      <c r="F708" s="44"/>
      <c r="G708" s="47"/>
      <c r="H708" s="53"/>
      <c r="I708" s="39"/>
      <c r="J708" s="56"/>
      <c r="K708" s="4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74"/>
      <c r="C709" s="5"/>
      <c r="D709" s="27"/>
      <c r="E709" s="34"/>
      <c r="F709" s="44"/>
      <c r="G709" s="47"/>
      <c r="H709" s="53"/>
      <c r="I709" s="39"/>
      <c r="J709" s="56"/>
      <c r="K709" s="4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74"/>
      <c r="C710" s="5"/>
      <c r="D710" s="27"/>
      <c r="E710" s="34"/>
      <c r="F710" s="44"/>
      <c r="G710" s="47"/>
      <c r="H710" s="53"/>
      <c r="I710" s="39"/>
      <c r="J710" s="56"/>
      <c r="K710" s="4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74"/>
      <c r="C711" s="5"/>
      <c r="D711" s="27"/>
      <c r="E711" s="34"/>
      <c r="F711" s="44"/>
      <c r="G711" s="47"/>
      <c r="H711" s="53"/>
      <c r="I711" s="39"/>
      <c r="J711" s="56"/>
      <c r="K711" s="4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74"/>
      <c r="C712" s="5"/>
      <c r="D712" s="27"/>
      <c r="E712" s="34"/>
      <c r="F712" s="44"/>
      <c r="G712" s="47"/>
      <c r="H712" s="53"/>
      <c r="I712" s="39"/>
      <c r="J712" s="56"/>
      <c r="K712" s="4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74"/>
      <c r="C713" s="5"/>
      <c r="D713" s="27"/>
      <c r="E713" s="34"/>
      <c r="F713" s="44"/>
      <c r="G713" s="47"/>
      <c r="H713" s="53"/>
      <c r="I713" s="39"/>
      <c r="J713" s="56"/>
      <c r="K713" s="4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74"/>
      <c r="C714" s="5"/>
      <c r="D714" s="27"/>
      <c r="E714" s="34"/>
      <c r="F714" s="44"/>
      <c r="G714" s="47"/>
      <c r="H714" s="53"/>
      <c r="I714" s="39"/>
      <c r="J714" s="56"/>
      <c r="K714" s="4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74"/>
      <c r="C715" s="5"/>
      <c r="D715" s="27"/>
      <c r="E715" s="34"/>
      <c r="F715" s="44"/>
      <c r="G715" s="47"/>
      <c r="H715" s="53"/>
      <c r="I715" s="39"/>
      <c r="J715" s="56"/>
      <c r="K715" s="4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74"/>
      <c r="C716" s="5"/>
      <c r="D716" s="27"/>
      <c r="E716" s="34"/>
      <c r="F716" s="44"/>
      <c r="G716" s="47"/>
      <c r="H716" s="53"/>
      <c r="I716" s="39"/>
      <c r="J716" s="56"/>
      <c r="K716" s="4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74"/>
      <c r="C717" s="5"/>
      <c r="D717" s="27"/>
      <c r="E717" s="34"/>
      <c r="F717" s="44"/>
      <c r="G717" s="47"/>
      <c r="H717" s="53"/>
      <c r="I717" s="39"/>
      <c r="J717" s="56"/>
      <c r="K717" s="4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74"/>
      <c r="C718" s="5"/>
      <c r="D718" s="27"/>
      <c r="E718" s="34"/>
      <c r="F718" s="44"/>
      <c r="G718" s="47"/>
      <c r="H718" s="53"/>
      <c r="I718" s="39"/>
      <c r="J718" s="56"/>
      <c r="K718" s="4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74"/>
      <c r="C719" s="5"/>
      <c r="D719" s="27"/>
      <c r="E719" s="34"/>
      <c r="F719" s="44"/>
      <c r="G719" s="47"/>
      <c r="H719" s="53"/>
      <c r="I719" s="39"/>
      <c r="J719" s="56"/>
      <c r="K719" s="4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74"/>
      <c r="C720" s="5"/>
      <c r="D720" s="27"/>
      <c r="E720" s="34"/>
      <c r="F720" s="44"/>
      <c r="G720" s="47"/>
      <c r="H720" s="53"/>
      <c r="I720" s="39"/>
      <c r="J720" s="56"/>
      <c r="K720" s="4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74"/>
      <c r="C721" s="5"/>
      <c r="D721" s="27"/>
      <c r="E721" s="34"/>
      <c r="F721" s="44"/>
      <c r="G721" s="47"/>
      <c r="H721" s="53"/>
      <c r="I721" s="39"/>
      <c r="J721" s="56"/>
      <c r="K721" s="4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74"/>
      <c r="C722" s="5"/>
      <c r="D722" s="27"/>
      <c r="E722" s="34"/>
      <c r="F722" s="44"/>
      <c r="G722" s="47"/>
      <c r="H722" s="53"/>
      <c r="I722" s="39"/>
      <c r="J722" s="56"/>
      <c r="K722" s="4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74"/>
      <c r="C723" s="5"/>
      <c r="D723" s="27"/>
      <c r="E723" s="34"/>
      <c r="F723" s="44"/>
      <c r="G723" s="47"/>
      <c r="H723" s="53"/>
      <c r="I723" s="39"/>
      <c r="J723" s="56"/>
      <c r="K723" s="4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74"/>
      <c r="C724" s="5"/>
      <c r="D724" s="27"/>
      <c r="E724" s="34"/>
      <c r="F724" s="44"/>
      <c r="G724" s="47"/>
      <c r="H724" s="53"/>
      <c r="I724" s="39"/>
      <c r="J724" s="56"/>
      <c r="K724" s="4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74"/>
      <c r="C725" s="5"/>
      <c r="D725" s="27"/>
      <c r="E725" s="34"/>
      <c r="F725" s="44"/>
      <c r="G725" s="47"/>
      <c r="H725" s="53"/>
      <c r="I725" s="39"/>
      <c r="J725" s="56"/>
      <c r="K725" s="4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74"/>
      <c r="C726" s="5"/>
      <c r="D726" s="27"/>
      <c r="E726" s="34"/>
      <c r="F726" s="44"/>
      <c r="G726" s="47"/>
      <c r="H726" s="53"/>
      <c r="I726" s="39"/>
      <c r="J726" s="56"/>
      <c r="K726" s="4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74"/>
      <c r="C727" s="5"/>
      <c r="D727" s="27"/>
      <c r="E727" s="34"/>
      <c r="F727" s="44"/>
      <c r="G727" s="47"/>
      <c r="H727" s="53"/>
      <c r="I727" s="39"/>
      <c r="J727" s="56"/>
      <c r="K727" s="4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74"/>
      <c r="C728" s="5"/>
      <c r="D728" s="27"/>
      <c r="E728" s="34"/>
      <c r="F728" s="44"/>
      <c r="G728" s="47"/>
      <c r="H728" s="53"/>
      <c r="I728" s="39"/>
      <c r="J728" s="56"/>
      <c r="K728" s="4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74"/>
      <c r="C729" s="5"/>
      <c r="D729" s="27"/>
      <c r="E729" s="34"/>
      <c r="F729" s="44"/>
      <c r="G729" s="47"/>
      <c r="H729" s="53"/>
      <c r="I729" s="39"/>
      <c r="J729" s="56"/>
      <c r="K729" s="4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74"/>
      <c r="C730" s="5"/>
      <c r="D730" s="27"/>
      <c r="E730" s="34"/>
      <c r="F730" s="44"/>
      <c r="G730" s="47"/>
      <c r="H730" s="53"/>
      <c r="I730" s="39"/>
      <c r="J730" s="56"/>
      <c r="K730" s="4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74"/>
      <c r="C731" s="5"/>
      <c r="D731" s="27"/>
      <c r="E731" s="34"/>
      <c r="F731" s="44"/>
      <c r="G731" s="47"/>
      <c r="H731" s="53"/>
      <c r="I731" s="39"/>
      <c r="J731" s="56"/>
      <c r="K731" s="4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74"/>
      <c r="C732" s="5"/>
      <c r="D732" s="27"/>
      <c r="E732" s="34"/>
      <c r="F732" s="44"/>
      <c r="G732" s="47"/>
      <c r="H732" s="53"/>
      <c r="I732" s="39"/>
      <c r="J732" s="56"/>
      <c r="K732" s="4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74"/>
      <c r="C733" s="5"/>
      <c r="D733" s="27"/>
      <c r="E733" s="34"/>
      <c r="F733" s="44"/>
      <c r="G733" s="47"/>
      <c r="H733" s="53"/>
      <c r="I733" s="39"/>
      <c r="J733" s="56"/>
      <c r="K733" s="4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74"/>
      <c r="C734" s="5"/>
      <c r="D734" s="27"/>
      <c r="E734" s="34"/>
      <c r="F734" s="44"/>
      <c r="G734" s="47"/>
      <c r="H734" s="53"/>
      <c r="I734" s="39"/>
      <c r="J734" s="56"/>
      <c r="K734" s="4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74"/>
      <c r="C735" s="5"/>
      <c r="D735" s="27"/>
      <c r="E735" s="34"/>
      <c r="F735" s="44"/>
      <c r="G735" s="47"/>
      <c r="H735" s="53"/>
      <c r="I735" s="39"/>
      <c r="J735" s="56"/>
      <c r="K735" s="4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74"/>
      <c r="C736" s="5"/>
      <c r="D736" s="27"/>
      <c r="E736" s="34"/>
      <c r="F736" s="44"/>
      <c r="G736" s="47"/>
      <c r="H736" s="53"/>
      <c r="I736" s="39"/>
      <c r="J736" s="56"/>
      <c r="K736" s="4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74"/>
      <c r="C737" s="5"/>
      <c r="D737" s="27"/>
      <c r="E737" s="34"/>
      <c r="F737" s="44"/>
      <c r="G737" s="47"/>
      <c r="H737" s="53"/>
      <c r="I737" s="39"/>
      <c r="J737" s="56"/>
      <c r="K737" s="4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74"/>
      <c r="C738" s="5"/>
      <c r="D738" s="27"/>
      <c r="E738" s="34"/>
      <c r="F738" s="44"/>
      <c r="G738" s="47"/>
      <c r="H738" s="53"/>
      <c r="I738" s="39"/>
      <c r="J738" s="56"/>
      <c r="K738" s="4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74"/>
      <c r="C739" s="5"/>
      <c r="D739" s="27"/>
      <c r="E739" s="34"/>
      <c r="F739" s="44"/>
      <c r="G739" s="47"/>
      <c r="H739" s="53"/>
      <c r="I739" s="39"/>
      <c r="J739" s="56"/>
      <c r="K739" s="4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74"/>
      <c r="C740" s="5"/>
      <c r="D740" s="27"/>
      <c r="E740" s="34"/>
      <c r="F740" s="44"/>
      <c r="G740" s="47"/>
      <c r="H740" s="53"/>
      <c r="I740" s="39"/>
      <c r="J740" s="56"/>
      <c r="K740" s="4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74"/>
      <c r="C741" s="5"/>
      <c r="D741" s="27"/>
      <c r="E741" s="34"/>
      <c r="F741" s="44"/>
      <c r="G741" s="47"/>
      <c r="H741" s="53"/>
      <c r="I741" s="39"/>
      <c r="J741" s="56"/>
      <c r="K741" s="4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74"/>
      <c r="C742" s="5"/>
      <c r="D742" s="27"/>
      <c r="E742" s="34"/>
      <c r="F742" s="44"/>
      <c r="G742" s="47"/>
      <c r="H742" s="53"/>
      <c r="I742" s="39"/>
      <c r="J742" s="56"/>
      <c r="K742" s="4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74"/>
      <c r="C743" s="5"/>
      <c r="D743" s="27"/>
      <c r="E743" s="34"/>
      <c r="F743" s="44"/>
      <c r="G743" s="47"/>
      <c r="H743" s="53"/>
      <c r="I743" s="39"/>
      <c r="J743" s="56"/>
      <c r="K743" s="4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74"/>
      <c r="C744" s="5"/>
      <c r="D744" s="27"/>
      <c r="E744" s="34"/>
      <c r="F744" s="44"/>
      <c r="G744" s="47"/>
      <c r="H744" s="53"/>
      <c r="I744" s="39"/>
      <c r="J744" s="56"/>
      <c r="K744" s="4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74"/>
      <c r="C745" s="5"/>
      <c r="D745" s="27"/>
      <c r="E745" s="34"/>
      <c r="F745" s="44"/>
      <c r="G745" s="47"/>
      <c r="H745" s="53"/>
      <c r="I745" s="39"/>
      <c r="J745" s="56"/>
      <c r="K745" s="4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74"/>
      <c r="C746" s="5"/>
      <c r="D746" s="27"/>
      <c r="E746" s="34"/>
      <c r="F746" s="44"/>
      <c r="G746" s="47"/>
      <c r="H746" s="53"/>
      <c r="I746" s="39"/>
      <c r="J746" s="56"/>
      <c r="K746" s="4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74"/>
      <c r="C747" s="5"/>
      <c r="D747" s="27"/>
      <c r="E747" s="34"/>
      <c r="F747" s="44"/>
      <c r="G747" s="47"/>
      <c r="H747" s="53"/>
      <c r="I747" s="39"/>
      <c r="J747" s="56"/>
      <c r="K747" s="4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74"/>
      <c r="C748" s="5"/>
      <c r="D748" s="27"/>
      <c r="E748" s="34"/>
      <c r="F748" s="44"/>
      <c r="G748" s="47"/>
      <c r="H748" s="53"/>
      <c r="I748" s="39"/>
      <c r="J748" s="56"/>
      <c r="K748" s="4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74"/>
      <c r="C749" s="5"/>
      <c r="D749" s="27"/>
      <c r="E749" s="34"/>
      <c r="F749" s="44"/>
      <c r="G749" s="47"/>
      <c r="H749" s="53"/>
      <c r="I749" s="39"/>
      <c r="J749" s="56"/>
      <c r="K749" s="4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74"/>
      <c r="C750" s="5"/>
      <c r="D750" s="27"/>
      <c r="E750" s="34"/>
      <c r="F750" s="44"/>
      <c r="G750" s="47"/>
      <c r="H750" s="53"/>
      <c r="I750" s="39"/>
      <c r="J750" s="56"/>
      <c r="K750" s="4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74"/>
      <c r="C751" s="5"/>
      <c r="D751" s="27"/>
      <c r="E751" s="34"/>
      <c r="F751" s="44"/>
      <c r="G751" s="47"/>
      <c r="H751" s="53"/>
      <c r="I751" s="39"/>
      <c r="J751" s="56"/>
      <c r="K751" s="4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74"/>
      <c r="C752" s="5"/>
      <c r="D752" s="27"/>
      <c r="E752" s="34"/>
      <c r="F752" s="44"/>
      <c r="G752" s="47"/>
      <c r="H752" s="53"/>
      <c r="I752" s="39"/>
      <c r="J752" s="56"/>
      <c r="K752" s="4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74"/>
      <c r="C753" s="5"/>
      <c r="D753" s="27"/>
      <c r="E753" s="34"/>
      <c r="F753" s="44"/>
      <c r="G753" s="47"/>
      <c r="H753" s="53"/>
      <c r="I753" s="39"/>
      <c r="J753" s="56"/>
      <c r="K753" s="4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74"/>
      <c r="C754" s="5"/>
      <c r="D754" s="27"/>
      <c r="E754" s="34"/>
      <c r="F754" s="44"/>
      <c r="G754" s="47"/>
      <c r="H754" s="53"/>
      <c r="I754" s="39"/>
      <c r="J754" s="56"/>
      <c r="K754" s="4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74"/>
      <c r="C755" s="5"/>
      <c r="D755" s="27"/>
      <c r="E755" s="34"/>
      <c r="F755" s="44"/>
      <c r="G755" s="47"/>
      <c r="H755" s="53"/>
      <c r="I755" s="39"/>
      <c r="J755" s="56"/>
      <c r="K755" s="4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74"/>
      <c r="C756" s="5"/>
      <c r="D756" s="27"/>
      <c r="E756" s="34"/>
      <c r="F756" s="44"/>
      <c r="G756" s="47"/>
      <c r="H756" s="53"/>
      <c r="I756" s="39"/>
      <c r="J756" s="56"/>
      <c r="K756" s="4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74"/>
      <c r="C757" s="5"/>
      <c r="D757" s="27"/>
      <c r="E757" s="34"/>
      <c r="F757" s="44"/>
      <c r="G757" s="47"/>
      <c r="H757" s="53"/>
      <c r="I757" s="39"/>
      <c r="J757" s="56"/>
      <c r="K757" s="4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74"/>
      <c r="C758" s="5"/>
      <c r="D758" s="27"/>
      <c r="E758" s="34"/>
      <c r="F758" s="44"/>
      <c r="G758" s="47"/>
      <c r="H758" s="53"/>
      <c r="I758" s="39"/>
      <c r="J758" s="56"/>
      <c r="K758" s="4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74"/>
      <c r="C759" s="5"/>
      <c r="D759" s="27"/>
      <c r="E759" s="34"/>
      <c r="F759" s="44"/>
      <c r="G759" s="47"/>
      <c r="H759" s="53"/>
      <c r="I759" s="39"/>
      <c r="J759" s="56"/>
      <c r="K759" s="4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74"/>
      <c r="C760" s="5"/>
      <c r="D760" s="27"/>
      <c r="E760" s="34"/>
      <c r="F760" s="44"/>
      <c r="G760" s="47"/>
      <c r="H760" s="53"/>
      <c r="I760" s="39"/>
      <c r="J760" s="56"/>
      <c r="K760" s="4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74"/>
      <c r="C761" s="5"/>
      <c r="D761" s="27"/>
      <c r="E761" s="34"/>
      <c r="F761" s="44"/>
      <c r="G761" s="47"/>
      <c r="H761" s="53"/>
      <c r="I761" s="39"/>
      <c r="J761" s="56"/>
      <c r="K761" s="4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74"/>
      <c r="C762" s="5"/>
      <c r="D762" s="27"/>
      <c r="E762" s="34"/>
      <c r="F762" s="44"/>
      <c r="G762" s="47"/>
      <c r="H762" s="53"/>
      <c r="I762" s="39"/>
      <c r="J762" s="56"/>
      <c r="K762" s="4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74"/>
      <c r="C763" s="5"/>
      <c r="D763" s="27"/>
      <c r="E763" s="34"/>
      <c r="F763" s="44"/>
      <c r="G763" s="47"/>
      <c r="H763" s="53"/>
      <c r="I763" s="39"/>
      <c r="J763" s="56"/>
      <c r="K763" s="4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74"/>
      <c r="C764" s="5"/>
      <c r="D764" s="27"/>
      <c r="E764" s="34"/>
      <c r="F764" s="44"/>
      <c r="G764" s="47"/>
      <c r="H764" s="53"/>
      <c r="I764" s="39"/>
      <c r="J764" s="56"/>
      <c r="K764" s="4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74"/>
      <c r="C765" s="5"/>
      <c r="D765" s="27"/>
      <c r="E765" s="34"/>
      <c r="F765" s="44"/>
      <c r="G765" s="47"/>
      <c r="H765" s="53"/>
      <c r="I765" s="39"/>
      <c r="J765" s="56"/>
      <c r="K765" s="4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74"/>
      <c r="C766" s="5"/>
      <c r="D766" s="27"/>
      <c r="E766" s="34"/>
      <c r="F766" s="44"/>
      <c r="G766" s="47"/>
      <c r="H766" s="53"/>
      <c r="I766" s="39"/>
      <c r="J766" s="56"/>
      <c r="K766" s="4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74"/>
      <c r="C767" s="5"/>
      <c r="D767" s="27"/>
      <c r="E767" s="34"/>
      <c r="F767" s="44"/>
      <c r="G767" s="47"/>
      <c r="H767" s="53"/>
      <c r="I767" s="39"/>
      <c r="J767" s="56"/>
      <c r="K767" s="4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74"/>
      <c r="C768" s="5"/>
      <c r="D768" s="27"/>
      <c r="E768" s="34"/>
      <c r="F768" s="44"/>
      <c r="G768" s="47"/>
      <c r="H768" s="53"/>
      <c r="I768" s="39"/>
      <c r="J768" s="56"/>
      <c r="K768" s="4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74"/>
      <c r="C769" s="5"/>
      <c r="D769" s="27"/>
      <c r="E769" s="34"/>
      <c r="F769" s="44"/>
      <c r="G769" s="47"/>
      <c r="H769" s="53"/>
      <c r="I769" s="39"/>
      <c r="J769" s="56"/>
      <c r="K769" s="4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74"/>
      <c r="C770" s="5"/>
      <c r="D770" s="27"/>
      <c r="E770" s="34"/>
      <c r="F770" s="44"/>
      <c r="G770" s="47"/>
      <c r="H770" s="53"/>
      <c r="I770" s="39"/>
      <c r="J770" s="56"/>
      <c r="K770" s="4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74"/>
      <c r="C771" s="5"/>
      <c r="D771" s="27"/>
      <c r="E771" s="34"/>
      <c r="F771" s="44"/>
      <c r="G771" s="47"/>
      <c r="H771" s="53"/>
      <c r="I771" s="39"/>
      <c r="J771" s="56"/>
      <c r="K771" s="4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74"/>
      <c r="C772" s="5"/>
      <c r="D772" s="27"/>
      <c r="E772" s="34"/>
      <c r="F772" s="44"/>
      <c r="G772" s="47"/>
      <c r="H772" s="53"/>
      <c r="I772" s="39"/>
      <c r="J772" s="56"/>
      <c r="K772" s="4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74"/>
      <c r="C773" s="5"/>
      <c r="D773" s="27"/>
      <c r="E773" s="34"/>
      <c r="F773" s="44"/>
      <c r="G773" s="47"/>
      <c r="H773" s="53"/>
      <c r="I773" s="39"/>
      <c r="J773" s="56"/>
      <c r="K773" s="4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74"/>
      <c r="C774" s="5"/>
      <c r="D774" s="27"/>
      <c r="E774" s="34"/>
      <c r="F774" s="44"/>
      <c r="G774" s="47"/>
      <c r="H774" s="53"/>
      <c r="I774" s="39"/>
      <c r="J774" s="56"/>
      <c r="K774" s="4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74"/>
      <c r="C775" s="5"/>
      <c r="D775" s="27"/>
      <c r="E775" s="34"/>
      <c r="F775" s="44"/>
      <c r="G775" s="47"/>
      <c r="H775" s="53"/>
      <c r="I775" s="39"/>
      <c r="J775" s="56"/>
      <c r="K775" s="4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74"/>
      <c r="C776" s="5"/>
      <c r="D776" s="27"/>
      <c r="E776" s="34"/>
      <c r="F776" s="44"/>
      <c r="G776" s="47"/>
      <c r="H776" s="53"/>
      <c r="I776" s="39"/>
      <c r="J776" s="56"/>
      <c r="K776" s="4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74"/>
      <c r="C777" s="5"/>
      <c r="D777" s="27"/>
      <c r="E777" s="34"/>
      <c r="F777" s="44"/>
      <c r="G777" s="47"/>
      <c r="H777" s="53"/>
      <c r="I777" s="39"/>
      <c r="J777" s="56"/>
      <c r="K777" s="4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74"/>
      <c r="C778" s="5"/>
      <c r="D778" s="27"/>
      <c r="E778" s="34"/>
      <c r="F778" s="44"/>
      <c r="G778" s="47"/>
      <c r="H778" s="53"/>
      <c r="I778" s="39"/>
      <c r="J778" s="56"/>
      <c r="K778" s="4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74"/>
      <c r="C779" s="5"/>
      <c r="D779" s="27"/>
      <c r="E779" s="34"/>
      <c r="F779" s="44"/>
      <c r="G779" s="47"/>
      <c r="H779" s="53"/>
      <c r="I779" s="39"/>
      <c r="J779" s="56"/>
      <c r="K779" s="4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74"/>
      <c r="C780" s="5"/>
      <c r="D780" s="27"/>
      <c r="E780" s="34"/>
      <c r="F780" s="44"/>
      <c r="G780" s="47"/>
      <c r="H780" s="53"/>
      <c r="I780" s="39"/>
      <c r="J780" s="56"/>
      <c r="K780" s="4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74"/>
      <c r="C781" s="5"/>
      <c r="D781" s="27"/>
      <c r="E781" s="34"/>
      <c r="F781" s="44"/>
      <c r="G781" s="47"/>
      <c r="H781" s="53"/>
      <c r="I781" s="39"/>
      <c r="J781" s="56"/>
      <c r="K781" s="4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74"/>
      <c r="C782" s="5"/>
      <c r="D782" s="27"/>
      <c r="E782" s="34"/>
      <c r="F782" s="44"/>
      <c r="G782" s="47"/>
      <c r="H782" s="53"/>
      <c r="I782" s="39"/>
      <c r="J782" s="56"/>
      <c r="K782" s="4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74"/>
      <c r="C783" s="5"/>
      <c r="D783" s="27"/>
      <c r="E783" s="34"/>
      <c r="F783" s="44"/>
      <c r="G783" s="47"/>
      <c r="H783" s="53"/>
      <c r="I783" s="39"/>
      <c r="J783" s="56"/>
      <c r="K783" s="4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74"/>
      <c r="C784" s="5"/>
      <c r="D784" s="27"/>
      <c r="E784" s="34"/>
      <c r="F784" s="44"/>
      <c r="G784" s="47"/>
      <c r="H784" s="53"/>
      <c r="I784" s="39"/>
      <c r="J784" s="56"/>
      <c r="K784" s="4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74"/>
      <c r="C785" s="5"/>
      <c r="D785" s="27"/>
      <c r="E785" s="34"/>
      <c r="F785" s="44"/>
      <c r="G785" s="47"/>
      <c r="H785" s="53"/>
      <c r="I785" s="39"/>
      <c r="J785" s="56"/>
      <c r="K785" s="4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74"/>
      <c r="C786" s="5"/>
      <c r="D786" s="27"/>
      <c r="E786" s="34"/>
      <c r="F786" s="44"/>
      <c r="G786" s="47"/>
      <c r="H786" s="53"/>
      <c r="I786" s="39"/>
      <c r="J786" s="56"/>
      <c r="K786" s="4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74"/>
      <c r="C787" s="5"/>
      <c r="D787" s="27"/>
      <c r="E787" s="34"/>
      <c r="F787" s="44"/>
      <c r="G787" s="47"/>
      <c r="H787" s="53"/>
      <c r="I787" s="39"/>
      <c r="J787" s="56"/>
      <c r="K787" s="4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74"/>
      <c r="C788" s="5"/>
      <c r="D788" s="27"/>
      <c r="E788" s="34"/>
      <c r="F788" s="44"/>
      <c r="G788" s="47"/>
      <c r="H788" s="53"/>
      <c r="I788" s="39"/>
      <c r="J788" s="56"/>
      <c r="K788" s="4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74"/>
      <c r="C789" s="5"/>
      <c r="D789" s="27"/>
      <c r="E789" s="34"/>
      <c r="F789" s="44"/>
      <c r="G789" s="47"/>
      <c r="H789" s="53"/>
      <c r="I789" s="39"/>
      <c r="J789" s="56"/>
      <c r="K789" s="4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74"/>
      <c r="C790" s="5"/>
      <c r="D790" s="27"/>
      <c r="E790" s="34"/>
      <c r="F790" s="44"/>
      <c r="G790" s="47"/>
      <c r="H790" s="53"/>
      <c r="I790" s="39"/>
      <c r="J790" s="56"/>
      <c r="K790" s="4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74"/>
      <c r="C791" s="5"/>
      <c r="D791" s="27"/>
      <c r="E791" s="34"/>
      <c r="F791" s="44"/>
      <c r="G791" s="47"/>
      <c r="H791" s="53"/>
      <c r="I791" s="39"/>
      <c r="J791" s="56"/>
      <c r="K791" s="4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74"/>
      <c r="C792" s="5"/>
      <c r="D792" s="27"/>
      <c r="E792" s="34"/>
      <c r="F792" s="44"/>
      <c r="G792" s="47"/>
      <c r="H792" s="53"/>
      <c r="I792" s="39"/>
      <c r="J792" s="56"/>
      <c r="K792" s="4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74"/>
      <c r="C793" s="5"/>
      <c r="D793" s="27"/>
      <c r="E793" s="34"/>
      <c r="F793" s="44"/>
      <c r="G793" s="47"/>
      <c r="H793" s="53"/>
      <c r="I793" s="39"/>
      <c r="J793" s="56"/>
      <c r="K793" s="4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74"/>
      <c r="C794" s="5"/>
      <c r="D794" s="27"/>
      <c r="E794" s="34"/>
      <c r="F794" s="44"/>
      <c r="G794" s="47"/>
      <c r="H794" s="53"/>
      <c r="I794" s="39"/>
      <c r="J794" s="56"/>
      <c r="K794" s="4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74"/>
      <c r="C795" s="5"/>
      <c r="D795" s="27"/>
      <c r="E795" s="34"/>
      <c r="F795" s="44"/>
      <c r="G795" s="47"/>
      <c r="H795" s="53"/>
      <c r="I795" s="39"/>
      <c r="J795" s="56"/>
      <c r="K795" s="4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74"/>
      <c r="C796" s="5"/>
      <c r="D796" s="27"/>
      <c r="E796" s="34"/>
      <c r="F796" s="44"/>
      <c r="G796" s="47"/>
      <c r="H796" s="53"/>
      <c r="I796" s="39"/>
      <c r="J796" s="56"/>
      <c r="K796" s="4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74"/>
      <c r="C797" s="5"/>
      <c r="D797" s="27"/>
      <c r="E797" s="34"/>
      <c r="F797" s="44"/>
      <c r="G797" s="47"/>
      <c r="H797" s="53"/>
      <c r="I797" s="39"/>
      <c r="J797" s="56"/>
      <c r="K797" s="4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74"/>
      <c r="C798" s="5"/>
      <c r="D798" s="27"/>
      <c r="E798" s="34"/>
      <c r="F798" s="44"/>
      <c r="G798" s="47"/>
      <c r="H798" s="53"/>
      <c r="I798" s="39"/>
      <c r="J798" s="56"/>
      <c r="K798" s="4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74"/>
      <c r="C799" s="5"/>
      <c r="D799" s="27"/>
      <c r="E799" s="34"/>
      <c r="F799" s="44"/>
      <c r="G799" s="47"/>
      <c r="H799" s="53"/>
      <c r="I799" s="39"/>
      <c r="J799" s="56"/>
      <c r="K799" s="4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74"/>
      <c r="C800" s="5"/>
      <c r="D800" s="27"/>
      <c r="E800" s="34"/>
      <c r="F800" s="44"/>
      <c r="G800" s="47"/>
      <c r="H800" s="53"/>
      <c r="I800" s="39"/>
      <c r="J800" s="56"/>
      <c r="K800" s="4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74"/>
      <c r="C801" s="5"/>
      <c r="D801" s="27"/>
      <c r="E801" s="34"/>
      <c r="F801" s="44"/>
      <c r="G801" s="47"/>
      <c r="H801" s="53"/>
      <c r="I801" s="39"/>
      <c r="J801" s="56"/>
      <c r="K801" s="4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74"/>
      <c r="C802" s="5"/>
      <c r="D802" s="27"/>
      <c r="E802" s="34"/>
      <c r="F802" s="44"/>
      <c r="G802" s="47"/>
      <c r="H802" s="53"/>
      <c r="I802" s="39"/>
      <c r="J802" s="56"/>
      <c r="K802" s="4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74"/>
      <c r="C803" s="5"/>
      <c r="D803" s="27"/>
      <c r="E803" s="34"/>
      <c r="F803" s="44"/>
      <c r="G803" s="47"/>
      <c r="H803" s="53"/>
      <c r="I803" s="39"/>
      <c r="J803" s="56"/>
      <c r="K803" s="4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74"/>
      <c r="C804" s="5"/>
      <c r="D804" s="27"/>
      <c r="E804" s="34"/>
      <c r="F804" s="44"/>
      <c r="G804" s="47"/>
      <c r="H804" s="53"/>
      <c r="I804" s="39"/>
      <c r="J804" s="56"/>
      <c r="K804" s="4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74"/>
      <c r="C805" s="5"/>
      <c r="D805" s="27"/>
      <c r="E805" s="34"/>
      <c r="F805" s="44"/>
      <c r="G805" s="47"/>
      <c r="H805" s="53"/>
      <c r="I805" s="39"/>
      <c r="J805" s="56"/>
      <c r="K805" s="4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74"/>
      <c r="C806" s="5"/>
      <c r="D806" s="27"/>
      <c r="E806" s="34"/>
      <c r="F806" s="44"/>
      <c r="G806" s="47"/>
      <c r="H806" s="53"/>
      <c r="I806" s="39"/>
      <c r="J806" s="56"/>
      <c r="K806" s="4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74"/>
      <c r="C807" s="5"/>
      <c r="D807" s="27"/>
      <c r="E807" s="34"/>
      <c r="F807" s="44"/>
      <c r="G807" s="47"/>
      <c r="H807" s="53"/>
      <c r="I807" s="39"/>
      <c r="J807" s="56"/>
      <c r="K807" s="4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74"/>
      <c r="C808" s="5"/>
      <c r="D808" s="27"/>
      <c r="E808" s="34"/>
      <c r="F808" s="44"/>
      <c r="G808" s="47"/>
      <c r="H808" s="53"/>
      <c r="I808" s="39"/>
      <c r="J808" s="56"/>
      <c r="K808" s="4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74"/>
      <c r="C809" s="5"/>
      <c r="D809" s="27"/>
      <c r="E809" s="34"/>
      <c r="F809" s="44"/>
      <c r="G809" s="47"/>
      <c r="H809" s="53"/>
      <c r="I809" s="39"/>
      <c r="J809" s="56"/>
      <c r="K809" s="4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74"/>
      <c r="C810" s="5"/>
      <c r="D810" s="27"/>
      <c r="E810" s="34"/>
      <c r="F810" s="44"/>
      <c r="G810" s="47"/>
      <c r="H810" s="53"/>
      <c r="I810" s="39"/>
      <c r="J810" s="56"/>
      <c r="K810" s="4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74"/>
      <c r="C811" s="5"/>
      <c r="D811" s="27"/>
      <c r="E811" s="34"/>
      <c r="F811" s="44"/>
      <c r="G811" s="47"/>
      <c r="H811" s="53"/>
      <c r="I811" s="39"/>
      <c r="J811" s="56"/>
      <c r="K811" s="4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74"/>
      <c r="C812" s="5"/>
      <c r="D812" s="27"/>
      <c r="E812" s="34"/>
      <c r="F812" s="44"/>
      <c r="G812" s="47"/>
      <c r="H812" s="53"/>
      <c r="I812" s="39"/>
      <c r="J812" s="56"/>
      <c r="K812" s="4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74"/>
      <c r="C813" s="5"/>
      <c r="D813" s="27"/>
      <c r="E813" s="34"/>
      <c r="F813" s="44"/>
      <c r="G813" s="47"/>
      <c r="H813" s="53"/>
      <c r="I813" s="39"/>
      <c r="J813" s="56"/>
      <c r="K813" s="4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74"/>
      <c r="C814" s="5"/>
      <c r="D814" s="27"/>
      <c r="E814" s="34"/>
      <c r="F814" s="44"/>
      <c r="G814" s="47"/>
      <c r="H814" s="53"/>
      <c r="I814" s="39"/>
      <c r="J814" s="56"/>
      <c r="K814" s="4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74"/>
      <c r="C815" s="5"/>
      <c r="D815" s="27"/>
      <c r="E815" s="34"/>
      <c r="F815" s="44"/>
      <c r="G815" s="47"/>
      <c r="H815" s="53"/>
      <c r="I815" s="39"/>
      <c r="J815" s="56"/>
      <c r="K815" s="4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74"/>
      <c r="C816" s="5"/>
      <c r="D816" s="27"/>
      <c r="E816" s="34"/>
      <c r="F816" s="44"/>
      <c r="G816" s="47"/>
      <c r="H816" s="53"/>
      <c r="I816" s="39"/>
      <c r="J816" s="56"/>
      <c r="K816" s="4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74"/>
      <c r="C817" s="5"/>
      <c r="D817" s="27"/>
      <c r="E817" s="34"/>
      <c r="F817" s="44"/>
      <c r="G817" s="47"/>
      <c r="H817" s="53"/>
      <c r="I817" s="39"/>
      <c r="J817" s="56"/>
      <c r="K817" s="4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74"/>
      <c r="C818" s="5"/>
      <c r="D818" s="27"/>
      <c r="E818" s="34"/>
      <c r="F818" s="44"/>
      <c r="G818" s="47"/>
      <c r="H818" s="53"/>
      <c r="I818" s="39"/>
      <c r="J818" s="56"/>
      <c r="K818" s="4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74"/>
      <c r="C819" s="5"/>
      <c r="D819" s="27"/>
      <c r="E819" s="34"/>
      <c r="F819" s="44"/>
      <c r="G819" s="47"/>
      <c r="H819" s="53"/>
      <c r="I819" s="39"/>
      <c r="J819" s="56"/>
      <c r="K819" s="4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74"/>
      <c r="C820" s="5"/>
      <c r="D820" s="27"/>
      <c r="E820" s="34"/>
      <c r="F820" s="44"/>
      <c r="G820" s="47"/>
      <c r="H820" s="53"/>
      <c r="I820" s="39"/>
      <c r="J820" s="56"/>
      <c r="K820" s="4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74"/>
      <c r="C821" s="5"/>
      <c r="D821" s="27"/>
      <c r="E821" s="34"/>
      <c r="F821" s="44"/>
      <c r="G821" s="47"/>
      <c r="H821" s="53"/>
      <c r="I821" s="39"/>
      <c r="J821" s="56"/>
      <c r="K821" s="4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74"/>
      <c r="C822" s="5"/>
      <c r="D822" s="27"/>
      <c r="E822" s="34"/>
      <c r="F822" s="44"/>
      <c r="G822" s="47"/>
      <c r="H822" s="53"/>
      <c r="I822" s="39"/>
      <c r="J822" s="56"/>
      <c r="K822" s="4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74"/>
      <c r="C823" s="5"/>
      <c r="D823" s="27"/>
      <c r="E823" s="34"/>
      <c r="F823" s="44"/>
      <c r="G823" s="47"/>
      <c r="H823" s="53"/>
      <c r="I823" s="39"/>
      <c r="J823" s="56"/>
      <c r="K823" s="4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74"/>
      <c r="C824" s="5"/>
      <c r="D824" s="27"/>
      <c r="E824" s="34"/>
      <c r="F824" s="44"/>
      <c r="G824" s="47"/>
      <c r="H824" s="53"/>
      <c r="I824" s="39"/>
      <c r="J824" s="56"/>
      <c r="K824" s="4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74"/>
      <c r="C825" s="5"/>
      <c r="D825" s="27"/>
      <c r="E825" s="34"/>
      <c r="F825" s="44"/>
      <c r="G825" s="47"/>
      <c r="H825" s="53"/>
      <c r="I825" s="39"/>
      <c r="J825" s="56"/>
      <c r="K825" s="4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74"/>
      <c r="C826" s="5"/>
      <c r="D826" s="27"/>
      <c r="E826" s="34"/>
      <c r="F826" s="44"/>
      <c r="G826" s="47"/>
      <c r="H826" s="53"/>
      <c r="I826" s="39"/>
      <c r="J826" s="56"/>
      <c r="K826" s="4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74"/>
      <c r="C827" s="5"/>
      <c r="D827" s="27"/>
      <c r="E827" s="34"/>
      <c r="F827" s="44"/>
      <c r="G827" s="47"/>
      <c r="H827" s="53"/>
      <c r="I827" s="39"/>
      <c r="J827" s="56"/>
      <c r="K827" s="4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74"/>
      <c r="C828" s="5"/>
      <c r="D828" s="27"/>
      <c r="E828" s="34"/>
      <c r="F828" s="44"/>
      <c r="G828" s="47"/>
      <c r="H828" s="53"/>
      <c r="I828" s="39"/>
      <c r="J828" s="56"/>
      <c r="K828" s="4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74"/>
      <c r="C829" s="5"/>
      <c r="D829" s="27"/>
      <c r="E829" s="34"/>
      <c r="F829" s="44"/>
      <c r="G829" s="47"/>
      <c r="H829" s="53"/>
      <c r="I829" s="39"/>
      <c r="J829" s="56"/>
      <c r="K829" s="4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74"/>
      <c r="C830" s="5"/>
      <c r="D830" s="27"/>
      <c r="E830" s="34"/>
      <c r="F830" s="44"/>
      <c r="G830" s="47"/>
      <c r="H830" s="53"/>
      <c r="I830" s="39"/>
      <c r="J830" s="56"/>
      <c r="K830" s="4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74"/>
      <c r="C831" s="5"/>
      <c r="D831" s="27"/>
      <c r="E831" s="34"/>
      <c r="F831" s="44"/>
      <c r="G831" s="47"/>
      <c r="H831" s="53"/>
      <c r="I831" s="39"/>
      <c r="J831" s="56"/>
      <c r="K831" s="4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74"/>
      <c r="C832" s="5"/>
      <c r="D832" s="27"/>
      <c r="E832" s="34"/>
      <c r="F832" s="44"/>
      <c r="G832" s="47"/>
      <c r="H832" s="53"/>
      <c r="I832" s="39"/>
      <c r="J832" s="56"/>
      <c r="K832" s="4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74"/>
      <c r="C833" s="5"/>
      <c r="D833" s="27"/>
      <c r="E833" s="34"/>
      <c r="F833" s="44"/>
      <c r="G833" s="47"/>
      <c r="H833" s="53"/>
      <c r="I833" s="39"/>
      <c r="J833" s="56"/>
      <c r="K833" s="4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74"/>
      <c r="C834" s="5"/>
      <c r="D834" s="27"/>
      <c r="E834" s="34"/>
      <c r="F834" s="44"/>
      <c r="G834" s="47"/>
      <c r="H834" s="53"/>
      <c r="I834" s="39"/>
      <c r="J834" s="56"/>
      <c r="K834" s="4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74"/>
      <c r="C835" s="5"/>
      <c r="D835" s="27"/>
      <c r="E835" s="34"/>
      <c r="F835" s="44"/>
      <c r="G835" s="47"/>
      <c r="H835" s="53"/>
      <c r="I835" s="39"/>
      <c r="J835" s="56"/>
      <c r="K835" s="4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74"/>
      <c r="C836" s="5"/>
      <c r="D836" s="27"/>
      <c r="E836" s="34"/>
      <c r="F836" s="44"/>
      <c r="G836" s="47"/>
      <c r="H836" s="53"/>
      <c r="I836" s="39"/>
      <c r="J836" s="56"/>
      <c r="K836" s="4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74"/>
      <c r="C837" s="5"/>
      <c r="D837" s="27"/>
      <c r="E837" s="34"/>
      <c r="F837" s="44"/>
      <c r="G837" s="47"/>
      <c r="H837" s="53"/>
      <c r="I837" s="39"/>
      <c r="J837" s="56"/>
      <c r="K837" s="4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74"/>
      <c r="C838" s="5"/>
      <c r="D838" s="27"/>
      <c r="E838" s="34"/>
      <c r="F838" s="44"/>
      <c r="G838" s="47"/>
      <c r="H838" s="53"/>
      <c r="I838" s="39"/>
      <c r="J838" s="56"/>
      <c r="K838" s="4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74"/>
      <c r="C839" s="5"/>
      <c r="D839" s="27"/>
      <c r="E839" s="34"/>
      <c r="F839" s="44"/>
      <c r="G839" s="47"/>
      <c r="H839" s="53"/>
      <c r="I839" s="39"/>
      <c r="J839" s="56"/>
      <c r="K839" s="4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74"/>
      <c r="C840" s="5"/>
      <c r="D840" s="27"/>
      <c r="E840" s="34"/>
      <c r="F840" s="44"/>
      <c r="G840" s="47"/>
      <c r="H840" s="53"/>
      <c r="I840" s="39"/>
      <c r="J840" s="56"/>
      <c r="K840" s="4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74"/>
      <c r="C841" s="5"/>
      <c r="D841" s="27"/>
      <c r="E841" s="34"/>
      <c r="F841" s="44"/>
      <c r="G841" s="47"/>
      <c r="H841" s="53"/>
      <c r="I841" s="39"/>
      <c r="J841" s="56"/>
      <c r="K841" s="4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74"/>
      <c r="C842" s="5"/>
      <c r="D842" s="27"/>
      <c r="E842" s="34"/>
      <c r="F842" s="44"/>
      <c r="G842" s="47"/>
      <c r="H842" s="53"/>
      <c r="I842" s="39"/>
      <c r="J842" s="56"/>
      <c r="K842" s="4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74"/>
      <c r="C843" s="5"/>
      <c r="D843" s="27"/>
      <c r="E843" s="34"/>
      <c r="F843" s="44"/>
      <c r="G843" s="47"/>
      <c r="H843" s="53"/>
      <c r="I843" s="39"/>
      <c r="J843" s="56"/>
      <c r="K843" s="4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74"/>
      <c r="C844" s="5"/>
      <c r="D844" s="27"/>
      <c r="E844" s="34"/>
      <c r="F844" s="44"/>
      <c r="G844" s="47"/>
      <c r="H844" s="53"/>
      <c r="I844" s="39"/>
      <c r="J844" s="56"/>
      <c r="K844" s="4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74"/>
      <c r="C845" s="5"/>
      <c r="D845" s="27"/>
      <c r="E845" s="34"/>
      <c r="F845" s="44"/>
      <c r="G845" s="47"/>
      <c r="H845" s="53"/>
      <c r="I845" s="39"/>
      <c r="J845" s="56"/>
      <c r="K845" s="4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74"/>
      <c r="C846" s="5"/>
      <c r="D846" s="27"/>
      <c r="E846" s="34"/>
      <c r="F846" s="44"/>
      <c r="G846" s="47"/>
      <c r="H846" s="53"/>
      <c r="I846" s="39"/>
      <c r="J846" s="56"/>
      <c r="K846" s="4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74"/>
      <c r="C847" s="5"/>
      <c r="D847" s="27"/>
      <c r="E847" s="34"/>
      <c r="F847" s="44"/>
      <c r="G847" s="47"/>
      <c r="H847" s="53"/>
      <c r="I847" s="39"/>
      <c r="J847" s="56"/>
      <c r="K847" s="4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74"/>
      <c r="C848" s="5"/>
      <c r="D848" s="27"/>
      <c r="E848" s="34"/>
      <c r="F848" s="44"/>
      <c r="G848" s="47"/>
      <c r="H848" s="53"/>
      <c r="I848" s="39"/>
      <c r="J848" s="56"/>
      <c r="K848" s="4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74"/>
      <c r="C849" s="5"/>
      <c r="D849" s="27"/>
      <c r="E849" s="34"/>
      <c r="F849" s="44"/>
      <c r="G849" s="47"/>
      <c r="H849" s="53"/>
      <c r="I849" s="39"/>
      <c r="J849" s="56"/>
      <c r="K849" s="4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74"/>
      <c r="C850" s="5"/>
      <c r="D850" s="27"/>
      <c r="E850" s="34"/>
      <c r="F850" s="44"/>
      <c r="G850" s="47"/>
      <c r="H850" s="53"/>
      <c r="I850" s="39"/>
      <c r="J850" s="56"/>
      <c r="K850" s="4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74"/>
      <c r="C851" s="5"/>
      <c r="D851" s="27"/>
      <c r="E851" s="34"/>
      <c r="F851" s="44"/>
      <c r="G851" s="47"/>
      <c r="H851" s="53"/>
      <c r="I851" s="39"/>
      <c r="J851" s="56"/>
      <c r="K851" s="4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74"/>
      <c r="C852" s="5"/>
      <c r="D852" s="27"/>
      <c r="E852" s="34"/>
      <c r="F852" s="44"/>
      <c r="G852" s="47"/>
      <c r="H852" s="53"/>
      <c r="I852" s="39"/>
      <c r="J852" s="56"/>
      <c r="K852" s="4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74"/>
      <c r="C853" s="5"/>
      <c r="D853" s="27"/>
      <c r="E853" s="34"/>
      <c r="F853" s="44"/>
      <c r="G853" s="47"/>
      <c r="H853" s="53"/>
      <c r="I853" s="39"/>
      <c r="J853" s="56"/>
      <c r="K853" s="4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74"/>
      <c r="C854" s="5"/>
      <c r="D854" s="27"/>
      <c r="E854" s="34"/>
      <c r="F854" s="44"/>
      <c r="G854" s="47"/>
      <c r="H854" s="53"/>
      <c r="I854" s="39"/>
      <c r="J854" s="56"/>
      <c r="K854" s="4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74"/>
      <c r="C855" s="5"/>
      <c r="D855" s="27"/>
      <c r="E855" s="34"/>
      <c r="F855" s="44"/>
      <c r="G855" s="47"/>
      <c r="H855" s="53"/>
      <c r="I855" s="39"/>
      <c r="J855" s="56"/>
      <c r="K855" s="4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74"/>
      <c r="C856" s="5"/>
      <c r="D856" s="27"/>
      <c r="E856" s="34"/>
      <c r="F856" s="44"/>
      <c r="G856" s="47"/>
      <c r="H856" s="53"/>
      <c r="I856" s="39"/>
      <c r="J856" s="56"/>
      <c r="K856" s="4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74"/>
      <c r="C857" s="5"/>
      <c r="D857" s="27"/>
      <c r="E857" s="34"/>
      <c r="F857" s="44"/>
      <c r="G857" s="47"/>
      <c r="H857" s="53"/>
      <c r="I857" s="39"/>
      <c r="J857" s="56"/>
      <c r="K857" s="4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74"/>
      <c r="C858" s="5"/>
      <c r="D858" s="27"/>
      <c r="E858" s="34"/>
      <c r="F858" s="44"/>
      <c r="G858" s="47"/>
      <c r="H858" s="53"/>
      <c r="I858" s="39"/>
      <c r="J858" s="56"/>
      <c r="K858" s="4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74"/>
      <c r="C859" s="5"/>
      <c r="D859" s="27"/>
      <c r="E859" s="34"/>
      <c r="F859" s="44"/>
      <c r="G859" s="47"/>
      <c r="H859" s="53"/>
      <c r="I859" s="39"/>
      <c r="J859" s="56"/>
      <c r="K859" s="4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74"/>
      <c r="C860" s="5"/>
      <c r="D860" s="27"/>
      <c r="E860" s="34"/>
      <c r="F860" s="44"/>
      <c r="G860" s="47"/>
      <c r="H860" s="53"/>
      <c r="I860" s="39"/>
      <c r="J860" s="56"/>
      <c r="K860" s="4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74"/>
      <c r="C861" s="5"/>
      <c r="D861" s="27"/>
      <c r="E861" s="34"/>
      <c r="F861" s="44"/>
      <c r="G861" s="47"/>
      <c r="H861" s="53"/>
      <c r="I861" s="39"/>
      <c r="J861" s="56"/>
      <c r="K861" s="4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74"/>
      <c r="C862" s="5"/>
      <c r="D862" s="27"/>
      <c r="E862" s="34"/>
      <c r="F862" s="44"/>
      <c r="G862" s="47"/>
      <c r="H862" s="53"/>
      <c r="I862" s="39"/>
      <c r="J862" s="56"/>
      <c r="K862" s="4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74"/>
      <c r="C863" s="5"/>
      <c r="D863" s="27"/>
      <c r="E863" s="34"/>
      <c r="F863" s="44"/>
      <c r="G863" s="47"/>
      <c r="H863" s="53"/>
      <c r="I863" s="39"/>
      <c r="J863" s="56"/>
      <c r="K863" s="4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74"/>
      <c r="C864" s="5"/>
      <c r="D864" s="27"/>
      <c r="E864" s="34"/>
      <c r="F864" s="44"/>
      <c r="G864" s="47"/>
      <c r="H864" s="53"/>
      <c r="I864" s="39"/>
      <c r="J864" s="56"/>
      <c r="K864" s="4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74"/>
      <c r="C865" s="5"/>
      <c r="D865" s="27"/>
      <c r="E865" s="34"/>
      <c r="F865" s="44"/>
      <c r="G865" s="47"/>
      <c r="H865" s="53"/>
      <c r="I865" s="39"/>
      <c r="J865" s="56"/>
      <c r="K865" s="4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74"/>
      <c r="C866" s="5"/>
      <c r="D866" s="27"/>
      <c r="E866" s="34"/>
      <c r="F866" s="44"/>
      <c r="G866" s="47"/>
      <c r="H866" s="53"/>
      <c r="I866" s="39"/>
      <c r="J866" s="56"/>
      <c r="K866" s="4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74"/>
      <c r="C867" s="5"/>
      <c r="D867" s="27"/>
      <c r="E867" s="34"/>
      <c r="F867" s="44"/>
      <c r="G867" s="47"/>
      <c r="H867" s="53"/>
      <c r="I867" s="39"/>
      <c r="J867" s="56"/>
      <c r="K867" s="4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74"/>
      <c r="C868" s="5"/>
      <c r="D868" s="27"/>
      <c r="E868" s="34"/>
      <c r="F868" s="44"/>
      <c r="G868" s="47"/>
      <c r="H868" s="53"/>
      <c r="I868" s="39"/>
      <c r="J868" s="56"/>
      <c r="K868" s="4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74"/>
      <c r="C869" s="5"/>
      <c r="D869" s="27"/>
      <c r="E869" s="34"/>
      <c r="F869" s="44"/>
      <c r="G869" s="47"/>
      <c r="H869" s="53"/>
      <c r="I869" s="39"/>
      <c r="J869" s="56"/>
      <c r="K869" s="4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74"/>
      <c r="C870" s="5"/>
      <c r="D870" s="27"/>
      <c r="E870" s="34"/>
      <c r="F870" s="44"/>
      <c r="G870" s="47"/>
      <c r="H870" s="53"/>
      <c r="I870" s="39"/>
      <c r="J870" s="56"/>
      <c r="K870" s="4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74"/>
      <c r="C871" s="5"/>
      <c r="D871" s="27"/>
      <c r="E871" s="34"/>
      <c r="F871" s="44"/>
      <c r="G871" s="47"/>
      <c r="H871" s="53"/>
      <c r="I871" s="39"/>
      <c r="J871" s="56"/>
      <c r="K871" s="4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74"/>
      <c r="C872" s="5"/>
      <c r="D872" s="27"/>
      <c r="E872" s="34"/>
      <c r="F872" s="44"/>
      <c r="G872" s="47"/>
      <c r="H872" s="53"/>
      <c r="I872" s="39"/>
      <c r="J872" s="56"/>
      <c r="K872" s="4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74"/>
      <c r="C873" s="5"/>
      <c r="D873" s="27"/>
      <c r="E873" s="34"/>
      <c r="F873" s="44"/>
      <c r="G873" s="47"/>
      <c r="H873" s="53"/>
      <c r="I873" s="39"/>
      <c r="J873" s="56"/>
      <c r="K873" s="4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74"/>
      <c r="C874" s="5"/>
      <c r="D874" s="27"/>
      <c r="E874" s="34"/>
      <c r="F874" s="44"/>
      <c r="G874" s="47"/>
      <c r="H874" s="53"/>
      <c r="I874" s="39"/>
      <c r="J874" s="56"/>
      <c r="K874" s="4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74"/>
      <c r="C875" s="5"/>
      <c r="D875" s="27"/>
      <c r="E875" s="34"/>
      <c r="F875" s="44"/>
      <c r="G875" s="47"/>
      <c r="H875" s="53"/>
      <c r="I875" s="39"/>
      <c r="J875" s="56"/>
      <c r="K875" s="4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74"/>
      <c r="C876" s="5"/>
      <c r="D876" s="27"/>
      <c r="E876" s="34"/>
      <c r="F876" s="44"/>
      <c r="G876" s="47"/>
      <c r="H876" s="53"/>
      <c r="I876" s="39"/>
      <c r="J876" s="56"/>
      <c r="K876" s="4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74"/>
      <c r="C877" s="5"/>
      <c r="D877" s="27"/>
      <c r="E877" s="34"/>
      <c r="F877" s="44"/>
      <c r="G877" s="47"/>
      <c r="H877" s="53"/>
      <c r="I877" s="39"/>
      <c r="J877" s="56"/>
      <c r="K877" s="4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74"/>
      <c r="C878" s="5"/>
      <c r="D878" s="27"/>
      <c r="E878" s="34"/>
      <c r="F878" s="44"/>
      <c r="G878" s="47"/>
      <c r="H878" s="53"/>
      <c r="I878" s="39"/>
      <c r="J878" s="56"/>
      <c r="K878" s="4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74"/>
      <c r="C879" s="5"/>
      <c r="D879" s="27"/>
      <c r="E879" s="34"/>
      <c r="F879" s="44"/>
      <c r="G879" s="47"/>
      <c r="H879" s="53"/>
      <c r="I879" s="39"/>
      <c r="J879" s="56"/>
      <c r="K879" s="4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74"/>
      <c r="C880" s="5"/>
      <c r="D880" s="27"/>
      <c r="E880" s="34"/>
      <c r="F880" s="44"/>
      <c r="G880" s="47"/>
      <c r="H880" s="53"/>
      <c r="I880" s="39"/>
      <c r="J880" s="56"/>
      <c r="K880" s="4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74"/>
      <c r="C881" s="5"/>
      <c r="D881" s="27"/>
      <c r="E881" s="34"/>
      <c r="F881" s="44"/>
      <c r="G881" s="47"/>
      <c r="H881" s="53"/>
      <c r="I881" s="39"/>
      <c r="J881" s="56"/>
      <c r="K881" s="4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74"/>
      <c r="C882" s="5"/>
      <c r="D882" s="27"/>
      <c r="E882" s="34"/>
      <c r="F882" s="44"/>
      <c r="G882" s="47"/>
      <c r="H882" s="53"/>
      <c r="I882" s="39"/>
      <c r="J882" s="56"/>
      <c r="K882" s="4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74"/>
      <c r="C883" s="5"/>
      <c r="D883" s="27"/>
      <c r="E883" s="34"/>
      <c r="F883" s="44"/>
      <c r="G883" s="47"/>
      <c r="H883" s="53"/>
      <c r="I883" s="39"/>
      <c r="J883" s="56"/>
      <c r="K883" s="4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74"/>
      <c r="C884" s="5"/>
      <c r="D884" s="27"/>
      <c r="E884" s="34"/>
      <c r="F884" s="44"/>
      <c r="G884" s="47"/>
      <c r="H884" s="53"/>
      <c r="I884" s="39"/>
      <c r="J884" s="56"/>
      <c r="K884" s="4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74"/>
      <c r="C885" s="5"/>
      <c r="D885" s="27"/>
      <c r="E885" s="34"/>
      <c r="F885" s="44"/>
      <c r="G885" s="47"/>
      <c r="H885" s="53"/>
      <c r="I885" s="39"/>
      <c r="J885" s="56"/>
      <c r="K885" s="4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74"/>
      <c r="C886" s="5"/>
      <c r="D886" s="27"/>
      <c r="E886" s="34"/>
      <c r="F886" s="44"/>
      <c r="G886" s="47"/>
      <c r="H886" s="53"/>
      <c r="I886" s="39"/>
      <c r="J886" s="56"/>
      <c r="K886" s="4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74"/>
      <c r="C887" s="5"/>
      <c r="D887" s="27"/>
      <c r="E887" s="34"/>
      <c r="F887" s="44"/>
      <c r="G887" s="47"/>
      <c r="H887" s="53"/>
      <c r="I887" s="39"/>
      <c r="J887" s="56"/>
      <c r="K887" s="4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74"/>
      <c r="C888" s="5"/>
      <c r="D888" s="27"/>
      <c r="E888" s="34"/>
      <c r="F888" s="44"/>
      <c r="G888" s="47"/>
      <c r="H888" s="53"/>
      <c r="I888" s="39"/>
      <c r="J888" s="56"/>
      <c r="K888" s="4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74"/>
      <c r="C889" s="5"/>
      <c r="D889" s="27"/>
      <c r="E889" s="34"/>
      <c r="F889" s="44"/>
      <c r="G889" s="47"/>
      <c r="H889" s="53"/>
      <c r="I889" s="39"/>
      <c r="J889" s="56"/>
      <c r="K889" s="4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74"/>
      <c r="C890" s="5"/>
      <c r="D890" s="27"/>
      <c r="E890" s="34"/>
      <c r="F890" s="44"/>
      <c r="G890" s="47"/>
      <c r="H890" s="53"/>
      <c r="I890" s="39"/>
      <c r="J890" s="56"/>
      <c r="K890" s="4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74"/>
      <c r="C891" s="5"/>
      <c r="D891" s="27"/>
      <c r="E891" s="34"/>
      <c r="F891" s="44"/>
      <c r="G891" s="47"/>
      <c r="H891" s="53"/>
      <c r="I891" s="39"/>
      <c r="J891" s="56"/>
      <c r="K891" s="4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74"/>
      <c r="C892" s="5"/>
      <c r="D892" s="27"/>
      <c r="E892" s="34"/>
      <c r="F892" s="44"/>
      <c r="G892" s="47"/>
      <c r="H892" s="53"/>
      <c r="I892" s="39"/>
      <c r="J892" s="56"/>
      <c r="K892" s="4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74"/>
      <c r="C893" s="5"/>
      <c r="D893" s="27"/>
      <c r="E893" s="34"/>
      <c r="F893" s="44"/>
      <c r="G893" s="47"/>
      <c r="H893" s="53"/>
      <c r="I893" s="39"/>
      <c r="J893" s="56"/>
      <c r="K893" s="4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74"/>
      <c r="C894" s="5"/>
      <c r="D894" s="27"/>
      <c r="E894" s="34"/>
      <c r="F894" s="44"/>
      <c r="G894" s="47"/>
      <c r="H894" s="53"/>
      <c r="I894" s="39"/>
      <c r="J894" s="56"/>
      <c r="K894" s="4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74"/>
      <c r="C895" s="5"/>
      <c r="D895" s="27"/>
      <c r="E895" s="34"/>
      <c r="F895" s="44"/>
      <c r="G895" s="47"/>
      <c r="H895" s="53"/>
      <c r="I895" s="39"/>
      <c r="J895" s="56"/>
      <c r="K895" s="4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74"/>
      <c r="C896" s="5"/>
      <c r="D896" s="27"/>
      <c r="E896" s="34"/>
      <c r="F896" s="44"/>
      <c r="G896" s="47"/>
      <c r="H896" s="53"/>
      <c r="I896" s="39"/>
      <c r="J896" s="56"/>
      <c r="K896" s="4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74"/>
      <c r="C897" s="5"/>
      <c r="D897" s="27"/>
      <c r="E897" s="34"/>
      <c r="F897" s="44"/>
      <c r="G897" s="47"/>
      <c r="H897" s="53"/>
      <c r="I897" s="39"/>
      <c r="J897" s="56"/>
      <c r="K897" s="4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74"/>
      <c r="C898" s="5"/>
      <c r="D898" s="27"/>
      <c r="E898" s="34"/>
      <c r="F898" s="44"/>
      <c r="G898" s="47"/>
      <c r="H898" s="53"/>
      <c r="I898" s="39"/>
      <c r="J898" s="56"/>
      <c r="K898" s="4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74"/>
      <c r="C899" s="5"/>
      <c r="D899" s="27"/>
      <c r="E899" s="34"/>
      <c r="F899" s="44"/>
      <c r="G899" s="47"/>
      <c r="H899" s="53"/>
      <c r="I899" s="39"/>
      <c r="J899" s="56"/>
      <c r="K899" s="4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74"/>
      <c r="C900" s="5"/>
      <c r="D900" s="27"/>
      <c r="E900" s="34"/>
      <c r="F900" s="44"/>
      <c r="G900" s="47"/>
      <c r="H900" s="53"/>
      <c r="I900" s="39"/>
      <c r="J900" s="56"/>
      <c r="K900" s="4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74"/>
      <c r="C901" s="5"/>
      <c r="D901" s="27"/>
      <c r="E901" s="34"/>
      <c r="F901" s="44"/>
      <c r="G901" s="47"/>
      <c r="H901" s="53"/>
      <c r="I901" s="39"/>
      <c r="J901" s="56"/>
      <c r="K901" s="4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74"/>
      <c r="C902" s="5"/>
      <c r="D902" s="27"/>
      <c r="E902" s="34"/>
      <c r="F902" s="44"/>
      <c r="G902" s="47"/>
      <c r="H902" s="53"/>
      <c r="I902" s="39"/>
      <c r="J902" s="56"/>
      <c r="K902" s="4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74"/>
      <c r="C903" s="5"/>
      <c r="D903" s="27"/>
      <c r="E903" s="34"/>
      <c r="F903" s="44"/>
      <c r="G903" s="47"/>
      <c r="H903" s="53"/>
      <c r="I903" s="39"/>
      <c r="J903" s="56"/>
      <c r="K903" s="4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74"/>
      <c r="C904" s="5"/>
      <c r="D904" s="27"/>
      <c r="E904" s="34"/>
      <c r="F904" s="44"/>
      <c r="G904" s="47"/>
      <c r="H904" s="53"/>
      <c r="I904" s="39"/>
      <c r="J904" s="56"/>
      <c r="K904" s="4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74"/>
      <c r="C905" s="5"/>
      <c r="D905" s="27"/>
      <c r="E905" s="34"/>
      <c r="F905" s="44"/>
      <c r="G905" s="47"/>
      <c r="H905" s="53"/>
      <c r="I905" s="39"/>
      <c r="J905" s="56"/>
      <c r="K905" s="4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74"/>
      <c r="C906" s="5"/>
      <c r="D906" s="27"/>
      <c r="E906" s="34"/>
      <c r="F906" s="44"/>
      <c r="G906" s="47"/>
      <c r="H906" s="53"/>
      <c r="I906" s="39"/>
      <c r="J906" s="56"/>
      <c r="K906" s="4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74"/>
      <c r="C907" s="5"/>
      <c r="D907" s="27"/>
      <c r="E907" s="34"/>
      <c r="F907" s="44"/>
      <c r="G907" s="47"/>
      <c r="H907" s="53"/>
      <c r="I907" s="39"/>
      <c r="J907" s="56"/>
      <c r="K907" s="4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74"/>
      <c r="C908" s="5"/>
      <c r="D908" s="27"/>
      <c r="E908" s="34"/>
      <c r="F908" s="44"/>
      <c r="G908" s="47"/>
      <c r="H908" s="53"/>
      <c r="I908" s="39"/>
      <c r="J908" s="56"/>
      <c r="K908" s="4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74"/>
      <c r="C909" s="5"/>
      <c r="D909" s="27"/>
      <c r="E909" s="34"/>
      <c r="F909" s="44"/>
      <c r="G909" s="47"/>
      <c r="H909" s="53"/>
      <c r="I909" s="39"/>
      <c r="J909" s="56"/>
      <c r="K909" s="4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74"/>
      <c r="C910" s="5"/>
      <c r="D910" s="27"/>
      <c r="E910" s="34"/>
      <c r="F910" s="44"/>
      <c r="G910" s="47"/>
      <c r="H910" s="53"/>
      <c r="I910" s="39"/>
      <c r="J910" s="56"/>
      <c r="K910" s="4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74"/>
      <c r="C911" s="5"/>
      <c r="D911" s="27"/>
      <c r="E911" s="34"/>
      <c r="F911" s="44"/>
      <c r="G911" s="47"/>
      <c r="H911" s="53"/>
      <c r="I911" s="39"/>
      <c r="J911" s="56"/>
      <c r="K911" s="4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74"/>
      <c r="C912" s="5"/>
      <c r="D912" s="27"/>
      <c r="E912" s="34"/>
      <c r="F912" s="44"/>
      <c r="G912" s="47"/>
      <c r="H912" s="53"/>
      <c r="I912" s="39"/>
      <c r="J912" s="56"/>
      <c r="K912" s="4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74"/>
      <c r="C913" s="5"/>
      <c r="D913" s="27"/>
      <c r="E913" s="34"/>
      <c r="F913" s="44"/>
      <c r="G913" s="47"/>
      <c r="H913" s="53"/>
      <c r="I913" s="39"/>
      <c r="J913" s="56"/>
      <c r="K913" s="4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74"/>
      <c r="C914" s="5"/>
      <c r="D914" s="27"/>
      <c r="E914" s="34"/>
      <c r="F914" s="44"/>
      <c r="G914" s="47"/>
      <c r="H914" s="53"/>
      <c r="I914" s="39"/>
      <c r="J914" s="56"/>
      <c r="K914" s="4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74"/>
      <c r="C915" s="5"/>
      <c r="D915" s="27"/>
      <c r="E915" s="34"/>
      <c r="F915" s="44"/>
      <c r="G915" s="47"/>
      <c r="H915" s="53"/>
      <c r="I915" s="39"/>
      <c r="J915" s="56"/>
      <c r="K915" s="4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74"/>
      <c r="C916" s="5"/>
      <c r="D916" s="27"/>
      <c r="E916" s="34"/>
      <c r="F916" s="44"/>
      <c r="G916" s="47"/>
      <c r="H916" s="53"/>
      <c r="I916" s="39"/>
      <c r="J916" s="56"/>
      <c r="K916" s="4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74"/>
      <c r="C917" s="5"/>
      <c r="D917" s="27"/>
      <c r="E917" s="34"/>
      <c r="F917" s="44"/>
      <c r="G917" s="47"/>
      <c r="H917" s="53"/>
      <c r="I917" s="39"/>
      <c r="J917" s="56"/>
      <c r="K917" s="4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74"/>
      <c r="C918" s="5"/>
      <c r="D918" s="27"/>
      <c r="E918" s="34"/>
      <c r="F918" s="44"/>
      <c r="G918" s="47"/>
      <c r="H918" s="53"/>
      <c r="I918" s="39"/>
      <c r="J918" s="56"/>
      <c r="K918" s="4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74"/>
      <c r="C919" s="5"/>
      <c r="D919" s="27"/>
      <c r="E919" s="34"/>
      <c r="F919" s="44"/>
      <c r="G919" s="47"/>
      <c r="H919" s="53"/>
      <c r="I919" s="39"/>
      <c r="J919" s="56"/>
      <c r="K919" s="4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74"/>
      <c r="C920" s="5"/>
      <c r="D920" s="27"/>
      <c r="E920" s="34"/>
      <c r="F920" s="44"/>
      <c r="G920" s="47"/>
      <c r="H920" s="53"/>
      <c r="I920" s="39"/>
      <c r="J920" s="56"/>
      <c r="K920" s="4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74"/>
      <c r="C921" s="5"/>
      <c r="D921" s="27"/>
      <c r="E921" s="34"/>
      <c r="F921" s="44"/>
      <c r="G921" s="47"/>
      <c r="H921" s="53"/>
      <c r="I921" s="39"/>
      <c r="J921" s="56"/>
      <c r="K921" s="4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74"/>
      <c r="C922" s="5"/>
      <c r="D922" s="27"/>
      <c r="E922" s="34"/>
      <c r="F922" s="44"/>
      <c r="G922" s="47"/>
      <c r="H922" s="53"/>
      <c r="I922" s="39"/>
      <c r="J922" s="56"/>
      <c r="K922" s="4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74"/>
      <c r="C923" s="5"/>
      <c r="D923" s="27"/>
      <c r="E923" s="34"/>
      <c r="F923" s="44"/>
      <c r="G923" s="47"/>
      <c r="H923" s="53"/>
      <c r="I923" s="39"/>
      <c r="J923" s="56"/>
      <c r="K923" s="4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74"/>
      <c r="C924" s="5"/>
      <c r="D924" s="27"/>
      <c r="E924" s="34"/>
      <c r="F924" s="44"/>
      <c r="G924" s="47"/>
      <c r="H924" s="53"/>
      <c r="I924" s="39"/>
      <c r="J924" s="56"/>
      <c r="K924" s="4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74"/>
      <c r="C925" s="5"/>
      <c r="D925" s="27"/>
      <c r="E925" s="34"/>
      <c r="F925" s="44"/>
      <c r="G925" s="47"/>
      <c r="H925" s="53"/>
      <c r="I925" s="39"/>
      <c r="J925" s="56"/>
      <c r="K925" s="4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74"/>
      <c r="C926" s="5"/>
      <c r="D926" s="27"/>
      <c r="E926" s="34"/>
      <c r="F926" s="44"/>
      <c r="G926" s="47"/>
      <c r="H926" s="53"/>
      <c r="I926" s="39"/>
      <c r="J926" s="56"/>
      <c r="K926" s="4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74"/>
      <c r="C927" s="5"/>
      <c r="D927" s="27"/>
      <c r="E927" s="34"/>
      <c r="F927" s="44"/>
      <c r="G927" s="47"/>
      <c r="H927" s="53"/>
      <c r="I927" s="39"/>
      <c r="J927" s="56"/>
      <c r="K927" s="4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74"/>
      <c r="C928" s="5"/>
      <c r="D928" s="27"/>
      <c r="E928" s="34"/>
      <c r="F928" s="44"/>
      <c r="G928" s="47"/>
      <c r="H928" s="53"/>
      <c r="I928" s="39"/>
      <c r="J928" s="56"/>
      <c r="K928" s="4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74"/>
      <c r="C929" s="5"/>
      <c r="D929" s="27"/>
      <c r="E929" s="34"/>
      <c r="F929" s="44"/>
      <c r="G929" s="47"/>
      <c r="H929" s="53"/>
      <c r="I929" s="39"/>
      <c r="J929" s="56"/>
      <c r="K929" s="4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74"/>
      <c r="C930" s="5"/>
      <c r="D930" s="27"/>
      <c r="E930" s="34"/>
      <c r="F930" s="44"/>
      <c r="G930" s="47"/>
      <c r="H930" s="53"/>
      <c r="I930" s="39"/>
      <c r="J930" s="56"/>
      <c r="K930" s="4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74"/>
      <c r="C931" s="5"/>
      <c r="D931" s="27"/>
      <c r="E931" s="34"/>
      <c r="F931" s="44"/>
      <c r="G931" s="47"/>
      <c r="H931" s="53"/>
      <c r="I931" s="39"/>
      <c r="J931" s="56"/>
      <c r="K931" s="4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74"/>
      <c r="C932" s="5"/>
      <c r="D932" s="27"/>
      <c r="E932" s="34"/>
      <c r="F932" s="44"/>
      <c r="G932" s="47"/>
      <c r="H932" s="53"/>
      <c r="I932" s="39"/>
      <c r="J932" s="56"/>
      <c r="K932" s="4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74"/>
      <c r="C933" s="5"/>
      <c r="D933" s="27"/>
      <c r="E933" s="34"/>
      <c r="F933" s="44"/>
      <c r="G933" s="47"/>
      <c r="H933" s="53"/>
      <c r="I933" s="39"/>
      <c r="J933" s="56"/>
      <c r="K933" s="4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74"/>
      <c r="C934" s="5"/>
      <c r="D934" s="27"/>
      <c r="E934" s="34"/>
      <c r="F934" s="44"/>
      <c r="G934" s="47"/>
      <c r="H934" s="53"/>
      <c r="I934" s="39"/>
      <c r="J934" s="56"/>
      <c r="K934" s="4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74"/>
      <c r="C935" s="5"/>
      <c r="D935" s="27"/>
      <c r="E935" s="34"/>
      <c r="F935" s="44"/>
      <c r="G935" s="47"/>
      <c r="H935" s="53"/>
      <c r="I935" s="39"/>
      <c r="J935" s="56"/>
      <c r="K935" s="4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74"/>
      <c r="C936" s="5"/>
      <c r="D936" s="27"/>
      <c r="E936" s="34"/>
      <c r="F936" s="44"/>
      <c r="G936" s="47"/>
      <c r="H936" s="53"/>
      <c r="I936" s="39"/>
      <c r="J936" s="56"/>
      <c r="K936" s="4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74"/>
      <c r="C937" s="5"/>
      <c r="D937" s="27"/>
      <c r="E937" s="34"/>
      <c r="F937" s="44"/>
      <c r="G937" s="47"/>
      <c r="H937" s="53"/>
      <c r="I937" s="39"/>
      <c r="J937" s="56"/>
      <c r="K937" s="4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74"/>
      <c r="C938" s="5"/>
      <c r="D938" s="27"/>
      <c r="E938" s="34"/>
      <c r="F938" s="44"/>
      <c r="G938" s="47"/>
      <c r="H938" s="53"/>
      <c r="I938" s="39"/>
      <c r="J938" s="56"/>
      <c r="K938" s="4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74"/>
      <c r="C939" s="5"/>
      <c r="D939" s="27"/>
      <c r="E939" s="34"/>
      <c r="F939" s="44"/>
      <c r="G939" s="47"/>
      <c r="H939" s="53"/>
      <c r="I939" s="39"/>
      <c r="J939" s="56"/>
      <c r="K939" s="4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74"/>
      <c r="C940" s="5"/>
      <c r="D940" s="27"/>
      <c r="E940" s="34"/>
      <c r="F940" s="44"/>
      <c r="G940" s="47"/>
      <c r="H940" s="53"/>
      <c r="I940" s="39"/>
      <c r="J940" s="56"/>
      <c r="K940" s="4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74"/>
      <c r="C941" s="5"/>
      <c r="D941" s="27"/>
      <c r="E941" s="34"/>
      <c r="F941" s="44"/>
      <c r="G941" s="47"/>
      <c r="H941" s="53"/>
      <c r="I941" s="39"/>
      <c r="J941" s="56"/>
      <c r="K941" s="4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74"/>
      <c r="C942" s="5"/>
      <c r="D942" s="27"/>
      <c r="E942" s="34"/>
      <c r="F942" s="44"/>
      <c r="G942" s="47"/>
      <c r="H942" s="53"/>
      <c r="I942" s="39"/>
      <c r="J942" s="56"/>
      <c r="K942" s="4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74"/>
      <c r="C943" s="5"/>
      <c r="D943" s="27"/>
      <c r="E943" s="34"/>
      <c r="F943" s="44"/>
      <c r="G943" s="47"/>
      <c r="H943" s="53"/>
      <c r="I943" s="39"/>
      <c r="J943" s="56"/>
      <c r="K943" s="4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74"/>
      <c r="C944" s="5"/>
      <c r="D944" s="27"/>
      <c r="E944" s="34"/>
      <c r="F944" s="44"/>
      <c r="G944" s="47"/>
      <c r="H944" s="53"/>
      <c r="I944" s="39"/>
      <c r="J944" s="56"/>
      <c r="K944" s="4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74"/>
      <c r="C945" s="5"/>
      <c r="D945" s="27"/>
      <c r="E945" s="34"/>
      <c r="F945" s="44"/>
      <c r="G945" s="47"/>
      <c r="H945" s="53"/>
      <c r="I945" s="39"/>
      <c r="J945" s="56"/>
      <c r="K945" s="4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74"/>
      <c r="C946" s="5"/>
      <c r="D946" s="27"/>
      <c r="E946" s="34"/>
      <c r="F946" s="44"/>
      <c r="G946" s="47"/>
      <c r="H946" s="53"/>
      <c r="I946" s="39"/>
      <c r="J946" s="56"/>
      <c r="K946" s="4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74"/>
      <c r="C947" s="5"/>
      <c r="D947" s="27"/>
      <c r="E947" s="34"/>
      <c r="F947" s="44"/>
      <c r="G947" s="47"/>
      <c r="H947" s="53"/>
      <c r="I947" s="39"/>
      <c r="J947" s="56"/>
      <c r="K947" s="4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74"/>
      <c r="C948" s="5"/>
      <c r="D948" s="27"/>
      <c r="E948" s="34"/>
      <c r="F948" s="44"/>
      <c r="G948" s="47"/>
      <c r="H948" s="53"/>
      <c r="I948" s="39"/>
      <c r="J948" s="56"/>
      <c r="K948" s="4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74"/>
      <c r="C949" s="5"/>
      <c r="D949" s="27"/>
      <c r="E949" s="34"/>
      <c r="F949" s="44"/>
      <c r="G949" s="47"/>
      <c r="H949" s="53"/>
      <c r="I949" s="39"/>
      <c r="J949" s="56"/>
      <c r="K949" s="4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74"/>
      <c r="C950" s="5"/>
      <c r="D950" s="27"/>
      <c r="E950" s="34"/>
      <c r="F950" s="44"/>
      <c r="G950" s="47"/>
      <c r="H950" s="53"/>
      <c r="I950" s="39"/>
      <c r="J950" s="56"/>
      <c r="K950" s="4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74"/>
      <c r="C951" s="5"/>
      <c r="D951" s="27"/>
      <c r="E951" s="34"/>
      <c r="F951" s="44"/>
      <c r="G951" s="47"/>
      <c r="H951" s="53"/>
      <c r="I951" s="39"/>
      <c r="J951" s="56"/>
      <c r="K951" s="4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74"/>
      <c r="C952" s="5"/>
      <c r="D952" s="27"/>
      <c r="E952" s="34"/>
      <c r="F952" s="44"/>
      <c r="G952" s="47"/>
      <c r="H952" s="53"/>
      <c r="I952" s="39"/>
      <c r="J952" s="56"/>
      <c r="K952" s="4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74"/>
      <c r="C953" s="5"/>
      <c r="D953" s="27"/>
      <c r="E953" s="34"/>
      <c r="F953" s="44"/>
      <c r="G953" s="47"/>
      <c r="H953" s="53"/>
      <c r="I953" s="39"/>
      <c r="J953" s="56"/>
      <c r="K953" s="4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74"/>
      <c r="C954" s="5"/>
      <c r="D954" s="27"/>
      <c r="E954" s="34"/>
      <c r="F954" s="44"/>
      <c r="G954" s="47"/>
      <c r="H954" s="53"/>
      <c r="I954" s="39"/>
      <c r="J954" s="56"/>
      <c r="K954" s="4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74"/>
      <c r="C955" s="5"/>
      <c r="D955" s="27"/>
      <c r="E955" s="34"/>
      <c r="F955" s="44"/>
      <c r="G955" s="47"/>
      <c r="H955" s="53"/>
      <c r="I955" s="39"/>
      <c r="J955" s="56"/>
      <c r="K955" s="4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74"/>
      <c r="C956" s="5"/>
      <c r="D956" s="27"/>
      <c r="E956" s="34"/>
      <c r="F956" s="44"/>
      <c r="G956" s="47"/>
      <c r="H956" s="53"/>
      <c r="I956" s="39"/>
      <c r="J956" s="56"/>
      <c r="K956" s="4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74"/>
      <c r="C957" s="5"/>
      <c r="D957" s="27"/>
      <c r="E957" s="34"/>
      <c r="F957" s="44"/>
      <c r="G957" s="47"/>
      <c r="H957" s="53"/>
      <c r="I957" s="39"/>
      <c r="J957" s="56"/>
      <c r="K957" s="4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74"/>
      <c r="C958" s="5"/>
      <c r="D958" s="27"/>
      <c r="E958" s="34"/>
      <c r="F958" s="44"/>
      <c r="G958" s="47"/>
      <c r="H958" s="53"/>
      <c r="I958" s="39"/>
      <c r="J958" s="56"/>
      <c r="K958" s="4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74"/>
      <c r="C959" s="5"/>
      <c r="D959" s="27"/>
      <c r="E959" s="34"/>
      <c r="F959" s="44"/>
      <c r="G959" s="47"/>
      <c r="H959" s="53"/>
      <c r="I959" s="39"/>
      <c r="J959" s="56"/>
      <c r="K959" s="4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74"/>
      <c r="C960" s="5"/>
      <c r="D960" s="27"/>
      <c r="E960" s="34"/>
      <c r="F960" s="44"/>
      <c r="G960" s="47"/>
      <c r="H960" s="53"/>
      <c r="I960" s="39"/>
      <c r="J960" s="56"/>
      <c r="K960" s="4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74"/>
      <c r="C961" s="5"/>
      <c r="D961" s="27"/>
      <c r="E961" s="34"/>
      <c r="F961" s="44"/>
      <c r="G961" s="47"/>
      <c r="H961" s="53"/>
      <c r="I961" s="39"/>
      <c r="J961" s="56"/>
      <c r="K961" s="4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74"/>
      <c r="C962" s="5"/>
      <c r="D962" s="27"/>
      <c r="E962" s="34"/>
      <c r="F962" s="44"/>
      <c r="G962" s="47"/>
      <c r="H962" s="53"/>
      <c r="I962" s="39"/>
      <c r="J962" s="56"/>
      <c r="K962" s="4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74"/>
      <c r="C963" s="5"/>
      <c r="D963" s="27"/>
      <c r="E963" s="34"/>
      <c r="F963" s="44"/>
      <c r="G963" s="47"/>
      <c r="H963" s="53"/>
      <c r="I963" s="39"/>
      <c r="J963" s="56"/>
      <c r="K963" s="4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74"/>
      <c r="C964" s="5"/>
      <c r="D964" s="27"/>
      <c r="E964" s="34"/>
      <c r="F964" s="44"/>
      <c r="G964" s="47"/>
      <c r="H964" s="53"/>
      <c r="I964" s="39"/>
      <c r="J964" s="56"/>
      <c r="K964" s="4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74"/>
      <c r="C965" s="5"/>
      <c r="D965" s="27"/>
      <c r="E965" s="34"/>
      <c r="F965" s="44"/>
      <c r="G965" s="47"/>
      <c r="H965" s="53"/>
      <c r="I965" s="39"/>
      <c r="J965" s="56"/>
      <c r="K965" s="4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74"/>
      <c r="C966" s="5"/>
      <c r="D966" s="27"/>
      <c r="E966" s="34"/>
      <c r="F966" s="44"/>
      <c r="G966" s="47"/>
      <c r="H966" s="53"/>
      <c r="I966" s="39"/>
      <c r="J966" s="56"/>
      <c r="K966" s="4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74"/>
      <c r="C967" s="5"/>
      <c r="D967" s="27"/>
      <c r="E967" s="34"/>
      <c r="F967" s="44"/>
      <c r="G967" s="47"/>
      <c r="H967" s="53"/>
      <c r="I967" s="39"/>
      <c r="J967" s="56"/>
      <c r="K967" s="4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74"/>
      <c r="C968" s="5"/>
      <c r="D968" s="27"/>
      <c r="E968" s="34"/>
      <c r="F968" s="44"/>
      <c r="G968" s="47"/>
      <c r="H968" s="53"/>
      <c r="I968" s="39"/>
      <c r="J968" s="56"/>
      <c r="K968" s="4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74"/>
      <c r="C969" s="5"/>
      <c r="D969" s="27"/>
      <c r="E969" s="34"/>
      <c r="F969" s="44"/>
      <c r="G969" s="47"/>
      <c r="H969" s="53"/>
      <c r="I969" s="39"/>
      <c r="J969" s="56"/>
      <c r="K969" s="4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74"/>
      <c r="C970" s="5"/>
      <c r="D970" s="27"/>
      <c r="E970" s="34"/>
      <c r="F970" s="44"/>
      <c r="G970" s="47"/>
      <c r="H970" s="53"/>
      <c r="I970" s="39"/>
      <c r="J970" s="56"/>
      <c r="K970" s="4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74"/>
      <c r="C971" s="5"/>
      <c r="D971" s="27"/>
      <c r="E971" s="34"/>
      <c r="F971" s="44"/>
      <c r="G971" s="47"/>
      <c r="H971" s="53"/>
      <c r="I971" s="39"/>
      <c r="J971" s="56"/>
      <c r="K971" s="4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74"/>
      <c r="C972" s="5"/>
      <c r="D972" s="27"/>
      <c r="E972" s="34"/>
      <c r="F972" s="44"/>
      <c r="G972" s="47"/>
      <c r="H972" s="53"/>
      <c r="I972" s="39"/>
      <c r="J972" s="56"/>
      <c r="K972" s="4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74"/>
      <c r="C973" s="5"/>
      <c r="D973" s="27"/>
      <c r="E973" s="34"/>
      <c r="F973" s="44"/>
      <c r="G973" s="47"/>
      <c r="H973" s="53"/>
      <c r="I973" s="39"/>
      <c r="J973" s="56"/>
      <c r="K973" s="4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74"/>
      <c r="C974" s="5"/>
      <c r="D974" s="27"/>
      <c r="E974" s="34"/>
      <c r="F974" s="44"/>
      <c r="G974" s="47"/>
      <c r="H974" s="53"/>
      <c r="I974" s="39"/>
      <c r="J974" s="56"/>
      <c r="K974" s="4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74"/>
      <c r="C975" s="5"/>
      <c r="D975" s="27"/>
      <c r="E975" s="34"/>
      <c r="F975" s="44"/>
      <c r="G975" s="47"/>
      <c r="H975" s="53"/>
      <c r="I975" s="39"/>
      <c r="J975" s="56"/>
      <c r="K975" s="4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74"/>
      <c r="C976" s="5"/>
      <c r="D976" s="27"/>
      <c r="E976" s="34"/>
      <c r="F976" s="44"/>
      <c r="G976" s="47"/>
      <c r="H976" s="53"/>
      <c r="I976" s="39"/>
      <c r="J976" s="56"/>
      <c r="K976" s="4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74"/>
      <c r="C977" s="5"/>
      <c r="D977" s="27"/>
      <c r="E977" s="34"/>
      <c r="F977" s="44"/>
      <c r="G977" s="47"/>
      <c r="H977" s="53"/>
      <c r="I977" s="39"/>
      <c r="J977" s="56"/>
      <c r="K977" s="4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74"/>
      <c r="C978" s="5"/>
      <c r="D978" s="27"/>
      <c r="E978" s="34"/>
      <c r="F978" s="44"/>
      <c r="G978" s="47"/>
      <c r="H978" s="53"/>
      <c r="I978" s="39"/>
      <c r="J978" s="56"/>
      <c r="K978" s="4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74"/>
      <c r="C979" s="5"/>
      <c r="D979" s="27"/>
      <c r="E979" s="34"/>
      <c r="F979" s="44"/>
      <c r="G979" s="47"/>
      <c r="H979" s="53"/>
      <c r="I979" s="39"/>
      <c r="J979" s="56"/>
      <c r="K979" s="4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74"/>
      <c r="C980" s="5"/>
      <c r="D980" s="27"/>
      <c r="E980" s="34"/>
      <c r="F980" s="44"/>
      <c r="G980" s="47"/>
      <c r="H980" s="53"/>
      <c r="I980" s="39"/>
      <c r="J980" s="56"/>
      <c r="K980" s="4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74"/>
      <c r="C981" s="5"/>
      <c r="D981" s="27"/>
      <c r="E981" s="34"/>
      <c r="F981" s="44"/>
      <c r="G981" s="47"/>
      <c r="H981" s="53"/>
      <c r="I981" s="39"/>
      <c r="J981" s="56"/>
      <c r="K981" s="4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74"/>
      <c r="C982" s="5"/>
      <c r="D982" s="27"/>
      <c r="E982" s="34"/>
      <c r="F982" s="44"/>
      <c r="G982" s="47"/>
      <c r="H982" s="53"/>
      <c r="I982" s="39"/>
      <c r="J982" s="56"/>
      <c r="K982" s="4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74"/>
      <c r="C983" s="5"/>
      <c r="D983" s="27"/>
      <c r="E983" s="34"/>
      <c r="F983" s="44"/>
      <c r="G983" s="47"/>
      <c r="H983" s="53"/>
      <c r="I983" s="39"/>
      <c r="J983" s="56"/>
      <c r="K983" s="4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74"/>
      <c r="C984" s="5"/>
      <c r="D984" s="27"/>
      <c r="E984" s="34"/>
      <c r="F984" s="44"/>
      <c r="G984" s="47"/>
      <c r="H984" s="53"/>
      <c r="I984" s="39"/>
      <c r="J984" s="56"/>
      <c r="K984" s="4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74"/>
      <c r="C985" s="5"/>
      <c r="D985" s="27"/>
      <c r="E985" s="34"/>
      <c r="F985" s="44"/>
      <c r="G985" s="47"/>
      <c r="H985" s="53"/>
      <c r="I985" s="39"/>
      <c r="J985" s="56"/>
      <c r="K985" s="4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74"/>
      <c r="C986" s="5"/>
      <c r="D986" s="27"/>
      <c r="E986" s="34"/>
      <c r="F986" s="44"/>
      <c r="G986" s="47"/>
      <c r="H986" s="53"/>
      <c r="I986" s="39"/>
      <c r="J986" s="56"/>
      <c r="K986" s="4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74"/>
      <c r="C987" s="5"/>
      <c r="D987" s="27"/>
      <c r="E987" s="34"/>
      <c r="F987" s="44"/>
      <c r="G987" s="47"/>
      <c r="H987" s="53"/>
      <c r="I987" s="39"/>
      <c r="J987" s="56"/>
      <c r="K987" s="4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74"/>
      <c r="C988" s="5"/>
      <c r="D988" s="27"/>
      <c r="E988" s="34"/>
      <c r="F988" s="44"/>
      <c r="G988" s="47"/>
      <c r="H988" s="53"/>
      <c r="I988" s="39"/>
      <c r="J988" s="56"/>
      <c r="K988" s="4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74"/>
      <c r="C989" s="5"/>
      <c r="D989" s="27"/>
      <c r="E989" s="34"/>
      <c r="F989" s="44"/>
      <c r="G989" s="47"/>
      <c r="H989" s="53"/>
      <c r="I989" s="39"/>
      <c r="J989" s="56"/>
      <c r="K989" s="4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74"/>
      <c r="C990" s="5"/>
      <c r="D990" s="27"/>
      <c r="E990" s="34"/>
      <c r="F990" s="44"/>
      <c r="G990" s="47"/>
      <c r="H990" s="53"/>
      <c r="I990" s="39"/>
      <c r="J990" s="56"/>
      <c r="K990" s="4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74"/>
      <c r="C991" s="5"/>
      <c r="D991" s="27"/>
      <c r="E991" s="34"/>
      <c r="F991" s="44"/>
      <c r="G991" s="47"/>
      <c r="H991" s="53"/>
      <c r="I991" s="39"/>
      <c r="J991" s="56"/>
      <c r="K991" s="4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74"/>
      <c r="C992" s="5"/>
      <c r="D992" s="27"/>
      <c r="E992" s="34"/>
      <c r="F992" s="44"/>
      <c r="G992" s="47"/>
      <c r="H992" s="53"/>
      <c r="I992" s="39"/>
      <c r="J992" s="56"/>
      <c r="K992" s="4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74"/>
      <c r="C993" s="5"/>
      <c r="D993" s="27"/>
      <c r="E993" s="34"/>
      <c r="F993" s="44"/>
      <c r="G993" s="47"/>
      <c r="H993" s="53"/>
      <c r="I993" s="39"/>
      <c r="J993" s="56"/>
      <c r="K993" s="4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B994" s="76"/>
      <c r="C994" s="5"/>
      <c r="D994" s="85"/>
      <c r="E994" s="86"/>
      <c r="F994" s="87"/>
      <c r="G994" s="47"/>
      <c r="H994" s="53"/>
      <c r="I994" s="88"/>
      <c r="J994" s="56"/>
      <c r="K994" s="4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BC04"/>
    <outlinePr summaryBelow="0" summaryRight="0"/>
  </sheetPr>
  <sheetViews>
    <sheetView workbookViewId="0"/>
  </sheetViews>
  <sheetFormatPr customHeight="1" defaultColWidth="12.63" defaultRowHeight="15.75"/>
  <cols>
    <col customWidth="1" min="7" max="7" width="19.63"/>
    <col customWidth="1" min="17" max="17" width="10.25"/>
    <col customWidth="1" min="18" max="18" width="11.88"/>
    <col customWidth="1" min="19" max="19" width="10.5"/>
    <col customWidth="1" min="20" max="20" width="8.25"/>
    <col customWidth="1" min="21" max="21" width="8.75"/>
    <col customWidth="1" min="22" max="22" width="50.63"/>
    <col hidden="1" min="23" max="24" width="12.63"/>
  </cols>
  <sheetData>
    <row r="1" hidden="1">
      <c r="A1" s="4"/>
      <c r="B1" s="8"/>
      <c r="C1" s="4"/>
      <c r="D1" s="11"/>
      <c r="E1" s="13"/>
      <c r="F1" s="15"/>
      <c r="G1" s="17"/>
      <c r="H1" s="19"/>
      <c r="I1" s="21"/>
      <c r="J1" s="23"/>
      <c r="K1" s="23"/>
      <c r="L1" s="25"/>
      <c r="M1" s="26"/>
      <c r="N1" s="17"/>
      <c r="O1" s="25"/>
      <c r="P1" s="8"/>
      <c r="Q1" s="29">
        <v>30.0</v>
      </c>
      <c r="R1" s="32">
        <v>30.0</v>
      </c>
      <c r="S1" s="32">
        <v>25.0</v>
      </c>
      <c r="T1" s="35">
        <v>15.0</v>
      </c>
      <c r="U1" s="37"/>
      <c r="V1" s="17"/>
      <c r="W1" s="38"/>
      <c r="X1" s="40"/>
    </row>
    <row r="2">
      <c r="A2" s="42" t="s">
        <v>36</v>
      </c>
      <c r="B2" s="43" t="s">
        <v>39</v>
      </c>
      <c r="C2" s="42" t="s">
        <v>41</v>
      </c>
      <c r="D2" s="46"/>
      <c r="E2" s="48" t="s">
        <v>46</v>
      </c>
      <c r="F2" s="49"/>
      <c r="G2" s="50" t="s">
        <v>1</v>
      </c>
      <c r="H2" s="43" t="s">
        <v>51</v>
      </c>
      <c r="I2" s="51" t="s">
        <v>53</v>
      </c>
      <c r="J2" s="43" t="s">
        <v>54</v>
      </c>
      <c r="K2" s="52" t="s">
        <v>56</v>
      </c>
      <c r="L2" s="52" t="s">
        <v>57</v>
      </c>
      <c r="M2" s="42" t="s">
        <v>58</v>
      </c>
      <c r="N2" s="50" t="s">
        <v>59</v>
      </c>
      <c r="O2" s="52" t="s">
        <v>61</v>
      </c>
      <c r="P2" s="43" t="s">
        <v>62</v>
      </c>
      <c r="Q2" s="42" t="s">
        <v>64</v>
      </c>
      <c r="R2" s="43" t="s">
        <v>65</v>
      </c>
      <c r="S2" s="43" t="s">
        <v>66</v>
      </c>
      <c r="T2" s="50" t="s">
        <v>67</v>
      </c>
      <c r="U2" s="51" t="s">
        <v>68</v>
      </c>
      <c r="V2" s="50" t="s">
        <v>69</v>
      </c>
      <c r="W2" s="54" t="s">
        <v>71</v>
      </c>
      <c r="X2" s="55" t="s">
        <v>71</v>
      </c>
    </row>
    <row r="3">
      <c r="A3" s="57">
        <v>1.4050621E7</v>
      </c>
      <c r="B3" s="58" t="s">
        <v>16</v>
      </c>
      <c r="C3" s="57" t="str">
        <f t="array" ref="C3">iferror(_xlfn.XLOOKUP(D3,DATA!B:B,DATA!A:A),"")</f>
        <v>جمعه</v>
      </c>
      <c r="D3" s="60">
        <v>1.405062E7</v>
      </c>
      <c r="E3" s="61" t="str">
        <f t="array" ref="E3">iferror(_xlfn.XLOOKUP(F3,DATA!B:B,DATA!A:A),"")</f>
        <v>سه شنبه</v>
      </c>
      <c r="F3" s="62">
        <v>1.4050721E7</v>
      </c>
      <c r="G3" s="63" t="s">
        <v>13</v>
      </c>
      <c r="H3" s="64" t="str">
        <f t="array" ref="H3">_xlfn.XLOOKUP(G3,DATA!D:D,DATA!E:E,"")</f>
        <v>Tele sales</v>
      </c>
      <c r="I3" s="65" t="s">
        <v>18</v>
      </c>
      <c r="J3" s="23">
        <v>0.5</v>
      </c>
      <c r="K3" s="23">
        <v>0.5833333333333334</v>
      </c>
      <c r="L3" s="66"/>
      <c r="M3" s="67"/>
      <c r="N3" s="63"/>
      <c r="O3" s="66"/>
      <c r="P3" s="58"/>
      <c r="Q3" s="68"/>
      <c r="R3" s="69"/>
      <c r="S3" s="69"/>
      <c r="T3" s="70"/>
      <c r="U3" s="71"/>
      <c r="V3" s="63"/>
      <c r="W3" s="72">
        <f t="array" ref="W3">IF(D3="","",_xlfn.XLOOKUP(D3,DATA!B:B,DATA!L:L,""))</f>
        <v>46276</v>
      </c>
      <c r="X3" s="75">
        <f t="array" ref="X3">IF(F3="","",_xlfn.XLOOKUP(F3,DATA!B:B,DATA!L:L,""))</f>
        <v>46308</v>
      </c>
    </row>
    <row r="4">
      <c r="A4" s="57">
        <v>1.4050621E7</v>
      </c>
      <c r="B4" s="58" t="s">
        <v>16</v>
      </c>
      <c r="C4" s="57" t="str">
        <f t="array" ref="C4">iferror(_xlfn.XLOOKUP(D4,DATA!B:B,DATA!A:A),"")</f>
        <v>شنبه</v>
      </c>
      <c r="D4" s="60">
        <v>1.4050621E7</v>
      </c>
      <c r="E4" s="61" t="str">
        <f t="array" ref="E4">iferror(_xlfn.XLOOKUP(F4,DATA!B:B,DATA!A:A),"")</f>
        <v>شنبه</v>
      </c>
      <c r="F4" s="62">
        <v>1.4050621E7</v>
      </c>
      <c r="G4" s="63" t="s">
        <v>13</v>
      </c>
      <c r="H4" s="64" t="str">
        <f t="array" ref="H4">_xlfn.XLOOKUP(G4,DATA!D:D,DATA!E:E,"")</f>
        <v>Tele sales</v>
      </c>
      <c r="I4" s="65" t="s">
        <v>18</v>
      </c>
      <c r="J4" s="23">
        <v>0.5</v>
      </c>
      <c r="K4" s="23">
        <v>0.5833333333333334</v>
      </c>
      <c r="L4" s="66" t="str">
        <f t="shared" ref="L4:L1001" si="1">IF(OR(W4="",X4="",J4="",K4="",M4&lt;&gt;"پاسخ داده شده"),"",
 IF(X4+K4&lt;W4+J4,"خطای تاریخ",
 LET(
   StartDT,W4+J4,
   EndDT,X4+K4,
   Days,SEQUENCE(X4-W4+1,1,W4),
   ROUND(1440*SUM(MAP(Days,LAMBDA(d,
     IF(OR(WEEKDAY(d,2)=4,WEEKDAY(d,2)=5),0,
       MAX(0,MIN(EndDT,d+TIME(18,0,0))-
             MAX(StartDT,d+TIME(9,0,0)))
     )
   ))),0)
 )))</f>
        <v/>
      </c>
      <c r="M4" s="77"/>
      <c r="N4" s="78"/>
      <c r="O4" s="66" t="str">
        <f>IF(M4="","",
 IF(M4="عدم پاسخ","بدون پاسخ",
 IF(L4="","اطلاعات ناقص",
 IF(L4&lt;=DATA!$M$1,"رعایت شده","رعایت نشده"))))</f>
        <v/>
      </c>
      <c r="P4" s="79"/>
      <c r="Q4" s="77"/>
      <c r="R4" s="79"/>
      <c r="S4" s="79"/>
      <c r="T4" s="78"/>
      <c r="U4" s="80"/>
      <c r="V4" s="78"/>
      <c r="W4" s="72">
        <f t="array" ref="W4">IF(D4="","",_xlfn.XLOOKUP(D4,DATA!B:B,DATA!L:L,""))</f>
        <v>46277</v>
      </c>
      <c r="X4" s="75">
        <f t="array" ref="X4">IF(F4="","",_xlfn.XLOOKUP(F4,DATA!B:B,DATA!L:L,""))</f>
        <v>46277</v>
      </c>
    </row>
    <row r="5">
      <c r="A5" s="57">
        <v>1.4050621E7</v>
      </c>
      <c r="B5" s="58" t="s">
        <v>16</v>
      </c>
      <c r="C5" s="57" t="str">
        <f t="array" ref="C5">iferror(_xlfn.XLOOKUP(D5,DATA!B:B,DATA!A:A),"")</f>
        <v>شنبه</v>
      </c>
      <c r="D5" s="60">
        <v>1.4050621E7</v>
      </c>
      <c r="E5" s="61" t="str">
        <f t="array" ref="E5">iferror(_xlfn.XLOOKUP(F5,DATA!B:B,DATA!A:A),"")</f>
        <v>شنبه</v>
      </c>
      <c r="F5" s="62">
        <v>1.4050621E7</v>
      </c>
      <c r="G5" s="63" t="s">
        <v>13</v>
      </c>
      <c r="H5" s="64" t="str">
        <f t="array" ref="H5">_xlfn.XLOOKUP(G5,DATA!D:D,DATA!E:E,"")</f>
        <v>Tele sales</v>
      </c>
      <c r="I5" s="65" t="s">
        <v>18</v>
      </c>
      <c r="J5" s="23">
        <v>0.625</v>
      </c>
      <c r="K5" s="23">
        <v>0.75</v>
      </c>
      <c r="L5" s="66" t="str">
        <f t="shared" si="1"/>
        <v/>
      </c>
      <c r="M5" s="77"/>
      <c r="N5" s="78"/>
      <c r="O5" s="66" t="str">
        <f>IF(M5="","",
 IF(M5="عدم پاسخ","بدون پاسخ",
 IF(L5="","اطلاعات ناقص",
 IF(L5&lt;=DATA!$M$1,"رعایت شده","رعایت نشده"))))</f>
        <v/>
      </c>
      <c r="P5" s="79"/>
      <c r="Q5" s="77"/>
      <c r="R5" s="79"/>
      <c r="S5" s="79"/>
      <c r="T5" s="78"/>
      <c r="U5" s="80"/>
      <c r="V5" s="78"/>
      <c r="W5" s="72">
        <f t="array" ref="W5">IF(D5="","",_xlfn.XLOOKUP(D5,DATA!B:B,DATA!L:L,""))</f>
        <v>46277</v>
      </c>
      <c r="X5" s="75">
        <f t="array" ref="X5">IF(F5="","",_xlfn.XLOOKUP(F5,DATA!B:B,DATA!L:L,""))</f>
        <v>46277</v>
      </c>
    </row>
    <row r="6">
      <c r="A6" s="81"/>
      <c r="B6" s="79"/>
      <c r="C6" s="57" t="str">
        <f t="array" ref="C6">iferror(_xlfn.XLOOKUP(D6,DATA!B:B,DATA!A:A),"")</f>
        <v/>
      </c>
      <c r="D6" s="82"/>
      <c r="E6" s="61" t="str">
        <f t="array" ref="E6">iferror(_xlfn.XLOOKUP(F6,DATA!B:B,DATA!A:A),"")</f>
        <v/>
      </c>
      <c r="F6" s="83"/>
      <c r="G6" s="78"/>
      <c r="H6" s="64" t="str">
        <f t="array" ref="H6">_xlfn.XLOOKUP(G6,DATA!D:D,DATA!E:E,"")</f>
        <v/>
      </c>
      <c r="I6" s="84"/>
      <c r="J6" s="23"/>
      <c r="K6" s="23"/>
      <c r="L6" s="66" t="str">
        <f t="shared" si="1"/>
        <v/>
      </c>
      <c r="M6" s="77"/>
      <c r="N6" s="78"/>
      <c r="O6" s="66" t="str">
        <f>IF(M6="","",
 IF(M6="عدم پاسخ","بدون پاسخ",
 IF(L6="","اطلاعات ناقص",
 IF(L6&lt;=DATA!$M$1,"رعایت شده","رعایت نشده"))))</f>
        <v/>
      </c>
      <c r="P6" s="79"/>
      <c r="Q6" s="77"/>
      <c r="R6" s="79"/>
      <c r="S6" s="79"/>
      <c r="T6" s="78"/>
      <c r="U6" s="80"/>
      <c r="V6" s="78"/>
      <c r="W6" s="77" t="str">
        <f t="array" ref="W6">IF(D6="","",_xlfn.XLOOKUP(D6,DATA!B:B,DATA!L:L,""))</f>
        <v/>
      </c>
      <c r="X6" s="78" t="str">
        <f t="array" ref="X6">IF(F6="","",_xlfn.XLOOKUP(F6,DATA!B:B,DATA!L:L,""))</f>
        <v/>
      </c>
    </row>
    <row r="7">
      <c r="A7" s="81"/>
      <c r="B7" s="79"/>
      <c r="C7" s="57" t="str">
        <f t="array" ref="C7">iferror(_xlfn.XLOOKUP(D7,DATA!B:B,DATA!A:A),"")</f>
        <v/>
      </c>
      <c r="D7" s="82"/>
      <c r="E7" s="61" t="str">
        <f t="array" ref="E7">iferror(_xlfn.XLOOKUP(F7,DATA!B:B,DATA!A:A),"")</f>
        <v/>
      </c>
      <c r="F7" s="83"/>
      <c r="G7" s="78"/>
      <c r="H7" s="64" t="str">
        <f t="array" ref="H7">_xlfn.XLOOKUP(G7,DATA!D:D,DATA!E:E,"")</f>
        <v/>
      </c>
      <c r="I7" s="84"/>
      <c r="J7" s="23"/>
      <c r="K7" s="23"/>
      <c r="L7" s="66" t="str">
        <f t="shared" si="1"/>
        <v/>
      </c>
      <c r="M7" s="77"/>
      <c r="N7" s="78"/>
      <c r="O7" s="66" t="str">
        <f>IF(M7="","",
 IF(M7="عدم پاسخ","بدون پاسخ",
 IF(L7="","اطلاعات ناقص",
 IF(L7&lt;=DATA!$M$1,"رعایت شده","رعایت نشده"))))</f>
        <v/>
      </c>
      <c r="P7" s="79"/>
      <c r="Q7" s="77"/>
      <c r="R7" s="79"/>
      <c r="S7" s="79"/>
      <c r="T7" s="78"/>
      <c r="U7" s="80"/>
      <c r="V7" s="78"/>
      <c r="W7" s="77" t="str">
        <f t="array" ref="W7">IF(D7="","",_xlfn.XLOOKUP(D7,DATA!B:B,DATA!L:L,""))</f>
        <v/>
      </c>
      <c r="X7" s="78" t="str">
        <f t="array" ref="X7">IF(F7="","",_xlfn.XLOOKUP(F7,DATA!B:B,DATA!L:L,""))</f>
        <v/>
      </c>
    </row>
    <row r="8">
      <c r="A8" s="81"/>
      <c r="B8" s="79"/>
      <c r="C8" s="57" t="str">
        <f t="array" ref="C8">iferror(_xlfn.XLOOKUP(D8,DATA!B:B,DATA!A:A),"")</f>
        <v/>
      </c>
      <c r="D8" s="82"/>
      <c r="E8" s="61" t="str">
        <f t="array" ref="E8">iferror(_xlfn.XLOOKUP(F8,DATA!B:B,DATA!A:A),"")</f>
        <v/>
      </c>
      <c r="F8" s="83"/>
      <c r="G8" s="78"/>
      <c r="H8" s="64" t="str">
        <f t="array" ref="H8">_xlfn.XLOOKUP(G8,DATA!D:D,DATA!E:E,"")</f>
        <v/>
      </c>
      <c r="I8" s="84"/>
      <c r="J8" s="23"/>
      <c r="K8" s="23"/>
      <c r="L8" s="66" t="str">
        <f t="shared" si="1"/>
        <v/>
      </c>
      <c r="M8" s="77"/>
      <c r="N8" s="78"/>
      <c r="O8" s="66" t="str">
        <f>IF(M8="","",
 IF(M8="عدم پاسخ","بدون پاسخ",
 IF(L8="","اطلاعات ناقص",
 IF(L8&lt;=DATA!$M$1,"رعایت شده","رعایت نشده"))))</f>
        <v/>
      </c>
      <c r="P8" s="79"/>
      <c r="Q8" s="77"/>
      <c r="R8" s="79"/>
      <c r="S8" s="79"/>
      <c r="T8" s="78"/>
      <c r="U8" s="80"/>
      <c r="V8" s="78"/>
      <c r="W8" s="77" t="str">
        <f t="array" ref="W8">IF(D8="","",_xlfn.XLOOKUP(D8,DATA!B:B,DATA!L:L,""))</f>
        <v/>
      </c>
      <c r="X8" s="78" t="str">
        <f t="array" ref="X8">IF(F8="","",_xlfn.XLOOKUP(F8,DATA!B:B,DATA!L:L,""))</f>
        <v/>
      </c>
    </row>
    <row r="9">
      <c r="A9" s="81"/>
      <c r="B9" s="79"/>
      <c r="C9" s="57" t="str">
        <f t="array" ref="C9">iferror(_xlfn.XLOOKUP(D9,DATA!B:B,DATA!A:A),"")</f>
        <v/>
      </c>
      <c r="D9" s="82"/>
      <c r="E9" s="61" t="str">
        <f t="array" ref="E9">iferror(_xlfn.XLOOKUP(F9,DATA!B:B,DATA!A:A),"")</f>
        <v/>
      </c>
      <c r="F9" s="83"/>
      <c r="G9" s="78"/>
      <c r="H9" s="64" t="str">
        <f t="array" ref="H9">_xlfn.XLOOKUP(G9,DATA!D:D,DATA!E:E,"")</f>
        <v/>
      </c>
      <c r="I9" s="84"/>
      <c r="J9" s="23"/>
      <c r="K9" s="23"/>
      <c r="L9" s="66" t="str">
        <f t="shared" si="1"/>
        <v/>
      </c>
      <c r="M9" s="77"/>
      <c r="N9" s="78"/>
      <c r="O9" s="66" t="str">
        <f>IF(M9="","",
 IF(M9="عدم پاسخ","بدون پاسخ",
 IF(L9="","اطلاعات ناقص",
 IF(L9&lt;=DATA!$M$1,"رعایت شده","رعایت نشده"))))</f>
        <v/>
      </c>
      <c r="P9" s="79"/>
      <c r="Q9" s="77"/>
      <c r="R9" s="79"/>
      <c r="S9" s="79"/>
      <c r="T9" s="78"/>
      <c r="U9" s="80"/>
      <c r="V9" s="78"/>
      <c r="W9" s="77" t="str">
        <f t="array" ref="W9">IF(D9="","",_xlfn.XLOOKUP(D9,DATA!B:B,DATA!L:L,""))</f>
        <v/>
      </c>
      <c r="X9" s="78" t="str">
        <f t="array" ref="X9">IF(F9="","",_xlfn.XLOOKUP(F9,DATA!B:B,DATA!L:L,""))</f>
        <v/>
      </c>
    </row>
    <row r="10">
      <c r="A10" s="81"/>
      <c r="B10" s="79"/>
      <c r="C10" s="57" t="str">
        <f t="array" ref="C10">iferror(_xlfn.XLOOKUP(D10,DATA!B:B,DATA!A:A),"")</f>
        <v/>
      </c>
      <c r="D10" s="82"/>
      <c r="E10" s="61" t="str">
        <f t="array" ref="E10">iferror(_xlfn.XLOOKUP(F10,DATA!B:B,DATA!A:A),"")</f>
        <v/>
      </c>
      <c r="F10" s="83"/>
      <c r="G10" s="78"/>
      <c r="H10" s="64" t="str">
        <f t="array" ref="H10">_xlfn.XLOOKUP(G10,DATA!D:D,DATA!E:E,"")</f>
        <v/>
      </c>
      <c r="I10" s="84"/>
      <c r="J10" s="23"/>
      <c r="K10" s="23"/>
      <c r="L10" s="66" t="str">
        <f t="shared" si="1"/>
        <v/>
      </c>
      <c r="M10" s="77"/>
      <c r="N10" s="78"/>
      <c r="O10" s="66" t="str">
        <f>IF(M10="","",
 IF(M10="عدم پاسخ","بدون پاسخ",
 IF(L10="","اطلاعات ناقص",
 IF(L10&lt;=DATA!$M$1,"رعایت شده","رعایت نشده"))))</f>
        <v/>
      </c>
      <c r="P10" s="79"/>
      <c r="Q10" s="77"/>
      <c r="R10" s="79"/>
      <c r="S10" s="79"/>
      <c r="T10" s="78"/>
      <c r="U10" s="80"/>
      <c r="V10" s="78"/>
      <c r="W10" s="77" t="str">
        <f t="array" ref="W10">IF(D10="","",_xlfn.XLOOKUP(D10,DATA!B:B,DATA!L:L,""))</f>
        <v/>
      </c>
      <c r="X10" s="78" t="str">
        <f t="array" ref="X10">IF(F10="","",_xlfn.XLOOKUP(F10,DATA!B:B,DATA!L:L,""))</f>
        <v/>
      </c>
    </row>
    <row r="11">
      <c r="A11" s="81"/>
      <c r="B11" s="79"/>
      <c r="C11" s="57" t="str">
        <f t="array" ref="C11">iferror(_xlfn.XLOOKUP(D11,DATA!B:B,DATA!A:A),"")</f>
        <v/>
      </c>
      <c r="D11" s="82"/>
      <c r="E11" s="61" t="str">
        <f t="array" ref="E11">iferror(_xlfn.XLOOKUP(F11,DATA!B:B,DATA!A:A),"")</f>
        <v/>
      </c>
      <c r="F11" s="83"/>
      <c r="G11" s="78"/>
      <c r="H11" s="64" t="str">
        <f t="array" ref="H11">_xlfn.XLOOKUP(G11,DATA!D:D,DATA!E:E,"")</f>
        <v/>
      </c>
      <c r="I11" s="84"/>
      <c r="J11" s="23"/>
      <c r="K11" s="23"/>
      <c r="L11" s="66" t="str">
        <f t="shared" si="1"/>
        <v/>
      </c>
      <c r="M11" s="77"/>
      <c r="N11" s="78"/>
      <c r="O11" s="66" t="str">
        <f>IF(M11="","",
 IF(M11="عدم پاسخ","بدون پاسخ",
 IF(L11="","اطلاعات ناقص",
 IF(L11&lt;=DATA!$M$1,"رعایت شده","رعایت نشده"))))</f>
        <v/>
      </c>
      <c r="P11" s="79"/>
      <c r="Q11" s="77"/>
      <c r="R11" s="79"/>
      <c r="S11" s="79"/>
      <c r="T11" s="78"/>
      <c r="U11" s="80"/>
      <c r="V11" s="78"/>
      <c r="W11" s="77" t="str">
        <f t="array" ref="W11">IF(D11="","",_xlfn.XLOOKUP(D11,DATA!B:B,DATA!L:L,""))</f>
        <v/>
      </c>
      <c r="X11" s="78" t="str">
        <f t="array" ref="X11">IF(F11="","",_xlfn.XLOOKUP(F11,DATA!B:B,DATA!L:L,""))</f>
        <v/>
      </c>
    </row>
    <row r="12">
      <c r="A12" s="81"/>
      <c r="B12" s="79"/>
      <c r="C12" s="57" t="str">
        <f t="array" ref="C12">iferror(_xlfn.XLOOKUP(D12,DATA!B:B,DATA!A:A),"")</f>
        <v/>
      </c>
      <c r="D12" s="82"/>
      <c r="E12" s="61" t="str">
        <f t="array" ref="E12">iferror(_xlfn.XLOOKUP(F12,DATA!B:B,DATA!A:A),"")</f>
        <v/>
      </c>
      <c r="F12" s="83"/>
      <c r="G12" s="78"/>
      <c r="H12" s="64" t="str">
        <f t="array" ref="H12">_xlfn.XLOOKUP(G12,DATA!D:D,DATA!E:E,"")</f>
        <v/>
      </c>
      <c r="I12" s="84"/>
      <c r="J12" s="23"/>
      <c r="K12" s="23"/>
      <c r="L12" s="66" t="str">
        <f t="shared" si="1"/>
        <v/>
      </c>
      <c r="M12" s="77"/>
      <c r="N12" s="78"/>
      <c r="O12" s="66" t="str">
        <f>IF(M12="","",
 IF(M12="عدم پاسخ","بدون پاسخ",
 IF(L12="","اطلاعات ناقص",
 IF(L12&lt;=DATA!$M$1,"رعایت شده","رعایت نشده"))))</f>
        <v/>
      </c>
      <c r="P12" s="79"/>
      <c r="Q12" s="77"/>
      <c r="R12" s="79"/>
      <c r="S12" s="79"/>
      <c r="T12" s="78"/>
      <c r="U12" s="80"/>
      <c r="V12" s="78"/>
      <c r="W12" s="77" t="str">
        <f t="array" ref="W12">IF(D12="","",_xlfn.XLOOKUP(D12,DATA!B:B,DATA!L:L,""))</f>
        <v/>
      </c>
      <c r="X12" s="78" t="str">
        <f t="array" ref="X12">IF(F12="","",_xlfn.XLOOKUP(F12,DATA!B:B,DATA!L:L,""))</f>
        <v/>
      </c>
    </row>
    <row r="13">
      <c r="A13" s="81"/>
      <c r="B13" s="79"/>
      <c r="C13" s="57" t="str">
        <f t="array" ref="C13">iferror(_xlfn.XLOOKUP(D13,DATA!B:B,DATA!A:A),"")</f>
        <v/>
      </c>
      <c r="D13" s="82"/>
      <c r="E13" s="61" t="str">
        <f t="array" ref="E13">iferror(_xlfn.XLOOKUP(F13,DATA!B:B,DATA!A:A),"")</f>
        <v/>
      </c>
      <c r="F13" s="83"/>
      <c r="G13" s="78"/>
      <c r="H13" s="64" t="str">
        <f t="array" ref="H13">_xlfn.XLOOKUP(G13,DATA!D:D,DATA!E:E,"")</f>
        <v/>
      </c>
      <c r="I13" s="84"/>
      <c r="J13" s="23"/>
      <c r="K13" s="23"/>
      <c r="L13" s="66" t="str">
        <f t="shared" si="1"/>
        <v/>
      </c>
      <c r="M13" s="77"/>
      <c r="N13" s="78"/>
      <c r="O13" s="66" t="str">
        <f>IF(M13="","",
 IF(M13="عدم پاسخ","بدون پاسخ",
 IF(L13="","اطلاعات ناقص",
 IF(L13&lt;=DATA!$M$1,"رعایت شده","رعایت نشده"))))</f>
        <v/>
      </c>
      <c r="P13" s="79"/>
      <c r="Q13" s="77"/>
      <c r="R13" s="79"/>
      <c r="S13" s="79"/>
      <c r="T13" s="78"/>
      <c r="U13" s="80"/>
      <c r="V13" s="78"/>
      <c r="W13" s="77" t="str">
        <f t="array" ref="W13">IF(D13="","",_xlfn.XLOOKUP(D13,DATA!B:B,DATA!L:L,""))</f>
        <v/>
      </c>
      <c r="X13" s="78" t="str">
        <f t="array" ref="X13">IF(F13="","",_xlfn.XLOOKUP(F13,DATA!B:B,DATA!L:L,""))</f>
        <v/>
      </c>
    </row>
    <row r="14">
      <c r="A14" s="81"/>
      <c r="B14" s="79"/>
      <c r="C14" s="57" t="str">
        <f t="array" ref="C14">iferror(_xlfn.XLOOKUP(D14,DATA!B:B,DATA!A:A),"")</f>
        <v/>
      </c>
      <c r="D14" s="82"/>
      <c r="E14" s="61" t="str">
        <f t="array" ref="E14">iferror(_xlfn.XLOOKUP(F14,DATA!B:B,DATA!A:A),"")</f>
        <v/>
      </c>
      <c r="F14" s="83"/>
      <c r="G14" s="78"/>
      <c r="H14" s="64" t="str">
        <f t="array" ref="H14">_xlfn.XLOOKUP(G14,DATA!D:D,DATA!E:E,"")</f>
        <v/>
      </c>
      <c r="I14" s="84"/>
      <c r="J14" s="23"/>
      <c r="K14" s="23"/>
      <c r="L14" s="66" t="str">
        <f t="shared" si="1"/>
        <v/>
      </c>
      <c r="M14" s="77"/>
      <c r="N14" s="78"/>
      <c r="O14" s="66" t="str">
        <f>IF(M14="","",
 IF(M14="عدم پاسخ","بدون پاسخ",
 IF(L14="","اطلاعات ناقص",
 IF(L14&lt;=DATA!$M$1,"رعایت شده","رعایت نشده"))))</f>
        <v/>
      </c>
      <c r="P14" s="79"/>
      <c r="Q14" s="77"/>
      <c r="R14" s="79"/>
      <c r="S14" s="79"/>
      <c r="T14" s="78"/>
      <c r="U14" s="80"/>
      <c r="V14" s="78"/>
      <c r="W14" s="77" t="str">
        <f t="array" ref="W14">IF(D14="","",_xlfn.XLOOKUP(D14,DATA!B:B,DATA!L:L,""))</f>
        <v/>
      </c>
      <c r="X14" s="78" t="str">
        <f t="array" ref="X14">IF(F14="","",_xlfn.XLOOKUP(F14,DATA!B:B,DATA!L:L,""))</f>
        <v/>
      </c>
    </row>
    <row r="15">
      <c r="A15" s="81"/>
      <c r="B15" s="79"/>
      <c r="C15" s="57" t="str">
        <f t="array" ref="C15">iferror(_xlfn.XLOOKUP(D15,DATA!B:B,DATA!A:A),"")</f>
        <v/>
      </c>
      <c r="D15" s="82"/>
      <c r="E15" s="61" t="str">
        <f t="array" ref="E15">iferror(_xlfn.XLOOKUP(F15,DATA!B:B,DATA!A:A),"")</f>
        <v/>
      </c>
      <c r="F15" s="83"/>
      <c r="G15" s="78"/>
      <c r="H15" s="64" t="str">
        <f t="array" ref="H15">_xlfn.XLOOKUP(G15,DATA!D:D,DATA!E:E,"")</f>
        <v/>
      </c>
      <c r="I15" s="84"/>
      <c r="J15" s="23"/>
      <c r="K15" s="23"/>
      <c r="L15" s="66" t="str">
        <f t="shared" si="1"/>
        <v/>
      </c>
      <c r="M15" s="77"/>
      <c r="N15" s="78"/>
      <c r="O15" s="66" t="str">
        <f>IF(M15="","",
 IF(M15="عدم پاسخ","بدون پاسخ",
 IF(L15="","اطلاعات ناقص",
 IF(L15&lt;=DATA!$M$1,"رعایت شده","رعایت نشده"))))</f>
        <v/>
      </c>
      <c r="P15" s="79"/>
      <c r="Q15" s="77"/>
      <c r="R15" s="79"/>
      <c r="S15" s="79"/>
      <c r="T15" s="78"/>
      <c r="U15" s="80"/>
      <c r="V15" s="78"/>
      <c r="W15" s="77" t="str">
        <f t="array" ref="W15">IF(D15="","",_xlfn.XLOOKUP(D15,DATA!B:B,DATA!L:L,""))</f>
        <v/>
      </c>
      <c r="X15" s="78" t="str">
        <f t="array" ref="X15">IF(F15="","",_xlfn.XLOOKUP(F15,DATA!B:B,DATA!L:L,""))</f>
        <v/>
      </c>
    </row>
    <row r="16">
      <c r="A16" s="81"/>
      <c r="B16" s="79"/>
      <c r="C16" s="57" t="str">
        <f t="array" ref="C16">iferror(_xlfn.XLOOKUP(D16,DATA!B:B,DATA!A:A),"")</f>
        <v/>
      </c>
      <c r="D16" s="82"/>
      <c r="E16" s="61" t="str">
        <f t="array" ref="E16">iferror(_xlfn.XLOOKUP(F16,DATA!B:B,DATA!A:A),"")</f>
        <v/>
      </c>
      <c r="F16" s="83"/>
      <c r="G16" s="78"/>
      <c r="H16" s="64" t="str">
        <f t="array" ref="H16">_xlfn.XLOOKUP(G16,DATA!D:D,DATA!E:E,"")</f>
        <v/>
      </c>
      <c r="I16" s="84"/>
      <c r="J16" s="23"/>
      <c r="K16" s="23"/>
      <c r="L16" s="66" t="str">
        <f t="shared" si="1"/>
        <v/>
      </c>
      <c r="M16" s="77"/>
      <c r="N16" s="78"/>
      <c r="O16" s="66" t="str">
        <f>IF(M16="","",
 IF(M16="عدم پاسخ","بدون پاسخ",
 IF(L16="","اطلاعات ناقص",
 IF(L16&lt;=DATA!$M$1,"رعایت شده","رعایت نشده"))))</f>
        <v/>
      </c>
      <c r="P16" s="79"/>
      <c r="Q16" s="77"/>
      <c r="R16" s="79"/>
      <c r="S16" s="79"/>
      <c r="T16" s="78"/>
      <c r="U16" s="80"/>
      <c r="V16" s="78"/>
      <c r="W16" s="77" t="str">
        <f t="array" ref="W16">IF(D16="","",_xlfn.XLOOKUP(D16,DATA!B:B,DATA!L:L,""))</f>
        <v/>
      </c>
      <c r="X16" s="78" t="str">
        <f t="array" ref="X16">IF(F16="","",_xlfn.XLOOKUP(F16,DATA!B:B,DATA!L:L,""))</f>
        <v/>
      </c>
    </row>
    <row r="17">
      <c r="A17" s="81"/>
      <c r="B17" s="79"/>
      <c r="C17" s="57" t="str">
        <f t="array" ref="C17">iferror(_xlfn.XLOOKUP(D17,DATA!B:B,DATA!A:A),"")</f>
        <v/>
      </c>
      <c r="D17" s="82"/>
      <c r="E17" s="61" t="str">
        <f t="array" ref="E17">iferror(_xlfn.XLOOKUP(F17,DATA!B:B,DATA!A:A),"")</f>
        <v/>
      </c>
      <c r="F17" s="83"/>
      <c r="G17" s="78"/>
      <c r="H17" s="64" t="str">
        <f t="array" ref="H17">_xlfn.XLOOKUP(G17,DATA!D:D,DATA!E:E,"")</f>
        <v/>
      </c>
      <c r="I17" s="84"/>
      <c r="J17" s="23"/>
      <c r="K17" s="23"/>
      <c r="L17" s="66" t="str">
        <f t="shared" si="1"/>
        <v/>
      </c>
      <c r="M17" s="77"/>
      <c r="N17" s="78"/>
      <c r="O17" s="66" t="str">
        <f>IF(M17="","",
 IF(M17="عدم پاسخ","بدون پاسخ",
 IF(L17="","اطلاعات ناقص",
 IF(L17&lt;=DATA!$M$1,"رعایت شده","رعایت نشده"))))</f>
        <v/>
      </c>
      <c r="P17" s="79"/>
      <c r="Q17" s="77"/>
      <c r="R17" s="79"/>
      <c r="S17" s="79"/>
      <c r="T17" s="78"/>
      <c r="U17" s="80"/>
      <c r="V17" s="78"/>
      <c r="W17" s="77" t="str">
        <f t="array" ref="W17">IF(D17="","",_xlfn.XLOOKUP(D17,DATA!B:B,DATA!L:L,""))</f>
        <v/>
      </c>
      <c r="X17" s="78" t="str">
        <f t="array" ref="X17">IF(F17="","",_xlfn.XLOOKUP(F17,DATA!B:B,DATA!L:L,""))</f>
        <v/>
      </c>
    </row>
    <row r="18">
      <c r="A18" s="81"/>
      <c r="B18" s="79"/>
      <c r="C18" s="57" t="str">
        <f t="array" ref="C18">iferror(_xlfn.XLOOKUP(D18,DATA!B:B,DATA!A:A),"")</f>
        <v/>
      </c>
      <c r="D18" s="82"/>
      <c r="E18" s="61" t="str">
        <f t="array" ref="E18">iferror(_xlfn.XLOOKUP(F18,DATA!B:B,DATA!A:A),"")</f>
        <v/>
      </c>
      <c r="F18" s="83"/>
      <c r="G18" s="78"/>
      <c r="H18" s="64" t="str">
        <f t="array" ref="H18">_xlfn.XLOOKUP(G18,DATA!D:D,DATA!E:E,"")</f>
        <v/>
      </c>
      <c r="I18" s="84"/>
      <c r="J18" s="23"/>
      <c r="K18" s="23"/>
      <c r="L18" s="66" t="str">
        <f t="shared" si="1"/>
        <v/>
      </c>
      <c r="M18" s="77"/>
      <c r="N18" s="78"/>
      <c r="O18" s="66" t="str">
        <f>IF(M18="","",
 IF(M18="عدم پاسخ","بدون پاسخ",
 IF(L18="","اطلاعات ناقص",
 IF(L18&lt;=DATA!$M$1,"رعایت شده","رعایت نشده"))))</f>
        <v/>
      </c>
      <c r="P18" s="79"/>
      <c r="Q18" s="77"/>
      <c r="R18" s="79"/>
      <c r="S18" s="79"/>
      <c r="T18" s="78"/>
      <c r="U18" s="80"/>
      <c r="V18" s="78"/>
      <c r="W18" s="77" t="str">
        <f t="array" ref="W18">IF(D18="","",_xlfn.XLOOKUP(D18,DATA!B:B,DATA!L:L,""))</f>
        <v/>
      </c>
      <c r="X18" s="78" t="str">
        <f t="array" ref="X18">IF(F18="","",_xlfn.XLOOKUP(F18,DATA!B:B,DATA!L:L,""))</f>
        <v/>
      </c>
    </row>
    <row r="19">
      <c r="A19" s="81"/>
      <c r="B19" s="79"/>
      <c r="C19" s="57" t="str">
        <f t="array" ref="C19">iferror(_xlfn.XLOOKUP(D19,DATA!B:B,DATA!A:A),"")</f>
        <v/>
      </c>
      <c r="D19" s="82"/>
      <c r="E19" s="61" t="str">
        <f t="array" ref="E19">iferror(_xlfn.XLOOKUP(F19,DATA!B:B,DATA!A:A),"")</f>
        <v/>
      </c>
      <c r="F19" s="83"/>
      <c r="G19" s="78"/>
      <c r="H19" s="64" t="str">
        <f t="array" ref="H19">_xlfn.XLOOKUP(G19,DATA!D:D,DATA!E:E,"")</f>
        <v/>
      </c>
      <c r="I19" s="84"/>
      <c r="J19" s="23"/>
      <c r="K19" s="23"/>
      <c r="L19" s="66" t="str">
        <f t="shared" si="1"/>
        <v/>
      </c>
      <c r="M19" s="77"/>
      <c r="N19" s="78"/>
      <c r="O19" s="66" t="str">
        <f>IF(M19="","",
 IF(M19="عدم پاسخ","بدون پاسخ",
 IF(L19="","اطلاعات ناقص",
 IF(L19&lt;=DATA!$M$1,"رعایت شده","رعایت نشده"))))</f>
        <v/>
      </c>
      <c r="P19" s="79"/>
      <c r="Q19" s="77"/>
      <c r="R19" s="79"/>
      <c r="S19" s="79"/>
      <c r="T19" s="78"/>
      <c r="U19" s="80"/>
      <c r="V19" s="78"/>
      <c r="W19" s="77" t="str">
        <f t="array" ref="W19">IF(D19="","",_xlfn.XLOOKUP(D19,DATA!B:B,DATA!L:L,""))</f>
        <v/>
      </c>
      <c r="X19" s="78" t="str">
        <f t="array" ref="X19">IF(F19="","",_xlfn.XLOOKUP(F19,DATA!B:B,DATA!L:L,""))</f>
        <v/>
      </c>
    </row>
    <row r="20">
      <c r="A20" s="81"/>
      <c r="B20" s="79"/>
      <c r="C20" s="57" t="str">
        <f t="array" ref="C20">iferror(_xlfn.XLOOKUP(D20,DATA!B:B,DATA!A:A),"")</f>
        <v/>
      </c>
      <c r="D20" s="82"/>
      <c r="E20" s="61" t="str">
        <f t="array" ref="E20">iferror(_xlfn.XLOOKUP(F20,DATA!B:B,DATA!A:A),"")</f>
        <v/>
      </c>
      <c r="F20" s="83"/>
      <c r="G20" s="78"/>
      <c r="H20" s="64" t="str">
        <f t="array" ref="H20">_xlfn.XLOOKUP(G20,DATA!D:D,DATA!E:E,"")</f>
        <v/>
      </c>
      <c r="I20" s="84"/>
      <c r="J20" s="23"/>
      <c r="K20" s="23"/>
      <c r="L20" s="66" t="str">
        <f t="shared" si="1"/>
        <v/>
      </c>
      <c r="M20" s="77"/>
      <c r="N20" s="78"/>
      <c r="O20" s="66" t="str">
        <f>IF(M20="","",
 IF(M20="عدم پاسخ","بدون پاسخ",
 IF(L20="","اطلاعات ناقص",
 IF(L20&lt;=DATA!$M$1,"رعایت شده","رعایت نشده"))))</f>
        <v/>
      </c>
      <c r="P20" s="79"/>
      <c r="Q20" s="77"/>
      <c r="R20" s="79"/>
      <c r="S20" s="79"/>
      <c r="T20" s="78"/>
      <c r="U20" s="80"/>
      <c r="V20" s="78"/>
      <c r="W20" s="77" t="str">
        <f t="array" ref="W20">IF(D20="","",_xlfn.XLOOKUP(D20,DATA!B:B,DATA!L:L,""))</f>
        <v/>
      </c>
      <c r="X20" s="78" t="str">
        <f t="array" ref="X20">IF(F20="","",_xlfn.XLOOKUP(F20,DATA!B:B,DATA!L:L,""))</f>
        <v/>
      </c>
    </row>
    <row r="21">
      <c r="A21" s="81"/>
      <c r="B21" s="79"/>
      <c r="C21" s="57" t="str">
        <f t="array" ref="C21">iferror(_xlfn.XLOOKUP(D21,DATA!B:B,DATA!A:A),"")</f>
        <v/>
      </c>
      <c r="D21" s="82"/>
      <c r="E21" s="61" t="str">
        <f t="array" ref="E21">iferror(_xlfn.XLOOKUP(F21,DATA!B:B,DATA!A:A),"")</f>
        <v/>
      </c>
      <c r="F21" s="83"/>
      <c r="G21" s="78"/>
      <c r="H21" s="64" t="str">
        <f t="array" ref="H21">_xlfn.XLOOKUP(G21,DATA!D:D,DATA!E:E,"")</f>
        <v/>
      </c>
      <c r="I21" s="84"/>
      <c r="J21" s="23"/>
      <c r="K21" s="23"/>
      <c r="L21" s="66" t="str">
        <f t="shared" si="1"/>
        <v/>
      </c>
      <c r="M21" s="77"/>
      <c r="N21" s="78"/>
      <c r="O21" s="66" t="str">
        <f>IF(M21="","",
 IF(M21="عدم پاسخ","بدون پاسخ",
 IF(L21="","اطلاعات ناقص",
 IF(L21&lt;=DATA!$M$1,"رعایت شده","رعایت نشده"))))</f>
        <v/>
      </c>
      <c r="P21" s="79"/>
      <c r="Q21" s="77"/>
      <c r="R21" s="79"/>
      <c r="S21" s="79"/>
      <c r="T21" s="78"/>
      <c r="U21" s="80"/>
      <c r="V21" s="78"/>
      <c r="W21" s="77" t="str">
        <f t="array" ref="W21">IF(D21="","",_xlfn.XLOOKUP(D21,DATA!B:B,DATA!L:L,""))</f>
        <v/>
      </c>
      <c r="X21" s="78" t="str">
        <f t="array" ref="X21">IF(F21="","",_xlfn.XLOOKUP(F21,DATA!B:B,DATA!L:L,""))</f>
        <v/>
      </c>
    </row>
    <row r="22">
      <c r="A22" s="81"/>
      <c r="B22" s="79"/>
      <c r="C22" s="57" t="str">
        <f t="array" ref="C22">iferror(_xlfn.XLOOKUP(D22,DATA!B:B,DATA!A:A),"")</f>
        <v/>
      </c>
      <c r="D22" s="82"/>
      <c r="E22" s="61" t="str">
        <f t="array" ref="E22">iferror(_xlfn.XLOOKUP(F22,DATA!B:B,DATA!A:A),"")</f>
        <v/>
      </c>
      <c r="F22" s="83"/>
      <c r="G22" s="78"/>
      <c r="H22" s="64" t="str">
        <f t="array" ref="H22">_xlfn.XLOOKUP(G22,DATA!D:D,DATA!E:E,"")</f>
        <v/>
      </c>
      <c r="I22" s="84"/>
      <c r="J22" s="23"/>
      <c r="K22" s="23"/>
      <c r="L22" s="66" t="str">
        <f t="shared" si="1"/>
        <v/>
      </c>
      <c r="M22" s="77"/>
      <c r="N22" s="78"/>
      <c r="O22" s="66" t="str">
        <f>IF(M22="","",
 IF(M22="عدم پاسخ","بدون پاسخ",
 IF(L22="","اطلاعات ناقص",
 IF(L22&lt;=DATA!$M$1,"رعایت شده","رعایت نشده"))))</f>
        <v/>
      </c>
      <c r="P22" s="79"/>
      <c r="Q22" s="77"/>
      <c r="R22" s="79"/>
      <c r="S22" s="79"/>
      <c r="T22" s="78"/>
      <c r="U22" s="80"/>
      <c r="V22" s="78"/>
      <c r="W22" s="77" t="str">
        <f t="array" ref="W22">IF(D22="","",_xlfn.XLOOKUP(D22,DATA!B:B,DATA!L:L,""))</f>
        <v/>
      </c>
      <c r="X22" s="78" t="str">
        <f t="array" ref="X22">IF(F22="","",_xlfn.XLOOKUP(F22,DATA!B:B,DATA!L:L,""))</f>
        <v/>
      </c>
    </row>
    <row r="23">
      <c r="A23" s="81"/>
      <c r="B23" s="79"/>
      <c r="C23" s="57" t="str">
        <f t="array" ref="C23">iferror(_xlfn.XLOOKUP(D23,DATA!B:B,DATA!A:A),"")</f>
        <v/>
      </c>
      <c r="D23" s="82"/>
      <c r="E23" s="61" t="str">
        <f t="array" ref="E23">iferror(_xlfn.XLOOKUP(F23,DATA!B:B,DATA!A:A),"")</f>
        <v/>
      </c>
      <c r="F23" s="83"/>
      <c r="G23" s="78"/>
      <c r="H23" s="64" t="str">
        <f t="array" ref="H23">_xlfn.XLOOKUP(G23,DATA!D:D,DATA!E:E,"")</f>
        <v/>
      </c>
      <c r="I23" s="84"/>
      <c r="J23" s="23"/>
      <c r="K23" s="23"/>
      <c r="L23" s="66" t="str">
        <f t="shared" si="1"/>
        <v/>
      </c>
      <c r="M23" s="77"/>
      <c r="N23" s="78"/>
      <c r="O23" s="66" t="str">
        <f>IF(M23="","",
 IF(M23="عدم پاسخ","بدون پاسخ",
 IF(L23="","اطلاعات ناقص",
 IF(L23&lt;=DATA!$M$1,"رعایت شده","رعایت نشده"))))</f>
        <v/>
      </c>
      <c r="P23" s="79"/>
      <c r="Q23" s="77"/>
      <c r="R23" s="79"/>
      <c r="S23" s="79"/>
      <c r="T23" s="78"/>
      <c r="U23" s="80"/>
      <c r="V23" s="78"/>
      <c r="W23" s="77" t="str">
        <f t="array" ref="W23">IF(D23="","",_xlfn.XLOOKUP(D23,DATA!B:B,DATA!L:L,""))</f>
        <v/>
      </c>
      <c r="X23" s="78" t="str">
        <f t="array" ref="X23">IF(F23="","",_xlfn.XLOOKUP(F23,DATA!B:B,DATA!L:L,""))</f>
        <v/>
      </c>
    </row>
    <row r="24">
      <c r="A24" s="81"/>
      <c r="B24" s="79"/>
      <c r="C24" s="57" t="str">
        <f t="array" ref="C24">iferror(_xlfn.XLOOKUP(D24,DATA!B:B,DATA!A:A),"")</f>
        <v/>
      </c>
      <c r="D24" s="82"/>
      <c r="E24" s="61" t="str">
        <f t="array" ref="E24">iferror(_xlfn.XLOOKUP(F24,DATA!B:B,DATA!A:A),"")</f>
        <v/>
      </c>
      <c r="F24" s="83"/>
      <c r="G24" s="78"/>
      <c r="H24" s="64" t="str">
        <f t="array" ref="H24">_xlfn.XLOOKUP(G24,DATA!D:D,DATA!E:E,"")</f>
        <v/>
      </c>
      <c r="I24" s="84"/>
      <c r="J24" s="23"/>
      <c r="K24" s="23"/>
      <c r="L24" s="66" t="str">
        <f t="shared" si="1"/>
        <v/>
      </c>
      <c r="M24" s="77"/>
      <c r="N24" s="78"/>
      <c r="O24" s="66" t="str">
        <f>IF(M24="","",
 IF(M24="عدم پاسخ","بدون پاسخ",
 IF(L24="","اطلاعات ناقص",
 IF(L24&lt;=DATA!$M$1,"رعایت شده","رعایت نشده"))))</f>
        <v/>
      </c>
      <c r="P24" s="79"/>
      <c r="Q24" s="77"/>
      <c r="R24" s="79"/>
      <c r="S24" s="79"/>
      <c r="T24" s="78"/>
      <c r="U24" s="80"/>
      <c r="V24" s="78"/>
      <c r="W24" s="77" t="str">
        <f t="array" ref="W24">IF(D24="","",_xlfn.XLOOKUP(D24,DATA!B:B,DATA!L:L,""))</f>
        <v/>
      </c>
      <c r="X24" s="78" t="str">
        <f t="array" ref="X24">IF(F24="","",_xlfn.XLOOKUP(F24,DATA!B:B,DATA!L:L,""))</f>
        <v/>
      </c>
    </row>
    <row r="25">
      <c r="A25" s="81"/>
      <c r="B25" s="79"/>
      <c r="C25" s="57" t="str">
        <f t="array" ref="C25">iferror(_xlfn.XLOOKUP(D25,DATA!B:B,DATA!A:A),"")</f>
        <v/>
      </c>
      <c r="D25" s="82"/>
      <c r="E25" s="61" t="str">
        <f t="array" ref="E25">iferror(_xlfn.XLOOKUP(F25,DATA!B:B,DATA!A:A),"")</f>
        <v/>
      </c>
      <c r="F25" s="83"/>
      <c r="G25" s="78"/>
      <c r="H25" s="64" t="str">
        <f t="array" ref="H25">_xlfn.XLOOKUP(G25,DATA!D:D,DATA!E:E,"")</f>
        <v/>
      </c>
      <c r="I25" s="84"/>
      <c r="J25" s="23"/>
      <c r="K25" s="23"/>
      <c r="L25" s="66" t="str">
        <f t="shared" si="1"/>
        <v/>
      </c>
      <c r="M25" s="77"/>
      <c r="N25" s="78"/>
      <c r="O25" s="66" t="str">
        <f>IF(M25="","",
 IF(M25="عدم پاسخ","بدون پاسخ",
 IF(L25="","اطلاعات ناقص",
 IF(L25&lt;=DATA!$M$1,"رعایت شده","رعایت نشده"))))</f>
        <v/>
      </c>
      <c r="P25" s="79"/>
      <c r="Q25" s="77"/>
      <c r="R25" s="79"/>
      <c r="S25" s="79"/>
      <c r="T25" s="78"/>
      <c r="U25" s="80"/>
      <c r="V25" s="78"/>
      <c r="W25" s="77" t="str">
        <f t="array" ref="W25">IF(D25="","",_xlfn.XLOOKUP(D25,DATA!B:B,DATA!L:L,""))</f>
        <v/>
      </c>
      <c r="X25" s="78" t="str">
        <f t="array" ref="X25">IF(F25="","",_xlfn.XLOOKUP(F25,DATA!B:B,DATA!L:L,""))</f>
        <v/>
      </c>
    </row>
    <row r="26">
      <c r="A26" s="81"/>
      <c r="B26" s="79"/>
      <c r="C26" s="57" t="str">
        <f t="array" ref="C26">iferror(_xlfn.XLOOKUP(D26,DATA!B:B,DATA!A:A),"")</f>
        <v/>
      </c>
      <c r="D26" s="82"/>
      <c r="E26" s="61" t="str">
        <f t="array" ref="E26">iferror(_xlfn.XLOOKUP(F26,DATA!B:B,DATA!A:A),"")</f>
        <v/>
      </c>
      <c r="F26" s="83"/>
      <c r="G26" s="78"/>
      <c r="H26" s="64" t="str">
        <f t="array" ref="H26">_xlfn.XLOOKUP(G26,DATA!D:D,DATA!E:E,"")</f>
        <v/>
      </c>
      <c r="I26" s="84"/>
      <c r="J26" s="23"/>
      <c r="K26" s="23"/>
      <c r="L26" s="66" t="str">
        <f t="shared" si="1"/>
        <v/>
      </c>
      <c r="M26" s="77"/>
      <c r="N26" s="78"/>
      <c r="O26" s="66" t="str">
        <f>IF(M26="","",
 IF(M26="عدم پاسخ","بدون پاسخ",
 IF(L26="","اطلاعات ناقص",
 IF(L26&lt;=DATA!$M$1,"رعایت شده","رعایت نشده"))))</f>
        <v/>
      </c>
      <c r="P26" s="79"/>
      <c r="Q26" s="77"/>
      <c r="R26" s="79"/>
      <c r="S26" s="79"/>
      <c r="T26" s="78"/>
      <c r="U26" s="80"/>
      <c r="V26" s="78"/>
      <c r="W26" s="77" t="str">
        <f t="array" ref="W26">IF(D26="","",_xlfn.XLOOKUP(D26,DATA!B:B,DATA!L:L,""))</f>
        <v/>
      </c>
      <c r="X26" s="78" t="str">
        <f t="array" ref="X26">IF(F26="","",_xlfn.XLOOKUP(F26,DATA!B:B,DATA!L:L,""))</f>
        <v/>
      </c>
    </row>
    <row r="27">
      <c r="A27" s="81"/>
      <c r="B27" s="79"/>
      <c r="C27" s="57" t="str">
        <f t="array" ref="C27">iferror(_xlfn.XLOOKUP(D27,DATA!B:B,DATA!A:A),"")</f>
        <v/>
      </c>
      <c r="D27" s="82"/>
      <c r="E27" s="61" t="str">
        <f t="array" ref="E27">iferror(_xlfn.XLOOKUP(F27,DATA!B:B,DATA!A:A),"")</f>
        <v/>
      </c>
      <c r="F27" s="83"/>
      <c r="G27" s="78"/>
      <c r="H27" s="64" t="str">
        <f t="array" ref="H27">_xlfn.XLOOKUP(G27,DATA!D:D,DATA!E:E,"")</f>
        <v/>
      </c>
      <c r="I27" s="84"/>
      <c r="J27" s="23"/>
      <c r="K27" s="23"/>
      <c r="L27" s="66" t="str">
        <f t="shared" si="1"/>
        <v/>
      </c>
      <c r="M27" s="77"/>
      <c r="N27" s="78"/>
      <c r="O27" s="66" t="str">
        <f>IF(M27="","",
 IF(M27="عدم پاسخ","بدون پاسخ",
 IF(L27="","اطلاعات ناقص",
 IF(L27&lt;=DATA!$M$1,"رعایت شده","رعایت نشده"))))</f>
        <v/>
      </c>
      <c r="P27" s="79"/>
      <c r="Q27" s="77"/>
      <c r="R27" s="79"/>
      <c r="S27" s="79"/>
      <c r="T27" s="78"/>
      <c r="U27" s="80"/>
      <c r="V27" s="78"/>
      <c r="W27" s="77" t="str">
        <f t="array" ref="W27">IF(D27="","",_xlfn.XLOOKUP(D27,DATA!B:B,DATA!L:L,""))</f>
        <v/>
      </c>
      <c r="X27" s="78" t="str">
        <f t="array" ref="X27">IF(F27="","",_xlfn.XLOOKUP(F27,DATA!B:B,DATA!L:L,""))</f>
        <v/>
      </c>
    </row>
    <row r="28">
      <c r="A28" s="81"/>
      <c r="B28" s="79"/>
      <c r="C28" s="57" t="str">
        <f t="array" ref="C28">iferror(_xlfn.XLOOKUP(D28,DATA!B:B,DATA!A:A),"")</f>
        <v/>
      </c>
      <c r="D28" s="82"/>
      <c r="E28" s="61" t="str">
        <f t="array" ref="E28">iferror(_xlfn.XLOOKUP(F28,DATA!B:B,DATA!A:A),"")</f>
        <v/>
      </c>
      <c r="F28" s="83"/>
      <c r="G28" s="78"/>
      <c r="H28" s="64" t="str">
        <f t="array" ref="H28">_xlfn.XLOOKUP(G28,DATA!D:D,DATA!E:E,"")</f>
        <v/>
      </c>
      <c r="I28" s="84"/>
      <c r="J28" s="23"/>
      <c r="K28" s="23"/>
      <c r="L28" s="66" t="str">
        <f t="shared" si="1"/>
        <v/>
      </c>
      <c r="M28" s="77"/>
      <c r="N28" s="78"/>
      <c r="O28" s="66" t="str">
        <f>IF(M28="","",
 IF(M28="عدم پاسخ","بدون پاسخ",
 IF(L28="","اطلاعات ناقص",
 IF(L28&lt;=DATA!$M$1,"رعایت شده","رعایت نشده"))))</f>
        <v/>
      </c>
      <c r="P28" s="79"/>
      <c r="Q28" s="77"/>
      <c r="R28" s="79"/>
      <c r="S28" s="79"/>
      <c r="T28" s="78"/>
      <c r="U28" s="80"/>
      <c r="V28" s="78"/>
      <c r="W28" s="77" t="str">
        <f t="array" ref="W28">IF(D28="","",_xlfn.XLOOKUP(D28,DATA!B:B,DATA!L:L,""))</f>
        <v/>
      </c>
      <c r="X28" s="78" t="str">
        <f t="array" ref="X28">IF(F28="","",_xlfn.XLOOKUP(F28,DATA!B:B,DATA!L:L,""))</f>
        <v/>
      </c>
    </row>
    <row r="29">
      <c r="A29" s="81"/>
      <c r="B29" s="79"/>
      <c r="C29" s="57" t="str">
        <f t="array" ref="C29">iferror(_xlfn.XLOOKUP(D29,DATA!B:B,DATA!A:A),"")</f>
        <v/>
      </c>
      <c r="D29" s="82"/>
      <c r="E29" s="61" t="str">
        <f t="array" ref="E29">iferror(_xlfn.XLOOKUP(F29,DATA!B:B,DATA!A:A),"")</f>
        <v/>
      </c>
      <c r="F29" s="83"/>
      <c r="G29" s="78"/>
      <c r="H29" s="64" t="str">
        <f t="array" ref="H29">_xlfn.XLOOKUP(G29,DATA!D:D,DATA!E:E,"")</f>
        <v/>
      </c>
      <c r="I29" s="84"/>
      <c r="J29" s="23"/>
      <c r="K29" s="23"/>
      <c r="L29" s="66" t="str">
        <f t="shared" si="1"/>
        <v/>
      </c>
      <c r="M29" s="77"/>
      <c r="N29" s="78"/>
      <c r="O29" s="66" t="str">
        <f>IF(M29="","",
 IF(M29="عدم پاسخ","بدون پاسخ",
 IF(L29="","اطلاعات ناقص",
 IF(L29&lt;=DATA!$M$1,"رعایت شده","رعایت نشده"))))</f>
        <v/>
      </c>
      <c r="P29" s="79"/>
      <c r="Q29" s="77"/>
      <c r="R29" s="79"/>
      <c r="S29" s="79"/>
      <c r="T29" s="78"/>
      <c r="U29" s="80"/>
      <c r="V29" s="78"/>
      <c r="W29" s="77" t="str">
        <f t="array" ref="W29">IF(D29="","",_xlfn.XLOOKUP(D29,DATA!B:B,DATA!L:L,""))</f>
        <v/>
      </c>
      <c r="X29" s="78" t="str">
        <f t="array" ref="X29">IF(F29="","",_xlfn.XLOOKUP(F29,DATA!B:B,DATA!L:L,""))</f>
        <v/>
      </c>
    </row>
    <row r="30">
      <c r="A30" s="81"/>
      <c r="B30" s="79"/>
      <c r="C30" s="57" t="str">
        <f t="array" ref="C30">iferror(_xlfn.XLOOKUP(D30,DATA!B:B,DATA!A:A),"")</f>
        <v/>
      </c>
      <c r="D30" s="82"/>
      <c r="E30" s="61" t="str">
        <f t="array" ref="E30">iferror(_xlfn.XLOOKUP(F30,DATA!B:B,DATA!A:A),"")</f>
        <v/>
      </c>
      <c r="F30" s="83"/>
      <c r="G30" s="78"/>
      <c r="H30" s="64" t="str">
        <f t="array" ref="H30">_xlfn.XLOOKUP(G30,DATA!D:D,DATA!E:E,"")</f>
        <v/>
      </c>
      <c r="I30" s="84"/>
      <c r="J30" s="23"/>
      <c r="K30" s="23"/>
      <c r="L30" s="66" t="str">
        <f t="shared" si="1"/>
        <v/>
      </c>
      <c r="M30" s="77"/>
      <c r="N30" s="78"/>
      <c r="O30" s="66" t="str">
        <f>IF(M30="","",
 IF(M30="عدم پاسخ","بدون پاسخ",
 IF(L30="","اطلاعات ناقص",
 IF(L30&lt;=DATA!$M$1,"رعایت شده","رعایت نشده"))))</f>
        <v/>
      </c>
      <c r="P30" s="79"/>
      <c r="Q30" s="77"/>
      <c r="R30" s="79"/>
      <c r="S30" s="79"/>
      <c r="T30" s="78"/>
      <c r="U30" s="80"/>
      <c r="V30" s="78"/>
      <c r="W30" s="77" t="str">
        <f t="array" ref="W30">IF(D30="","",_xlfn.XLOOKUP(D30,DATA!B:B,DATA!L:L,""))</f>
        <v/>
      </c>
      <c r="X30" s="78" t="str">
        <f t="array" ref="X30">IF(F30="","",_xlfn.XLOOKUP(F30,DATA!B:B,DATA!L:L,""))</f>
        <v/>
      </c>
    </row>
    <row r="31">
      <c r="A31" s="81"/>
      <c r="B31" s="79"/>
      <c r="C31" s="57" t="str">
        <f t="array" ref="C31">iferror(_xlfn.XLOOKUP(D31,DATA!B:B,DATA!A:A),"")</f>
        <v/>
      </c>
      <c r="D31" s="82"/>
      <c r="E31" s="61" t="str">
        <f t="array" ref="E31">iferror(_xlfn.XLOOKUP(F31,DATA!B:B,DATA!A:A),"")</f>
        <v/>
      </c>
      <c r="F31" s="83"/>
      <c r="G31" s="78"/>
      <c r="H31" s="64" t="str">
        <f t="array" ref="H31">_xlfn.XLOOKUP(G31,DATA!D:D,DATA!E:E,"")</f>
        <v/>
      </c>
      <c r="I31" s="84"/>
      <c r="J31" s="23"/>
      <c r="K31" s="23"/>
      <c r="L31" s="66" t="str">
        <f t="shared" si="1"/>
        <v/>
      </c>
      <c r="M31" s="77"/>
      <c r="N31" s="78"/>
      <c r="O31" s="66" t="str">
        <f>IF(M31="","",
 IF(M31="عدم پاسخ","بدون پاسخ",
 IF(L31="","اطلاعات ناقص",
 IF(L31&lt;=DATA!$M$1,"رعایت شده","رعایت نشده"))))</f>
        <v/>
      </c>
      <c r="P31" s="79"/>
      <c r="Q31" s="77"/>
      <c r="R31" s="79"/>
      <c r="S31" s="79"/>
      <c r="T31" s="78"/>
      <c r="U31" s="80"/>
      <c r="V31" s="78"/>
      <c r="W31" s="77" t="str">
        <f t="array" ref="W31">IF(D31="","",_xlfn.XLOOKUP(D31,DATA!B:B,DATA!L:L,""))</f>
        <v/>
      </c>
      <c r="X31" s="78" t="str">
        <f t="array" ref="X31">IF(F31="","",_xlfn.XLOOKUP(F31,DATA!B:B,DATA!L:L,""))</f>
        <v/>
      </c>
    </row>
    <row r="32">
      <c r="A32" s="81"/>
      <c r="B32" s="79"/>
      <c r="C32" s="57" t="str">
        <f t="array" ref="C32">iferror(_xlfn.XLOOKUP(D32,DATA!B:B,DATA!A:A),"")</f>
        <v/>
      </c>
      <c r="D32" s="82"/>
      <c r="E32" s="61" t="str">
        <f t="array" ref="E32">iferror(_xlfn.XLOOKUP(F32,DATA!B:B,DATA!A:A),"")</f>
        <v/>
      </c>
      <c r="F32" s="83"/>
      <c r="G32" s="78"/>
      <c r="H32" s="64" t="str">
        <f t="array" ref="H32">_xlfn.XLOOKUP(G32,DATA!D:D,DATA!E:E,"")</f>
        <v/>
      </c>
      <c r="I32" s="84"/>
      <c r="J32" s="23"/>
      <c r="K32" s="23"/>
      <c r="L32" s="66" t="str">
        <f t="shared" si="1"/>
        <v/>
      </c>
      <c r="M32" s="77"/>
      <c r="N32" s="78"/>
      <c r="O32" s="66" t="str">
        <f>IF(M32="","",
 IF(M32="عدم پاسخ","بدون پاسخ",
 IF(L32="","اطلاعات ناقص",
 IF(L32&lt;=DATA!$M$1,"رعایت شده","رعایت نشده"))))</f>
        <v/>
      </c>
      <c r="P32" s="79"/>
      <c r="Q32" s="77"/>
      <c r="R32" s="79"/>
      <c r="S32" s="79"/>
      <c r="T32" s="78"/>
      <c r="U32" s="80"/>
      <c r="V32" s="78"/>
      <c r="W32" s="77" t="str">
        <f t="array" ref="W32">IF(D32="","",_xlfn.XLOOKUP(D32,DATA!B:B,DATA!L:L,""))</f>
        <v/>
      </c>
      <c r="X32" s="78" t="str">
        <f t="array" ref="X32">IF(F32="","",_xlfn.XLOOKUP(F32,DATA!B:B,DATA!L:L,""))</f>
        <v/>
      </c>
    </row>
    <row r="33">
      <c r="A33" s="81"/>
      <c r="B33" s="79"/>
      <c r="C33" s="57" t="str">
        <f t="array" ref="C33">iferror(_xlfn.XLOOKUP(D33,DATA!B:B,DATA!A:A),"")</f>
        <v/>
      </c>
      <c r="D33" s="82"/>
      <c r="E33" s="61" t="str">
        <f t="array" ref="E33">iferror(_xlfn.XLOOKUP(F33,DATA!B:B,DATA!A:A),"")</f>
        <v/>
      </c>
      <c r="F33" s="83"/>
      <c r="G33" s="78"/>
      <c r="H33" s="64" t="str">
        <f t="array" ref="H33">_xlfn.XLOOKUP(G33,DATA!D:D,DATA!E:E,"")</f>
        <v/>
      </c>
      <c r="I33" s="84"/>
      <c r="J33" s="23"/>
      <c r="K33" s="23"/>
      <c r="L33" s="66" t="str">
        <f t="shared" si="1"/>
        <v/>
      </c>
      <c r="M33" s="77"/>
      <c r="N33" s="78"/>
      <c r="O33" s="66" t="str">
        <f>IF(M33="","",
 IF(M33="عدم پاسخ","بدون پاسخ",
 IF(L33="","اطلاعات ناقص",
 IF(L33&lt;=DATA!$M$1,"رعایت شده","رعایت نشده"))))</f>
        <v/>
      </c>
      <c r="P33" s="79"/>
      <c r="Q33" s="77"/>
      <c r="R33" s="79"/>
      <c r="S33" s="79"/>
      <c r="T33" s="78"/>
      <c r="U33" s="80"/>
      <c r="V33" s="78"/>
      <c r="W33" s="77" t="str">
        <f t="array" ref="W33">IF(D33="","",_xlfn.XLOOKUP(D33,DATA!B:B,DATA!L:L,""))</f>
        <v/>
      </c>
      <c r="X33" s="78" t="str">
        <f t="array" ref="X33">IF(F33="","",_xlfn.XLOOKUP(F33,DATA!B:B,DATA!L:L,""))</f>
        <v/>
      </c>
    </row>
    <row r="34">
      <c r="A34" s="81"/>
      <c r="B34" s="79"/>
      <c r="C34" s="57" t="str">
        <f t="array" ref="C34">iferror(_xlfn.XLOOKUP(D34,DATA!B:B,DATA!A:A),"")</f>
        <v/>
      </c>
      <c r="D34" s="82"/>
      <c r="E34" s="61" t="str">
        <f t="array" ref="E34">iferror(_xlfn.XLOOKUP(F34,DATA!B:B,DATA!A:A),"")</f>
        <v/>
      </c>
      <c r="F34" s="83"/>
      <c r="G34" s="78"/>
      <c r="H34" s="64" t="str">
        <f t="array" ref="H34">_xlfn.XLOOKUP(G34,DATA!D:D,DATA!E:E,"")</f>
        <v/>
      </c>
      <c r="I34" s="84"/>
      <c r="J34" s="23"/>
      <c r="K34" s="23"/>
      <c r="L34" s="66" t="str">
        <f t="shared" si="1"/>
        <v/>
      </c>
      <c r="M34" s="77"/>
      <c r="N34" s="78"/>
      <c r="O34" s="66" t="str">
        <f>IF(M34="","",
 IF(M34="عدم پاسخ","بدون پاسخ",
 IF(L34="","اطلاعات ناقص",
 IF(L34&lt;=DATA!$M$1,"رعایت شده","رعایت نشده"))))</f>
        <v/>
      </c>
      <c r="P34" s="79"/>
      <c r="Q34" s="77"/>
      <c r="R34" s="79"/>
      <c r="S34" s="79"/>
      <c r="T34" s="78"/>
      <c r="U34" s="80"/>
      <c r="V34" s="78"/>
      <c r="W34" s="77" t="str">
        <f t="array" ref="W34">IF(D34="","",_xlfn.XLOOKUP(D34,DATA!B:B,DATA!L:L,""))</f>
        <v/>
      </c>
      <c r="X34" s="78" t="str">
        <f t="array" ref="X34">IF(F34="","",_xlfn.XLOOKUP(F34,DATA!B:B,DATA!L:L,""))</f>
        <v/>
      </c>
    </row>
    <row r="35">
      <c r="A35" s="81"/>
      <c r="B35" s="79"/>
      <c r="C35" s="57" t="str">
        <f t="array" ref="C35">iferror(_xlfn.XLOOKUP(D35,DATA!B:B,DATA!A:A),"")</f>
        <v/>
      </c>
      <c r="D35" s="82"/>
      <c r="E35" s="61" t="str">
        <f t="array" ref="E35">iferror(_xlfn.XLOOKUP(F35,DATA!B:B,DATA!A:A),"")</f>
        <v/>
      </c>
      <c r="F35" s="83"/>
      <c r="G35" s="78"/>
      <c r="H35" s="64" t="str">
        <f t="array" ref="H35">_xlfn.XLOOKUP(G35,DATA!D:D,DATA!E:E,"")</f>
        <v/>
      </c>
      <c r="I35" s="84"/>
      <c r="J35" s="23"/>
      <c r="K35" s="23"/>
      <c r="L35" s="66" t="str">
        <f t="shared" si="1"/>
        <v/>
      </c>
      <c r="M35" s="77"/>
      <c r="N35" s="78"/>
      <c r="O35" s="66" t="str">
        <f>IF(M35="","",
 IF(M35="عدم پاسخ","بدون پاسخ",
 IF(L35="","اطلاعات ناقص",
 IF(L35&lt;=DATA!$M$1,"رعایت شده","رعایت نشده"))))</f>
        <v/>
      </c>
      <c r="P35" s="79"/>
      <c r="Q35" s="77"/>
      <c r="R35" s="79"/>
      <c r="S35" s="79"/>
      <c r="T35" s="78"/>
      <c r="U35" s="80"/>
      <c r="V35" s="78"/>
      <c r="W35" s="77" t="str">
        <f t="array" ref="W35">IF(D35="","",_xlfn.XLOOKUP(D35,DATA!B:B,DATA!L:L,""))</f>
        <v/>
      </c>
      <c r="X35" s="78" t="str">
        <f t="array" ref="X35">IF(F35="","",_xlfn.XLOOKUP(F35,DATA!B:B,DATA!L:L,""))</f>
        <v/>
      </c>
    </row>
    <row r="36">
      <c r="A36" s="81"/>
      <c r="B36" s="79"/>
      <c r="C36" s="57" t="str">
        <f t="array" ref="C36">iferror(_xlfn.XLOOKUP(D36,DATA!B:B,DATA!A:A),"")</f>
        <v/>
      </c>
      <c r="D36" s="82"/>
      <c r="E36" s="61" t="str">
        <f t="array" ref="E36">iferror(_xlfn.XLOOKUP(F36,DATA!B:B,DATA!A:A),"")</f>
        <v/>
      </c>
      <c r="F36" s="83"/>
      <c r="G36" s="78"/>
      <c r="H36" s="64" t="str">
        <f t="array" ref="H36">_xlfn.XLOOKUP(G36,DATA!D:D,DATA!E:E,"")</f>
        <v/>
      </c>
      <c r="I36" s="84"/>
      <c r="J36" s="23"/>
      <c r="K36" s="23"/>
      <c r="L36" s="66" t="str">
        <f t="shared" si="1"/>
        <v/>
      </c>
      <c r="M36" s="77"/>
      <c r="N36" s="78"/>
      <c r="O36" s="66" t="str">
        <f>IF(M36="","",
 IF(M36="عدم پاسخ","بدون پاسخ",
 IF(L36="","اطلاعات ناقص",
 IF(L36&lt;=DATA!$M$1,"رعایت شده","رعایت نشده"))))</f>
        <v/>
      </c>
      <c r="P36" s="79"/>
      <c r="Q36" s="77"/>
      <c r="R36" s="79"/>
      <c r="S36" s="79"/>
      <c r="T36" s="78"/>
      <c r="U36" s="80"/>
      <c r="V36" s="78"/>
      <c r="W36" s="77" t="str">
        <f t="array" ref="W36">IF(D36="","",_xlfn.XLOOKUP(D36,DATA!B:B,DATA!L:L,""))</f>
        <v/>
      </c>
      <c r="X36" s="78" t="str">
        <f t="array" ref="X36">IF(F36="","",_xlfn.XLOOKUP(F36,DATA!B:B,DATA!L:L,""))</f>
        <v/>
      </c>
    </row>
    <row r="37">
      <c r="A37" s="81"/>
      <c r="B37" s="79"/>
      <c r="C37" s="57" t="str">
        <f t="array" ref="C37">iferror(_xlfn.XLOOKUP(D37,DATA!B:B,DATA!A:A),"")</f>
        <v/>
      </c>
      <c r="D37" s="82"/>
      <c r="E37" s="61" t="str">
        <f t="array" ref="E37">iferror(_xlfn.XLOOKUP(F37,DATA!B:B,DATA!A:A),"")</f>
        <v/>
      </c>
      <c r="F37" s="83"/>
      <c r="G37" s="78"/>
      <c r="H37" s="64" t="str">
        <f t="array" ref="H37">_xlfn.XLOOKUP(G37,DATA!D:D,DATA!E:E,"")</f>
        <v/>
      </c>
      <c r="I37" s="84"/>
      <c r="J37" s="23"/>
      <c r="K37" s="23"/>
      <c r="L37" s="66" t="str">
        <f t="shared" si="1"/>
        <v/>
      </c>
      <c r="M37" s="77"/>
      <c r="N37" s="78"/>
      <c r="O37" s="66" t="str">
        <f>IF(M37="","",
 IF(M37="عدم پاسخ","بدون پاسخ",
 IF(L37="","اطلاعات ناقص",
 IF(L37&lt;=DATA!$M$1,"رعایت شده","رعایت نشده"))))</f>
        <v/>
      </c>
      <c r="P37" s="79"/>
      <c r="Q37" s="77"/>
      <c r="R37" s="79"/>
      <c r="S37" s="79"/>
      <c r="T37" s="78"/>
      <c r="U37" s="80"/>
      <c r="V37" s="78"/>
      <c r="W37" s="77" t="str">
        <f t="array" ref="W37">IF(D37="","",_xlfn.XLOOKUP(D37,DATA!B:B,DATA!L:L,""))</f>
        <v/>
      </c>
      <c r="X37" s="78" t="str">
        <f t="array" ref="X37">IF(F37="","",_xlfn.XLOOKUP(F37,DATA!B:B,DATA!L:L,""))</f>
        <v/>
      </c>
    </row>
    <row r="38">
      <c r="A38" s="81"/>
      <c r="B38" s="79"/>
      <c r="C38" s="57" t="str">
        <f t="array" ref="C38">iferror(_xlfn.XLOOKUP(D38,DATA!B:B,DATA!A:A),"")</f>
        <v/>
      </c>
      <c r="D38" s="82"/>
      <c r="E38" s="61" t="str">
        <f t="array" ref="E38">iferror(_xlfn.XLOOKUP(F38,DATA!B:B,DATA!A:A),"")</f>
        <v/>
      </c>
      <c r="F38" s="83"/>
      <c r="G38" s="78"/>
      <c r="H38" s="64" t="str">
        <f t="array" ref="H38">_xlfn.XLOOKUP(G38,DATA!D:D,DATA!E:E,"")</f>
        <v/>
      </c>
      <c r="I38" s="84"/>
      <c r="J38" s="23"/>
      <c r="K38" s="23"/>
      <c r="L38" s="66" t="str">
        <f t="shared" si="1"/>
        <v/>
      </c>
      <c r="M38" s="77"/>
      <c r="N38" s="78"/>
      <c r="O38" s="66" t="str">
        <f>IF(M38="","",
 IF(M38="عدم پاسخ","بدون پاسخ",
 IF(L38="","اطلاعات ناقص",
 IF(L38&lt;=DATA!$M$1,"رعایت شده","رعایت نشده"))))</f>
        <v/>
      </c>
      <c r="P38" s="79"/>
      <c r="Q38" s="77"/>
      <c r="R38" s="79"/>
      <c r="S38" s="79"/>
      <c r="T38" s="78"/>
      <c r="U38" s="80"/>
      <c r="V38" s="78"/>
      <c r="W38" s="77" t="str">
        <f t="array" ref="W38">IF(D38="","",_xlfn.XLOOKUP(D38,DATA!B:B,DATA!L:L,""))</f>
        <v/>
      </c>
      <c r="X38" s="78" t="str">
        <f t="array" ref="X38">IF(F38="","",_xlfn.XLOOKUP(F38,DATA!B:B,DATA!L:L,""))</f>
        <v/>
      </c>
    </row>
    <row r="39">
      <c r="A39" s="81"/>
      <c r="B39" s="79"/>
      <c r="C39" s="57" t="str">
        <f t="array" ref="C39">iferror(_xlfn.XLOOKUP(D39,DATA!B:B,DATA!A:A),"")</f>
        <v/>
      </c>
      <c r="D39" s="82"/>
      <c r="E39" s="61" t="str">
        <f t="array" ref="E39">iferror(_xlfn.XLOOKUP(F39,DATA!B:B,DATA!A:A),"")</f>
        <v/>
      </c>
      <c r="F39" s="83"/>
      <c r="G39" s="78"/>
      <c r="H39" s="64" t="str">
        <f t="array" ref="H39">_xlfn.XLOOKUP(G39,DATA!D:D,DATA!E:E,"")</f>
        <v/>
      </c>
      <c r="I39" s="84"/>
      <c r="J39" s="23"/>
      <c r="K39" s="23"/>
      <c r="L39" s="66" t="str">
        <f t="shared" si="1"/>
        <v/>
      </c>
      <c r="M39" s="77"/>
      <c r="N39" s="78"/>
      <c r="O39" s="66" t="str">
        <f>IF(M39="","",
 IF(M39="عدم پاسخ","بدون پاسخ",
 IF(L39="","اطلاعات ناقص",
 IF(L39&lt;=DATA!$M$1,"رعایت شده","رعایت نشده"))))</f>
        <v/>
      </c>
      <c r="P39" s="79"/>
      <c r="Q39" s="77"/>
      <c r="R39" s="79"/>
      <c r="S39" s="79"/>
      <c r="T39" s="78"/>
      <c r="U39" s="80"/>
      <c r="V39" s="78"/>
      <c r="W39" s="77" t="str">
        <f t="array" ref="W39">IF(D39="","",_xlfn.XLOOKUP(D39,DATA!B:B,DATA!L:L,""))</f>
        <v/>
      </c>
      <c r="X39" s="78" t="str">
        <f t="array" ref="X39">IF(F39="","",_xlfn.XLOOKUP(F39,DATA!B:B,DATA!L:L,""))</f>
        <v/>
      </c>
    </row>
    <row r="40">
      <c r="A40" s="81"/>
      <c r="B40" s="79"/>
      <c r="C40" s="57" t="str">
        <f t="array" ref="C40">iferror(_xlfn.XLOOKUP(D40,DATA!B:B,DATA!A:A),"")</f>
        <v/>
      </c>
      <c r="D40" s="82"/>
      <c r="E40" s="61" t="str">
        <f t="array" ref="E40">iferror(_xlfn.XLOOKUP(F40,DATA!B:B,DATA!A:A),"")</f>
        <v/>
      </c>
      <c r="F40" s="83"/>
      <c r="G40" s="78"/>
      <c r="H40" s="64" t="str">
        <f t="array" ref="H40">_xlfn.XLOOKUP(G40,DATA!D:D,DATA!E:E,"")</f>
        <v/>
      </c>
      <c r="I40" s="84"/>
      <c r="J40" s="23"/>
      <c r="K40" s="23"/>
      <c r="L40" s="66" t="str">
        <f t="shared" si="1"/>
        <v/>
      </c>
      <c r="M40" s="77"/>
      <c r="N40" s="78"/>
      <c r="O40" s="66" t="str">
        <f>IF(M40="","",
 IF(M40="عدم پاسخ","بدون پاسخ",
 IF(L40="","اطلاعات ناقص",
 IF(L40&lt;=DATA!$M$1,"رعایت شده","رعایت نشده"))))</f>
        <v/>
      </c>
      <c r="P40" s="79"/>
      <c r="Q40" s="77"/>
      <c r="R40" s="79"/>
      <c r="S40" s="79"/>
      <c r="T40" s="78"/>
      <c r="U40" s="80"/>
      <c r="V40" s="78"/>
      <c r="W40" s="77" t="str">
        <f t="array" ref="W40">IF(D40="","",_xlfn.XLOOKUP(D40,DATA!B:B,DATA!L:L,""))</f>
        <v/>
      </c>
      <c r="X40" s="78" t="str">
        <f t="array" ref="X40">IF(F40="","",_xlfn.XLOOKUP(F40,DATA!B:B,DATA!L:L,""))</f>
        <v/>
      </c>
    </row>
    <row r="41">
      <c r="A41" s="81"/>
      <c r="B41" s="79"/>
      <c r="C41" s="57" t="str">
        <f t="array" ref="C41">iferror(_xlfn.XLOOKUP(D41,DATA!B:B,DATA!A:A),"")</f>
        <v/>
      </c>
      <c r="D41" s="82"/>
      <c r="E41" s="61" t="str">
        <f t="array" ref="E41">iferror(_xlfn.XLOOKUP(F41,DATA!B:B,DATA!A:A),"")</f>
        <v/>
      </c>
      <c r="F41" s="83"/>
      <c r="G41" s="78"/>
      <c r="H41" s="64" t="str">
        <f t="array" ref="H41">_xlfn.XLOOKUP(G41,DATA!D:D,DATA!E:E,"")</f>
        <v/>
      </c>
      <c r="I41" s="84"/>
      <c r="J41" s="23"/>
      <c r="K41" s="23"/>
      <c r="L41" s="66" t="str">
        <f t="shared" si="1"/>
        <v/>
      </c>
      <c r="M41" s="77"/>
      <c r="N41" s="78"/>
      <c r="O41" s="66" t="str">
        <f>IF(M41="","",
 IF(M41="عدم پاسخ","بدون پاسخ",
 IF(L41="","اطلاعات ناقص",
 IF(L41&lt;=DATA!$M$1,"رعایت شده","رعایت نشده"))))</f>
        <v/>
      </c>
      <c r="P41" s="79"/>
      <c r="Q41" s="77"/>
      <c r="R41" s="79"/>
      <c r="S41" s="79"/>
      <c r="T41" s="78"/>
      <c r="U41" s="80"/>
      <c r="V41" s="78"/>
      <c r="W41" s="77" t="str">
        <f t="array" ref="W41">IF(D41="","",_xlfn.XLOOKUP(D41,DATA!B:B,DATA!L:L,""))</f>
        <v/>
      </c>
      <c r="X41" s="78" t="str">
        <f t="array" ref="X41">IF(F41="","",_xlfn.XLOOKUP(F41,DATA!B:B,DATA!L:L,""))</f>
        <v/>
      </c>
    </row>
    <row r="42">
      <c r="A42" s="81"/>
      <c r="B42" s="79"/>
      <c r="C42" s="57" t="str">
        <f t="array" ref="C42">iferror(_xlfn.XLOOKUP(D42,DATA!B:B,DATA!A:A),"")</f>
        <v/>
      </c>
      <c r="D42" s="82"/>
      <c r="E42" s="61" t="str">
        <f t="array" ref="E42">iferror(_xlfn.XLOOKUP(F42,DATA!B:B,DATA!A:A),"")</f>
        <v/>
      </c>
      <c r="F42" s="83"/>
      <c r="G42" s="78"/>
      <c r="H42" s="64" t="str">
        <f t="array" ref="H42">_xlfn.XLOOKUP(G42,DATA!D:D,DATA!E:E,"")</f>
        <v/>
      </c>
      <c r="I42" s="84"/>
      <c r="J42" s="23"/>
      <c r="K42" s="23"/>
      <c r="L42" s="66" t="str">
        <f t="shared" si="1"/>
        <v/>
      </c>
      <c r="M42" s="77"/>
      <c r="N42" s="78"/>
      <c r="O42" s="66" t="str">
        <f>IF(M42="","",
 IF(M42="عدم پاسخ","بدون پاسخ",
 IF(L42="","اطلاعات ناقص",
 IF(L42&lt;=DATA!$M$1,"رعایت شده","رعایت نشده"))))</f>
        <v/>
      </c>
      <c r="P42" s="79"/>
      <c r="Q42" s="77"/>
      <c r="R42" s="79"/>
      <c r="S42" s="79"/>
      <c r="T42" s="78"/>
      <c r="U42" s="80"/>
      <c r="V42" s="78"/>
      <c r="W42" s="77" t="str">
        <f t="array" ref="W42">IF(D42="","",_xlfn.XLOOKUP(D42,DATA!B:B,DATA!L:L,""))</f>
        <v/>
      </c>
      <c r="X42" s="78" t="str">
        <f t="array" ref="X42">IF(F42="","",_xlfn.XLOOKUP(F42,DATA!B:B,DATA!L:L,""))</f>
        <v/>
      </c>
    </row>
    <row r="43">
      <c r="A43" s="81"/>
      <c r="B43" s="79"/>
      <c r="C43" s="57" t="str">
        <f t="array" ref="C43">iferror(_xlfn.XLOOKUP(D43,DATA!B:B,DATA!A:A),"")</f>
        <v/>
      </c>
      <c r="D43" s="82"/>
      <c r="E43" s="61" t="str">
        <f t="array" ref="E43">iferror(_xlfn.XLOOKUP(F43,DATA!B:B,DATA!A:A),"")</f>
        <v/>
      </c>
      <c r="F43" s="83"/>
      <c r="G43" s="78"/>
      <c r="H43" s="64" t="str">
        <f t="array" ref="H43">_xlfn.XLOOKUP(G43,DATA!D:D,DATA!E:E,"")</f>
        <v/>
      </c>
      <c r="I43" s="84"/>
      <c r="J43" s="23"/>
      <c r="K43" s="23"/>
      <c r="L43" s="66" t="str">
        <f t="shared" si="1"/>
        <v/>
      </c>
      <c r="M43" s="77"/>
      <c r="N43" s="78"/>
      <c r="O43" s="66" t="str">
        <f>IF(M43="","",
 IF(M43="عدم پاسخ","بدون پاسخ",
 IF(L43="","اطلاعات ناقص",
 IF(L43&lt;=DATA!$M$1,"رعایت شده","رعایت نشده"))))</f>
        <v/>
      </c>
      <c r="P43" s="79"/>
      <c r="Q43" s="77"/>
      <c r="R43" s="79"/>
      <c r="S43" s="79"/>
      <c r="T43" s="78"/>
      <c r="U43" s="80"/>
      <c r="V43" s="78"/>
      <c r="W43" s="77" t="str">
        <f t="array" ref="W43">IF(D43="","",_xlfn.XLOOKUP(D43,DATA!B:B,DATA!L:L,""))</f>
        <v/>
      </c>
      <c r="X43" s="78" t="str">
        <f t="array" ref="X43">IF(F43="","",_xlfn.XLOOKUP(F43,DATA!B:B,DATA!L:L,""))</f>
        <v/>
      </c>
    </row>
    <row r="44">
      <c r="A44" s="81"/>
      <c r="B44" s="79"/>
      <c r="C44" s="57" t="str">
        <f t="array" ref="C44">iferror(_xlfn.XLOOKUP(D44,DATA!B:B,DATA!A:A),"")</f>
        <v/>
      </c>
      <c r="D44" s="82"/>
      <c r="E44" s="61" t="str">
        <f t="array" ref="E44">iferror(_xlfn.XLOOKUP(F44,DATA!B:B,DATA!A:A),"")</f>
        <v/>
      </c>
      <c r="F44" s="83"/>
      <c r="G44" s="78"/>
      <c r="H44" s="64" t="str">
        <f t="array" ref="H44">_xlfn.XLOOKUP(G44,DATA!D:D,DATA!E:E,"")</f>
        <v/>
      </c>
      <c r="I44" s="84"/>
      <c r="J44" s="23"/>
      <c r="K44" s="23"/>
      <c r="L44" s="66" t="str">
        <f t="shared" si="1"/>
        <v/>
      </c>
      <c r="M44" s="77"/>
      <c r="N44" s="78"/>
      <c r="O44" s="66" t="str">
        <f>IF(M44="","",
 IF(M44="عدم پاسخ","بدون پاسخ",
 IF(L44="","اطلاعات ناقص",
 IF(L44&lt;=DATA!$M$1,"رعایت شده","رعایت نشده"))))</f>
        <v/>
      </c>
      <c r="P44" s="79"/>
      <c r="Q44" s="77"/>
      <c r="R44" s="79"/>
      <c r="S44" s="79"/>
      <c r="T44" s="78"/>
      <c r="U44" s="80"/>
      <c r="V44" s="78"/>
      <c r="W44" s="77" t="str">
        <f t="array" ref="W44">IF(D44="","",_xlfn.XLOOKUP(D44,DATA!B:B,DATA!L:L,""))</f>
        <v/>
      </c>
      <c r="X44" s="78" t="str">
        <f t="array" ref="X44">IF(F44="","",_xlfn.XLOOKUP(F44,DATA!B:B,DATA!L:L,""))</f>
        <v/>
      </c>
    </row>
    <row r="45">
      <c r="A45" s="81"/>
      <c r="B45" s="79"/>
      <c r="C45" s="57" t="str">
        <f t="array" ref="C45">iferror(_xlfn.XLOOKUP(D45,DATA!B:B,DATA!A:A),"")</f>
        <v/>
      </c>
      <c r="D45" s="82"/>
      <c r="E45" s="61" t="str">
        <f t="array" ref="E45">iferror(_xlfn.XLOOKUP(F45,DATA!B:B,DATA!A:A),"")</f>
        <v/>
      </c>
      <c r="F45" s="83"/>
      <c r="G45" s="78"/>
      <c r="H45" s="64" t="str">
        <f t="array" ref="H45">_xlfn.XLOOKUP(G45,DATA!D:D,DATA!E:E,"")</f>
        <v/>
      </c>
      <c r="I45" s="84"/>
      <c r="J45" s="23"/>
      <c r="K45" s="23"/>
      <c r="L45" s="66" t="str">
        <f t="shared" si="1"/>
        <v/>
      </c>
      <c r="M45" s="77"/>
      <c r="N45" s="78"/>
      <c r="O45" s="66" t="str">
        <f>IF(M45="","",
 IF(M45="عدم پاسخ","بدون پاسخ",
 IF(L45="","اطلاعات ناقص",
 IF(L45&lt;=DATA!$M$1,"رعایت شده","رعایت نشده"))))</f>
        <v/>
      </c>
      <c r="P45" s="79"/>
      <c r="Q45" s="77"/>
      <c r="R45" s="79"/>
      <c r="S45" s="79"/>
      <c r="T45" s="78"/>
      <c r="U45" s="80"/>
      <c r="V45" s="78"/>
      <c r="W45" s="77" t="str">
        <f t="array" ref="W45">IF(D45="","",_xlfn.XLOOKUP(D45,DATA!B:B,DATA!L:L,""))</f>
        <v/>
      </c>
      <c r="X45" s="78" t="str">
        <f t="array" ref="X45">IF(F45="","",_xlfn.XLOOKUP(F45,DATA!B:B,DATA!L:L,""))</f>
        <v/>
      </c>
    </row>
    <row r="46">
      <c r="A46" s="81"/>
      <c r="B46" s="79"/>
      <c r="C46" s="57" t="str">
        <f t="array" ref="C46">iferror(_xlfn.XLOOKUP(D46,DATA!B:B,DATA!A:A),"")</f>
        <v/>
      </c>
      <c r="D46" s="82"/>
      <c r="E46" s="61" t="str">
        <f t="array" ref="E46">iferror(_xlfn.XLOOKUP(F46,DATA!B:B,DATA!A:A),"")</f>
        <v/>
      </c>
      <c r="F46" s="83"/>
      <c r="G46" s="78"/>
      <c r="H46" s="64" t="str">
        <f t="array" ref="H46">_xlfn.XLOOKUP(G46,DATA!D:D,DATA!E:E,"")</f>
        <v/>
      </c>
      <c r="I46" s="84"/>
      <c r="J46" s="23"/>
      <c r="K46" s="23"/>
      <c r="L46" s="66" t="str">
        <f t="shared" si="1"/>
        <v/>
      </c>
      <c r="M46" s="77"/>
      <c r="N46" s="78"/>
      <c r="O46" s="66" t="str">
        <f>IF(M46="","",
 IF(M46="عدم پاسخ","بدون پاسخ",
 IF(L46="","اطلاعات ناقص",
 IF(L46&lt;=DATA!$M$1,"رعایت شده","رعایت نشده"))))</f>
        <v/>
      </c>
      <c r="P46" s="79"/>
      <c r="Q46" s="77"/>
      <c r="R46" s="79"/>
      <c r="S46" s="79"/>
      <c r="T46" s="78"/>
      <c r="U46" s="80"/>
      <c r="V46" s="78"/>
      <c r="W46" s="77" t="str">
        <f t="array" ref="W46">IF(D46="","",_xlfn.XLOOKUP(D46,DATA!B:B,DATA!L:L,""))</f>
        <v/>
      </c>
      <c r="X46" s="78" t="str">
        <f t="array" ref="X46">IF(F46="","",_xlfn.XLOOKUP(F46,DATA!B:B,DATA!L:L,""))</f>
        <v/>
      </c>
    </row>
    <row r="47">
      <c r="A47" s="81"/>
      <c r="B47" s="79"/>
      <c r="C47" s="57" t="str">
        <f t="array" ref="C47">iferror(_xlfn.XLOOKUP(D47,DATA!B:B,DATA!A:A),"")</f>
        <v/>
      </c>
      <c r="D47" s="82"/>
      <c r="E47" s="61" t="str">
        <f t="array" ref="E47">iferror(_xlfn.XLOOKUP(F47,DATA!B:B,DATA!A:A),"")</f>
        <v/>
      </c>
      <c r="F47" s="83"/>
      <c r="G47" s="78"/>
      <c r="H47" s="64" t="str">
        <f t="array" ref="H47">_xlfn.XLOOKUP(G47,DATA!D:D,DATA!E:E,"")</f>
        <v/>
      </c>
      <c r="I47" s="84"/>
      <c r="J47" s="23"/>
      <c r="K47" s="23"/>
      <c r="L47" s="66" t="str">
        <f t="shared" si="1"/>
        <v/>
      </c>
      <c r="M47" s="77"/>
      <c r="N47" s="78"/>
      <c r="O47" s="66" t="str">
        <f>IF(M47="","",
 IF(M47="عدم پاسخ","بدون پاسخ",
 IF(L47="","اطلاعات ناقص",
 IF(L47&lt;=DATA!$M$1,"رعایت شده","رعایت نشده"))))</f>
        <v/>
      </c>
      <c r="P47" s="79"/>
      <c r="Q47" s="77"/>
      <c r="R47" s="79"/>
      <c r="S47" s="79"/>
      <c r="T47" s="78"/>
      <c r="U47" s="80"/>
      <c r="V47" s="78"/>
      <c r="W47" s="77" t="str">
        <f t="array" ref="W47">IF(D47="","",_xlfn.XLOOKUP(D47,DATA!B:B,DATA!L:L,""))</f>
        <v/>
      </c>
      <c r="X47" s="78" t="str">
        <f t="array" ref="X47">IF(F47="","",_xlfn.XLOOKUP(F47,DATA!B:B,DATA!L:L,""))</f>
        <v/>
      </c>
    </row>
    <row r="48">
      <c r="A48" s="81"/>
      <c r="B48" s="79"/>
      <c r="C48" s="57" t="str">
        <f t="array" ref="C48">iferror(_xlfn.XLOOKUP(D48,DATA!B:B,DATA!A:A),"")</f>
        <v/>
      </c>
      <c r="D48" s="82"/>
      <c r="E48" s="61" t="str">
        <f t="array" ref="E48">iferror(_xlfn.XLOOKUP(F48,DATA!B:B,DATA!A:A),"")</f>
        <v/>
      </c>
      <c r="F48" s="83"/>
      <c r="G48" s="78"/>
      <c r="H48" s="64" t="str">
        <f t="array" ref="H48">_xlfn.XLOOKUP(G48,DATA!D:D,DATA!E:E,"")</f>
        <v/>
      </c>
      <c r="I48" s="84"/>
      <c r="J48" s="23"/>
      <c r="K48" s="23"/>
      <c r="L48" s="66" t="str">
        <f t="shared" si="1"/>
        <v/>
      </c>
      <c r="M48" s="77"/>
      <c r="N48" s="78"/>
      <c r="O48" s="66" t="str">
        <f>IF(M48="","",
 IF(M48="عدم پاسخ","بدون پاسخ",
 IF(L48="","اطلاعات ناقص",
 IF(L48&lt;=DATA!$M$1,"رعایت شده","رعایت نشده"))))</f>
        <v/>
      </c>
      <c r="P48" s="79"/>
      <c r="Q48" s="77"/>
      <c r="R48" s="79"/>
      <c r="S48" s="79"/>
      <c r="T48" s="78"/>
      <c r="U48" s="80"/>
      <c r="V48" s="78"/>
      <c r="W48" s="77" t="str">
        <f t="array" ref="W48">IF(D48="","",_xlfn.XLOOKUP(D48,DATA!B:B,DATA!L:L,""))</f>
        <v/>
      </c>
      <c r="X48" s="78" t="str">
        <f t="array" ref="X48">IF(F48="","",_xlfn.XLOOKUP(F48,DATA!B:B,DATA!L:L,""))</f>
        <v/>
      </c>
    </row>
    <row r="49">
      <c r="A49" s="81"/>
      <c r="B49" s="79"/>
      <c r="C49" s="57" t="str">
        <f t="array" ref="C49">iferror(_xlfn.XLOOKUP(D49,DATA!B:B,DATA!A:A),"")</f>
        <v/>
      </c>
      <c r="D49" s="82"/>
      <c r="E49" s="61" t="str">
        <f t="array" ref="E49">iferror(_xlfn.XLOOKUP(F49,DATA!B:B,DATA!A:A),"")</f>
        <v/>
      </c>
      <c r="F49" s="83"/>
      <c r="G49" s="78"/>
      <c r="H49" s="64" t="str">
        <f t="array" ref="H49">_xlfn.XLOOKUP(G49,DATA!D:D,DATA!E:E,"")</f>
        <v/>
      </c>
      <c r="I49" s="84"/>
      <c r="J49" s="23"/>
      <c r="K49" s="23"/>
      <c r="L49" s="66" t="str">
        <f t="shared" si="1"/>
        <v/>
      </c>
      <c r="M49" s="77"/>
      <c r="N49" s="78"/>
      <c r="O49" s="66" t="str">
        <f>IF(M49="","",
 IF(M49="عدم پاسخ","بدون پاسخ",
 IF(L49="","اطلاعات ناقص",
 IF(L49&lt;=DATA!$M$1,"رعایت شده","رعایت نشده"))))</f>
        <v/>
      </c>
      <c r="P49" s="79"/>
      <c r="Q49" s="77"/>
      <c r="R49" s="79"/>
      <c r="S49" s="79"/>
      <c r="T49" s="78"/>
      <c r="U49" s="80"/>
      <c r="V49" s="78"/>
      <c r="W49" s="77" t="str">
        <f t="array" ref="W49">IF(D49="","",_xlfn.XLOOKUP(D49,DATA!B:B,DATA!L:L,""))</f>
        <v/>
      </c>
      <c r="X49" s="78" t="str">
        <f t="array" ref="X49">IF(F49="","",_xlfn.XLOOKUP(F49,DATA!B:B,DATA!L:L,""))</f>
        <v/>
      </c>
    </row>
    <row r="50">
      <c r="A50" s="81"/>
      <c r="B50" s="79"/>
      <c r="C50" s="57" t="str">
        <f t="array" ref="C50">iferror(_xlfn.XLOOKUP(D50,DATA!B:B,DATA!A:A),"")</f>
        <v/>
      </c>
      <c r="D50" s="82"/>
      <c r="E50" s="61" t="str">
        <f t="array" ref="E50">iferror(_xlfn.XLOOKUP(F50,DATA!B:B,DATA!A:A),"")</f>
        <v/>
      </c>
      <c r="F50" s="83"/>
      <c r="G50" s="78"/>
      <c r="H50" s="64" t="str">
        <f t="array" ref="H50">_xlfn.XLOOKUP(G50,DATA!D:D,DATA!E:E,"")</f>
        <v/>
      </c>
      <c r="I50" s="84"/>
      <c r="J50" s="23"/>
      <c r="K50" s="23"/>
      <c r="L50" s="66" t="str">
        <f t="shared" si="1"/>
        <v/>
      </c>
      <c r="M50" s="77"/>
      <c r="N50" s="78"/>
      <c r="O50" s="66" t="str">
        <f>IF(M50="","",
 IF(M50="عدم پاسخ","بدون پاسخ",
 IF(L50="","اطلاعات ناقص",
 IF(L50&lt;=DATA!$M$1,"رعایت شده","رعایت نشده"))))</f>
        <v/>
      </c>
      <c r="P50" s="79"/>
      <c r="Q50" s="77"/>
      <c r="R50" s="79"/>
      <c r="S50" s="79"/>
      <c r="T50" s="78"/>
      <c r="U50" s="80"/>
      <c r="V50" s="78"/>
      <c r="W50" s="77" t="str">
        <f t="array" ref="W50">IF(D50="","",_xlfn.XLOOKUP(D50,DATA!B:B,DATA!L:L,""))</f>
        <v/>
      </c>
      <c r="X50" s="78" t="str">
        <f t="array" ref="X50">IF(F50="","",_xlfn.XLOOKUP(F50,DATA!B:B,DATA!L:L,""))</f>
        <v/>
      </c>
    </row>
    <row r="51">
      <c r="A51" s="81"/>
      <c r="B51" s="79"/>
      <c r="C51" s="57" t="str">
        <f t="array" ref="C51">iferror(_xlfn.XLOOKUP(D51,DATA!B:B,DATA!A:A),"")</f>
        <v/>
      </c>
      <c r="D51" s="82"/>
      <c r="E51" s="61" t="str">
        <f t="array" ref="E51">iferror(_xlfn.XLOOKUP(F51,DATA!B:B,DATA!A:A),"")</f>
        <v/>
      </c>
      <c r="F51" s="83"/>
      <c r="G51" s="78"/>
      <c r="H51" s="64" t="str">
        <f t="array" ref="H51">_xlfn.XLOOKUP(G51,DATA!D:D,DATA!E:E,"")</f>
        <v/>
      </c>
      <c r="I51" s="84"/>
      <c r="J51" s="23"/>
      <c r="K51" s="23"/>
      <c r="L51" s="66" t="str">
        <f t="shared" si="1"/>
        <v/>
      </c>
      <c r="M51" s="77"/>
      <c r="N51" s="78"/>
      <c r="O51" s="66" t="str">
        <f>IF(M51="","",
 IF(M51="عدم پاسخ","بدون پاسخ",
 IF(L51="","اطلاعات ناقص",
 IF(L51&lt;=DATA!$M$1,"رعایت شده","رعایت نشده"))))</f>
        <v/>
      </c>
      <c r="P51" s="79"/>
      <c r="Q51" s="77"/>
      <c r="R51" s="79"/>
      <c r="S51" s="79"/>
      <c r="T51" s="78"/>
      <c r="U51" s="80"/>
      <c r="V51" s="78"/>
      <c r="W51" s="77" t="str">
        <f t="array" ref="W51">IF(D51="","",_xlfn.XLOOKUP(D51,DATA!B:B,DATA!L:L,""))</f>
        <v/>
      </c>
      <c r="X51" s="78" t="str">
        <f t="array" ref="X51">IF(F51="","",_xlfn.XLOOKUP(F51,DATA!B:B,DATA!L:L,""))</f>
        <v/>
      </c>
    </row>
    <row r="52">
      <c r="A52" s="81"/>
      <c r="B52" s="79"/>
      <c r="C52" s="57" t="str">
        <f t="array" ref="C52">iferror(_xlfn.XLOOKUP(D52,DATA!B:B,DATA!A:A),"")</f>
        <v/>
      </c>
      <c r="D52" s="82"/>
      <c r="E52" s="61" t="str">
        <f t="array" ref="E52">iferror(_xlfn.XLOOKUP(F52,DATA!B:B,DATA!A:A),"")</f>
        <v/>
      </c>
      <c r="F52" s="83"/>
      <c r="G52" s="78"/>
      <c r="H52" s="64" t="str">
        <f t="array" ref="H52">_xlfn.XLOOKUP(G52,DATA!D:D,DATA!E:E,"")</f>
        <v/>
      </c>
      <c r="I52" s="84"/>
      <c r="J52" s="23"/>
      <c r="K52" s="23"/>
      <c r="L52" s="66" t="str">
        <f t="shared" si="1"/>
        <v/>
      </c>
      <c r="M52" s="77"/>
      <c r="N52" s="78"/>
      <c r="O52" s="66" t="str">
        <f>IF(M52="","",
 IF(M52="عدم پاسخ","بدون پاسخ",
 IF(L52="","اطلاعات ناقص",
 IF(L52&lt;=DATA!$M$1,"رعایت شده","رعایت نشده"))))</f>
        <v/>
      </c>
      <c r="P52" s="79"/>
      <c r="Q52" s="77"/>
      <c r="R52" s="79"/>
      <c r="S52" s="79"/>
      <c r="T52" s="78"/>
      <c r="U52" s="80"/>
      <c r="V52" s="78"/>
      <c r="W52" s="77" t="str">
        <f t="array" ref="W52">IF(D52="","",_xlfn.XLOOKUP(D52,DATA!B:B,DATA!L:L,""))</f>
        <v/>
      </c>
      <c r="X52" s="78" t="str">
        <f t="array" ref="X52">IF(F52="","",_xlfn.XLOOKUP(F52,DATA!B:B,DATA!L:L,""))</f>
        <v/>
      </c>
    </row>
    <row r="53">
      <c r="A53" s="81"/>
      <c r="B53" s="79"/>
      <c r="C53" s="57" t="str">
        <f t="array" ref="C53">iferror(_xlfn.XLOOKUP(D53,DATA!B:B,DATA!A:A),"")</f>
        <v/>
      </c>
      <c r="D53" s="82"/>
      <c r="E53" s="61" t="str">
        <f t="array" ref="E53">iferror(_xlfn.XLOOKUP(F53,DATA!B:B,DATA!A:A),"")</f>
        <v/>
      </c>
      <c r="F53" s="83"/>
      <c r="G53" s="78"/>
      <c r="H53" s="64" t="str">
        <f t="array" ref="H53">_xlfn.XLOOKUP(G53,DATA!D:D,DATA!E:E,"")</f>
        <v/>
      </c>
      <c r="I53" s="84"/>
      <c r="J53" s="23"/>
      <c r="K53" s="23"/>
      <c r="L53" s="66" t="str">
        <f t="shared" si="1"/>
        <v/>
      </c>
      <c r="M53" s="77"/>
      <c r="N53" s="78"/>
      <c r="O53" s="66" t="str">
        <f>IF(M53="","",
 IF(M53="عدم پاسخ","بدون پاسخ",
 IF(L53="","اطلاعات ناقص",
 IF(L53&lt;=DATA!$M$1,"رعایت شده","رعایت نشده"))))</f>
        <v/>
      </c>
      <c r="P53" s="79"/>
      <c r="Q53" s="77"/>
      <c r="R53" s="79"/>
      <c r="S53" s="79"/>
      <c r="T53" s="78"/>
      <c r="U53" s="80"/>
      <c r="V53" s="78"/>
      <c r="W53" s="77" t="str">
        <f t="array" ref="W53">IF(D53="","",_xlfn.XLOOKUP(D53,DATA!B:B,DATA!L:L,""))</f>
        <v/>
      </c>
      <c r="X53" s="78" t="str">
        <f t="array" ref="X53">IF(F53="","",_xlfn.XLOOKUP(F53,DATA!B:B,DATA!L:L,""))</f>
        <v/>
      </c>
    </row>
    <row r="54">
      <c r="A54" s="81"/>
      <c r="B54" s="79"/>
      <c r="C54" s="57" t="str">
        <f t="array" ref="C54">iferror(_xlfn.XLOOKUP(D54,DATA!B:B,DATA!A:A),"")</f>
        <v/>
      </c>
      <c r="D54" s="82"/>
      <c r="E54" s="61" t="str">
        <f t="array" ref="E54">iferror(_xlfn.XLOOKUP(F54,DATA!B:B,DATA!A:A),"")</f>
        <v/>
      </c>
      <c r="F54" s="83"/>
      <c r="G54" s="78"/>
      <c r="H54" s="64" t="str">
        <f t="array" ref="H54">_xlfn.XLOOKUP(G54,DATA!D:D,DATA!E:E,"")</f>
        <v/>
      </c>
      <c r="I54" s="84"/>
      <c r="J54" s="23"/>
      <c r="K54" s="23"/>
      <c r="L54" s="66" t="str">
        <f t="shared" si="1"/>
        <v/>
      </c>
      <c r="M54" s="77"/>
      <c r="N54" s="78"/>
      <c r="O54" s="66" t="str">
        <f>IF(M54="","",
 IF(M54="عدم پاسخ","بدون پاسخ",
 IF(L54="","اطلاعات ناقص",
 IF(L54&lt;=DATA!$M$1,"رعایت شده","رعایت نشده"))))</f>
        <v/>
      </c>
      <c r="P54" s="79"/>
      <c r="Q54" s="77"/>
      <c r="R54" s="79"/>
      <c r="S54" s="79"/>
      <c r="T54" s="78"/>
      <c r="U54" s="80"/>
      <c r="V54" s="78"/>
      <c r="W54" s="77" t="str">
        <f t="array" ref="W54">IF(D54="","",_xlfn.XLOOKUP(D54,DATA!B:B,DATA!L:L,""))</f>
        <v/>
      </c>
      <c r="X54" s="78" t="str">
        <f t="array" ref="X54">IF(F54="","",_xlfn.XLOOKUP(F54,DATA!B:B,DATA!L:L,""))</f>
        <v/>
      </c>
    </row>
    <row r="55">
      <c r="A55" s="81"/>
      <c r="B55" s="79"/>
      <c r="C55" s="57" t="str">
        <f t="array" ref="C55">iferror(_xlfn.XLOOKUP(D55,DATA!B:B,DATA!A:A),"")</f>
        <v/>
      </c>
      <c r="D55" s="82"/>
      <c r="E55" s="61" t="str">
        <f t="array" ref="E55">iferror(_xlfn.XLOOKUP(F55,DATA!B:B,DATA!A:A),"")</f>
        <v/>
      </c>
      <c r="F55" s="83"/>
      <c r="G55" s="78"/>
      <c r="H55" s="64" t="str">
        <f t="array" ref="H55">_xlfn.XLOOKUP(G55,DATA!D:D,DATA!E:E,"")</f>
        <v/>
      </c>
      <c r="I55" s="84"/>
      <c r="J55" s="23"/>
      <c r="K55" s="23"/>
      <c r="L55" s="66" t="str">
        <f t="shared" si="1"/>
        <v/>
      </c>
      <c r="M55" s="77"/>
      <c r="N55" s="78"/>
      <c r="O55" s="66" t="str">
        <f>IF(M55="","",
 IF(M55="عدم پاسخ","بدون پاسخ",
 IF(L55="","اطلاعات ناقص",
 IF(L55&lt;=DATA!$M$1,"رعایت شده","رعایت نشده"))))</f>
        <v/>
      </c>
      <c r="P55" s="79"/>
      <c r="Q55" s="77"/>
      <c r="R55" s="79"/>
      <c r="S55" s="79"/>
      <c r="T55" s="78"/>
      <c r="U55" s="80"/>
      <c r="V55" s="78"/>
      <c r="W55" s="77" t="str">
        <f t="array" ref="W55">IF(D55="","",_xlfn.XLOOKUP(D55,DATA!B:B,DATA!L:L,""))</f>
        <v/>
      </c>
      <c r="X55" s="78" t="str">
        <f t="array" ref="X55">IF(F55="","",_xlfn.XLOOKUP(F55,DATA!B:B,DATA!L:L,""))</f>
        <v/>
      </c>
    </row>
    <row r="56">
      <c r="A56" s="81"/>
      <c r="B56" s="79"/>
      <c r="C56" s="57" t="str">
        <f t="array" ref="C56">iferror(_xlfn.XLOOKUP(D56,DATA!B:B,DATA!A:A),"")</f>
        <v/>
      </c>
      <c r="D56" s="82"/>
      <c r="E56" s="61" t="str">
        <f t="array" ref="E56">iferror(_xlfn.XLOOKUP(F56,DATA!B:B,DATA!A:A),"")</f>
        <v/>
      </c>
      <c r="F56" s="83"/>
      <c r="G56" s="78"/>
      <c r="H56" s="64" t="str">
        <f t="array" ref="H56">_xlfn.XLOOKUP(G56,DATA!D:D,DATA!E:E,"")</f>
        <v/>
      </c>
      <c r="I56" s="84"/>
      <c r="J56" s="23"/>
      <c r="K56" s="23"/>
      <c r="L56" s="66" t="str">
        <f t="shared" si="1"/>
        <v/>
      </c>
      <c r="M56" s="77"/>
      <c r="N56" s="78"/>
      <c r="O56" s="66" t="str">
        <f>IF(M56="","",
 IF(M56="عدم پاسخ","بدون پاسخ",
 IF(L56="","اطلاعات ناقص",
 IF(L56&lt;=DATA!$M$1,"رعایت شده","رعایت نشده"))))</f>
        <v/>
      </c>
      <c r="P56" s="79"/>
      <c r="Q56" s="77"/>
      <c r="R56" s="79"/>
      <c r="S56" s="79"/>
      <c r="T56" s="78"/>
      <c r="U56" s="80"/>
      <c r="V56" s="78"/>
      <c r="W56" s="77" t="str">
        <f t="array" ref="W56">IF(D56="","",_xlfn.XLOOKUP(D56,DATA!B:B,DATA!L:L,""))</f>
        <v/>
      </c>
      <c r="X56" s="78" t="str">
        <f t="array" ref="X56">IF(F56="","",_xlfn.XLOOKUP(F56,DATA!B:B,DATA!L:L,""))</f>
        <v/>
      </c>
    </row>
    <row r="57">
      <c r="A57" s="81"/>
      <c r="B57" s="79"/>
      <c r="C57" s="57" t="str">
        <f t="array" ref="C57">iferror(_xlfn.XLOOKUP(D57,DATA!B:B,DATA!A:A),"")</f>
        <v/>
      </c>
      <c r="D57" s="82"/>
      <c r="E57" s="61" t="str">
        <f t="array" ref="E57">iferror(_xlfn.XLOOKUP(F57,DATA!B:B,DATA!A:A),"")</f>
        <v/>
      </c>
      <c r="F57" s="83"/>
      <c r="G57" s="78"/>
      <c r="H57" s="64" t="str">
        <f t="array" ref="H57">_xlfn.XLOOKUP(G57,DATA!D:D,DATA!E:E,"")</f>
        <v/>
      </c>
      <c r="I57" s="84"/>
      <c r="J57" s="23"/>
      <c r="K57" s="23"/>
      <c r="L57" s="66" t="str">
        <f t="shared" si="1"/>
        <v/>
      </c>
      <c r="M57" s="77"/>
      <c r="N57" s="78"/>
      <c r="O57" s="66" t="str">
        <f>IF(M57="","",
 IF(M57="عدم پاسخ","بدون پاسخ",
 IF(L57="","اطلاعات ناقص",
 IF(L57&lt;=DATA!$M$1,"رعایت شده","رعایت نشده"))))</f>
        <v/>
      </c>
      <c r="P57" s="79"/>
      <c r="Q57" s="77"/>
      <c r="R57" s="79"/>
      <c r="S57" s="79"/>
      <c r="T57" s="78"/>
      <c r="U57" s="80"/>
      <c r="V57" s="78"/>
      <c r="W57" s="77" t="str">
        <f t="array" ref="W57">IF(D57="","",_xlfn.XLOOKUP(D57,DATA!B:B,DATA!L:L,""))</f>
        <v/>
      </c>
      <c r="X57" s="78" t="str">
        <f t="array" ref="X57">IF(F57="","",_xlfn.XLOOKUP(F57,DATA!B:B,DATA!L:L,""))</f>
        <v/>
      </c>
    </row>
    <row r="58">
      <c r="A58" s="81"/>
      <c r="B58" s="79"/>
      <c r="C58" s="57" t="str">
        <f t="array" ref="C58">iferror(_xlfn.XLOOKUP(D58,DATA!B:B,DATA!A:A),"")</f>
        <v/>
      </c>
      <c r="D58" s="82"/>
      <c r="E58" s="61" t="str">
        <f t="array" ref="E58">iferror(_xlfn.XLOOKUP(F58,DATA!B:B,DATA!A:A),"")</f>
        <v/>
      </c>
      <c r="F58" s="83"/>
      <c r="G58" s="78"/>
      <c r="H58" s="64" t="str">
        <f t="array" ref="H58">_xlfn.XLOOKUP(G58,DATA!D:D,DATA!E:E,"")</f>
        <v/>
      </c>
      <c r="I58" s="84"/>
      <c r="J58" s="23"/>
      <c r="K58" s="23"/>
      <c r="L58" s="66" t="str">
        <f t="shared" si="1"/>
        <v/>
      </c>
      <c r="M58" s="77"/>
      <c r="N58" s="78"/>
      <c r="O58" s="66" t="str">
        <f>IF(M58="","",
 IF(M58="عدم پاسخ","بدون پاسخ",
 IF(L58="","اطلاعات ناقص",
 IF(L58&lt;=DATA!$M$1,"رعایت شده","رعایت نشده"))))</f>
        <v/>
      </c>
      <c r="P58" s="79"/>
      <c r="Q58" s="77"/>
      <c r="R58" s="79"/>
      <c r="S58" s="79"/>
      <c r="T58" s="78"/>
      <c r="U58" s="80"/>
      <c r="V58" s="78"/>
      <c r="W58" s="77" t="str">
        <f t="array" ref="W58">IF(D58="","",_xlfn.XLOOKUP(D58,DATA!B:B,DATA!L:L,""))</f>
        <v/>
      </c>
      <c r="X58" s="78" t="str">
        <f t="array" ref="X58">IF(F58="","",_xlfn.XLOOKUP(F58,DATA!B:B,DATA!L:L,""))</f>
        <v/>
      </c>
    </row>
    <row r="59">
      <c r="A59" s="81"/>
      <c r="B59" s="79"/>
      <c r="C59" s="57" t="str">
        <f t="array" ref="C59">iferror(_xlfn.XLOOKUP(D59,DATA!B:B,DATA!A:A),"")</f>
        <v/>
      </c>
      <c r="D59" s="82"/>
      <c r="E59" s="61" t="str">
        <f t="array" ref="E59">iferror(_xlfn.XLOOKUP(F59,DATA!B:B,DATA!A:A),"")</f>
        <v/>
      </c>
      <c r="F59" s="83"/>
      <c r="G59" s="78"/>
      <c r="H59" s="64" t="str">
        <f t="array" ref="H59">_xlfn.XLOOKUP(G59,DATA!D:D,DATA!E:E,"")</f>
        <v/>
      </c>
      <c r="I59" s="84"/>
      <c r="J59" s="23"/>
      <c r="K59" s="23"/>
      <c r="L59" s="66" t="str">
        <f t="shared" si="1"/>
        <v/>
      </c>
      <c r="M59" s="77"/>
      <c r="N59" s="78"/>
      <c r="O59" s="66" t="str">
        <f>IF(M59="","",
 IF(M59="عدم پاسخ","بدون پاسخ",
 IF(L59="","اطلاعات ناقص",
 IF(L59&lt;=DATA!$M$1,"رعایت شده","رعایت نشده"))))</f>
        <v/>
      </c>
      <c r="P59" s="79"/>
      <c r="Q59" s="77"/>
      <c r="R59" s="79"/>
      <c r="S59" s="79"/>
      <c r="T59" s="78"/>
      <c r="U59" s="80"/>
      <c r="V59" s="78"/>
      <c r="W59" s="77" t="str">
        <f t="array" ref="W59">IF(D59="","",_xlfn.XLOOKUP(D59,DATA!B:B,DATA!L:L,""))</f>
        <v/>
      </c>
      <c r="X59" s="78" t="str">
        <f t="array" ref="X59">IF(F59="","",_xlfn.XLOOKUP(F59,DATA!B:B,DATA!L:L,""))</f>
        <v/>
      </c>
    </row>
    <row r="60">
      <c r="A60" s="81"/>
      <c r="B60" s="79"/>
      <c r="C60" s="57" t="str">
        <f t="array" ref="C60">iferror(_xlfn.XLOOKUP(D60,DATA!B:B,DATA!A:A),"")</f>
        <v/>
      </c>
      <c r="D60" s="82"/>
      <c r="E60" s="61" t="str">
        <f t="array" ref="E60">iferror(_xlfn.XLOOKUP(F60,DATA!B:B,DATA!A:A),"")</f>
        <v/>
      </c>
      <c r="F60" s="83"/>
      <c r="G60" s="78"/>
      <c r="H60" s="64" t="str">
        <f t="array" ref="H60">_xlfn.XLOOKUP(G60,DATA!D:D,DATA!E:E,"")</f>
        <v/>
      </c>
      <c r="I60" s="84"/>
      <c r="J60" s="23"/>
      <c r="K60" s="23"/>
      <c r="L60" s="66" t="str">
        <f t="shared" si="1"/>
        <v/>
      </c>
      <c r="M60" s="77"/>
      <c r="N60" s="78"/>
      <c r="O60" s="66" t="str">
        <f>IF(M60="","",
 IF(M60="عدم پاسخ","بدون پاسخ",
 IF(L60="","اطلاعات ناقص",
 IF(L60&lt;=DATA!$M$1,"رعایت شده","رعایت نشده"))))</f>
        <v/>
      </c>
      <c r="P60" s="79"/>
      <c r="Q60" s="77"/>
      <c r="R60" s="79"/>
      <c r="S60" s="79"/>
      <c r="T60" s="78"/>
      <c r="U60" s="80"/>
      <c r="V60" s="78"/>
      <c r="W60" s="77" t="str">
        <f t="array" ref="W60">IF(D60="","",_xlfn.XLOOKUP(D60,DATA!B:B,DATA!L:L,""))</f>
        <v/>
      </c>
      <c r="X60" s="78" t="str">
        <f t="array" ref="X60">IF(F60="","",_xlfn.XLOOKUP(F60,DATA!B:B,DATA!L:L,""))</f>
        <v/>
      </c>
    </row>
    <row r="61">
      <c r="A61" s="81"/>
      <c r="B61" s="79"/>
      <c r="C61" s="57" t="str">
        <f t="array" ref="C61">iferror(_xlfn.XLOOKUP(D61,DATA!B:B,DATA!A:A),"")</f>
        <v/>
      </c>
      <c r="D61" s="82"/>
      <c r="E61" s="61" t="str">
        <f t="array" ref="E61">iferror(_xlfn.XLOOKUP(F61,DATA!B:B,DATA!A:A),"")</f>
        <v/>
      </c>
      <c r="F61" s="83"/>
      <c r="G61" s="78"/>
      <c r="H61" s="64" t="str">
        <f t="array" ref="H61">_xlfn.XLOOKUP(G61,DATA!D:D,DATA!E:E,"")</f>
        <v/>
      </c>
      <c r="I61" s="84"/>
      <c r="J61" s="23"/>
      <c r="K61" s="23"/>
      <c r="L61" s="66" t="str">
        <f t="shared" si="1"/>
        <v/>
      </c>
      <c r="M61" s="77"/>
      <c r="N61" s="78"/>
      <c r="O61" s="66" t="str">
        <f>IF(M61="","",
 IF(M61="عدم پاسخ","بدون پاسخ",
 IF(L61="","اطلاعات ناقص",
 IF(L61&lt;=DATA!$M$1,"رعایت شده","رعایت نشده"))))</f>
        <v/>
      </c>
      <c r="P61" s="79"/>
      <c r="Q61" s="77"/>
      <c r="R61" s="79"/>
      <c r="S61" s="79"/>
      <c r="T61" s="78"/>
      <c r="U61" s="80"/>
      <c r="V61" s="78"/>
      <c r="W61" s="77" t="str">
        <f t="array" ref="W61">IF(D61="","",_xlfn.XLOOKUP(D61,DATA!B:B,DATA!L:L,""))</f>
        <v/>
      </c>
      <c r="X61" s="78" t="str">
        <f t="array" ref="X61">IF(F61="","",_xlfn.XLOOKUP(F61,DATA!B:B,DATA!L:L,""))</f>
        <v/>
      </c>
    </row>
    <row r="62">
      <c r="A62" s="81"/>
      <c r="B62" s="79"/>
      <c r="C62" s="57" t="str">
        <f t="array" ref="C62">iferror(_xlfn.XLOOKUP(D62,DATA!B:B,DATA!A:A),"")</f>
        <v/>
      </c>
      <c r="D62" s="82"/>
      <c r="E62" s="61" t="str">
        <f t="array" ref="E62">iferror(_xlfn.XLOOKUP(F62,DATA!B:B,DATA!A:A),"")</f>
        <v/>
      </c>
      <c r="F62" s="83"/>
      <c r="G62" s="78"/>
      <c r="H62" s="64" t="str">
        <f t="array" ref="H62">_xlfn.XLOOKUP(G62,DATA!D:D,DATA!E:E,"")</f>
        <v/>
      </c>
      <c r="I62" s="84"/>
      <c r="J62" s="23"/>
      <c r="K62" s="23"/>
      <c r="L62" s="66" t="str">
        <f t="shared" si="1"/>
        <v/>
      </c>
      <c r="M62" s="77"/>
      <c r="N62" s="78"/>
      <c r="O62" s="66" t="str">
        <f>IF(M62="","",
 IF(M62="عدم پاسخ","بدون پاسخ",
 IF(L62="","اطلاعات ناقص",
 IF(L62&lt;=DATA!$M$1,"رعایت شده","رعایت نشده"))))</f>
        <v/>
      </c>
      <c r="P62" s="79"/>
      <c r="Q62" s="77"/>
      <c r="R62" s="79"/>
      <c r="S62" s="79"/>
      <c r="T62" s="78"/>
      <c r="U62" s="80"/>
      <c r="V62" s="78"/>
      <c r="W62" s="77" t="str">
        <f t="array" ref="W62">IF(D62="","",_xlfn.XLOOKUP(D62,DATA!B:B,DATA!L:L,""))</f>
        <v/>
      </c>
      <c r="X62" s="78" t="str">
        <f t="array" ref="X62">IF(F62="","",_xlfn.XLOOKUP(F62,DATA!B:B,DATA!L:L,""))</f>
        <v/>
      </c>
    </row>
    <row r="63">
      <c r="A63" s="81"/>
      <c r="B63" s="79"/>
      <c r="C63" s="57" t="str">
        <f t="array" ref="C63">iferror(_xlfn.XLOOKUP(D63,DATA!B:B,DATA!A:A),"")</f>
        <v/>
      </c>
      <c r="D63" s="82"/>
      <c r="E63" s="61" t="str">
        <f t="array" ref="E63">iferror(_xlfn.XLOOKUP(F63,DATA!B:B,DATA!A:A),"")</f>
        <v/>
      </c>
      <c r="F63" s="83"/>
      <c r="G63" s="78"/>
      <c r="H63" s="64" t="str">
        <f t="array" ref="H63">_xlfn.XLOOKUP(G63,DATA!D:D,DATA!E:E,"")</f>
        <v/>
      </c>
      <c r="I63" s="84"/>
      <c r="J63" s="23"/>
      <c r="K63" s="23"/>
      <c r="L63" s="66" t="str">
        <f t="shared" si="1"/>
        <v/>
      </c>
      <c r="M63" s="77"/>
      <c r="N63" s="78"/>
      <c r="O63" s="66" t="str">
        <f>IF(M63="","",
 IF(M63="عدم پاسخ","بدون پاسخ",
 IF(L63="","اطلاعات ناقص",
 IF(L63&lt;=DATA!$M$1,"رعایت شده","رعایت نشده"))))</f>
        <v/>
      </c>
      <c r="P63" s="79"/>
      <c r="Q63" s="77"/>
      <c r="R63" s="79"/>
      <c r="S63" s="79"/>
      <c r="T63" s="78"/>
      <c r="U63" s="80"/>
      <c r="V63" s="78"/>
      <c r="W63" s="77" t="str">
        <f t="array" ref="W63">IF(D63="","",_xlfn.XLOOKUP(D63,DATA!B:B,DATA!L:L,""))</f>
        <v/>
      </c>
      <c r="X63" s="78" t="str">
        <f t="array" ref="X63">IF(F63="","",_xlfn.XLOOKUP(F63,DATA!B:B,DATA!L:L,""))</f>
        <v/>
      </c>
    </row>
    <row r="64">
      <c r="A64" s="81"/>
      <c r="B64" s="79"/>
      <c r="C64" s="57" t="str">
        <f t="array" ref="C64">iferror(_xlfn.XLOOKUP(D64,DATA!B:B,DATA!A:A),"")</f>
        <v/>
      </c>
      <c r="D64" s="82"/>
      <c r="E64" s="61" t="str">
        <f t="array" ref="E64">iferror(_xlfn.XLOOKUP(F64,DATA!B:B,DATA!A:A),"")</f>
        <v/>
      </c>
      <c r="F64" s="83"/>
      <c r="G64" s="78"/>
      <c r="H64" s="64" t="str">
        <f t="array" ref="H64">_xlfn.XLOOKUP(G64,DATA!D:D,DATA!E:E,"")</f>
        <v/>
      </c>
      <c r="I64" s="84"/>
      <c r="J64" s="23"/>
      <c r="K64" s="23"/>
      <c r="L64" s="66" t="str">
        <f t="shared" si="1"/>
        <v/>
      </c>
      <c r="M64" s="77"/>
      <c r="N64" s="78"/>
      <c r="O64" s="66" t="str">
        <f>IF(M64="","",
 IF(M64="عدم پاسخ","بدون پاسخ",
 IF(L64="","اطلاعات ناقص",
 IF(L64&lt;=DATA!$M$1,"رعایت شده","رعایت نشده"))))</f>
        <v/>
      </c>
      <c r="P64" s="79"/>
      <c r="Q64" s="77"/>
      <c r="R64" s="79"/>
      <c r="S64" s="79"/>
      <c r="T64" s="78"/>
      <c r="U64" s="80"/>
      <c r="V64" s="78"/>
      <c r="W64" s="77" t="str">
        <f t="array" ref="W64">IF(D64="","",_xlfn.XLOOKUP(D64,DATA!B:B,DATA!L:L,""))</f>
        <v/>
      </c>
      <c r="X64" s="78" t="str">
        <f t="array" ref="X64">IF(F64="","",_xlfn.XLOOKUP(F64,DATA!B:B,DATA!L:L,""))</f>
        <v/>
      </c>
    </row>
    <row r="65">
      <c r="A65" s="81"/>
      <c r="B65" s="79"/>
      <c r="C65" s="57" t="str">
        <f t="array" ref="C65">iferror(_xlfn.XLOOKUP(D65,DATA!B:B,DATA!A:A),"")</f>
        <v/>
      </c>
      <c r="D65" s="82"/>
      <c r="E65" s="61" t="str">
        <f t="array" ref="E65">iferror(_xlfn.XLOOKUP(F65,DATA!B:B,DATA!A:A),"")</f>
        <v/>
      </c>
      <c r="F65" s="83"/>
      <c r="G65" s="78"/>
      <c r="H65" s="64" t="str">
        <f t="array" ref="H65">_xlfn.XLOOKUP(G65,DATA!D:D,DATA!E:E,"")</f>
        <v/>
      </c>
      <c r="I65" s="84"/>
      <c r="J65" s="23"/>
      <c r="K65" s="23"/>
      <c r="L65" s="66" t="str">
        <f t="shared" si="1"/>
        <v/>
      </c>
      <c r="M65" s="77"/>
      <c r="N65" s="78"/>
      <c r="O65" s="66" t="str">
        <f>IF(M65="","",
 IF(M65="عدم پاسخ","بدون پاسخ",
 IF(L65="","اطلاعات ناقص",
 IF(L65&lt;=DATA!$M$1,"رعایت شده","رعایت نشده"))))</f>
        <v/>
      </c>
      <c r="P65" s="79"/>
      <c r="Q65" s="77"/>
      <c r="R65" s="79"/>
      <c r="S65" s="79"/>
      <c r="T65" s="78"/>
      <c r="U65" s="80"/>
      <c r="V65" s="78"/>
      <c r="W65" s="77" t="str">
        <f t="array" ref="W65">IF(D65="","",_xlfn.XLOOKUP(D65,DATA!B:B,DATA!L:L,""))</f>
        <v/>
      </c>
      <c r="X65" s="78" t="str">
        <f t="array" ref="X65">IF(F65="","",_xlfn.XLOOKUP(F65,DATA!B:B,DATA!L:L,""))</f>
        <v/>
      </c>
    </row>
    <row r="66">
      <c r="A66" s="81"/>
      <c r="B66" s="79"/>
      <c r="C66" s="57" t="str">
        <f t="array" ref="C66">iferror(_xlfn.XLOOKUP(D66,DATA!B:B,DATA!A:A),"")</f>
        <v/>
      </c>
      <c r="D66" s="82"/>
      <c r="E66" s="61" t="str">
        <f t="array" ref="E66">iferror(_xlfn.XLOOKUP(F66,DATA!B:B,DATA!A:A),"")</f>
        <v/>
      </c>
      <c r="F66" s="83"/>
      <c r="G66" s="78"/>
      <c r="H66" s="64" t="str">
        <f t="array" ref="H66">_xlfn.XLOOKUP(G66,DATA!D:D,DATA!E:E,"")</f>
        <v/>
      </c>
      <c r="I66" s="84"/>
      <c r="J66" s="23"/>
      <c r="K66" s="23"/>
      <c r="L66" s="66" t="str">
        <f t="shared" si="1"/>
        <v/>
      </c>
      <c r="M66" s="77"/>
      <c r="N66" s="78"/>
      <c r="O66" s="66" t="str">
        <f>IF(M66="","",
 IF(M66="عدم پاسخ","بدون پاسخ",
 IF(L66="","اطلاعات ناقص",
 IF(L66&lt;=DATA!$M$1,"رعایت شده","رعایت نشده"))))</f>
        <v/>
      </c>
      <c r="P66" s="79"/>
      <c r="Q66" s="77"/>
      <c r="R66" s="79"/>
      <c r="S66" s="79"/>
      <c r="T66" s="78"/>
      <c r="U66" s="80"/>
      <c r="V66" s="78"/>
      <c r="W66" s="77" t="str">
        <f t="array" ref="W66">IF(D66="","",_xlfn.XLOOKUP(D66,DATA!B:B,DATA!L:L,""))</f>
        <v/>
      </c>
      <c r="X66" s="78" t="str">
        <f t="array" ref="X66">IF(F66="","",_xlfn.XLOOKUP(F66,DATA!B:B,DATA!L:L,""))</f>
        <v/>
      </c>
    </row>
    <row r="67">
      <c r="A67" s="81"/>
      <c r="B67" s="79"/>
      <c r="C67" s="57" t="str">
        <f t="array" ref="C67">iferror(_xlfn.XLOOKUP(D67,DATA!B:B,DATA!A:A),"")</f>
        <v/>
      </c>
      <c r="D67" s="82"/>
      <c r="E67" s="61" t="str">
        <f t="array" ref="E67">iferror(_xlfn.XLOOKUP(F67,DATA!B:B,DATA!A:A),"")</f>
        <v/>
      </c>
      <c r="F67" s="83"/>
      <c r="G67" s="78"/>
      <c r="H67" s="64" t="str">
        <f t="array" ref="H67">_xlfn.XLOOKUP(G67,DATA!D:D,DATA!E:E,"")</f>
        <v/>
      </c>
      <c r="I67" s="84"/>
      <c r="J67" s="23"/>
      <c r="K67" s="23"/>
      <c r="L67" s="66" t="str">
        <f t="shared" si="1"/>
        <v/>
      </c>
      <c r="M67" s="77"/>
      <c r="N67" s="78"/>
      <c r="O67" s="66" t="str">
        <f>IF(M67="","",
 IF(M67="عدم پاسخ","بدون پاسخ",
 IF(L67="","اطلاعات ناقص",
 IF(L67&lt;=DATA!$M$1,"رعایت شده","رعایت نشده"))))</f>
        <v/>
      </c>
      <c r="P67" s="79"/>
      <c r="Q67" s="77"/>
      <c r="R67" s="79"/>
      <c r="S67" s="79"/>
      <c r="T67" s="78"/>
      <c r="U67" s="80"/>
      <c r="V67" s="78"/>
      <c r="W67" s="77" t="str">
        <f t="array" ref="W67">IF(D67="","",_xlfn.XLOOKUP(D67,DATA!B:B,DATA!L:L,""))</f>
        <v/>
      </c>
      <c r="X67" s="78" t="str">
        <f t="array" ref="X67">IF(F67="","",_xlfn.XLOOKUP(F67,DATA!B:B,DATA!L:L,""))</f>
        <v/>
      </c>
    </row>
    <row r="68">
      <c r="A68" s="81"/>
      <c r="B68" s="79"/>
      <c r="C68" s="57" t="str">
        <f t="array" ref="C68">iferror(_xlfn.XLOOKUP(D68,DATA!B:B,DATA!A:A),"")</f>
        <v/>
      </c>
      <c r="D68" s="82"/>
      <c r="E68" s="61" t="str">
        <f t="array" ref="E68">iferror(_xlfn.XLOOKUP(F68,DATA!B:B,DATA!A:A),"")</f>
        <v/>
      </c>
      <c r="F68" s="83"/>
      <c r="G68" s="78"/>
      <c r="H68" s="64" t="str">
        <f t="array" ref="H68">_xlfn.XLOOKUP(G68,DATA!D:D,DATA!E:E,"")</f>
        <v/>
      </c>
      <c r="I68" s="84"/>
      <c r="J68" s="23"/>
      <c r="K68" s="23"/>
      <c r="L68" s="66" t="str">
        <f t="shared" si="1"/>
        <v/>
      </c>
      <c r="M68" s="77"/>
      <c r="N68" s="78"/>
      <c r="O68" s="66" t="str">
        <f>IF(M68="","",
 IF(M68="عدم پاسخ","بدون پاسخ",
 IF(L68="","اطلاعات ناقص",
 IF(L68&lt;=DATA!$M$1,"رعایت شده","رعایت نشده"))))</f>
        <v/>
      </c>
      <c r="P68" s="79"/>
      <c r="Q68" s="77"/>
      <c r="R68" s="79"/>
      <c r="S68" s="79"/>
      <c r="T68" s="78"/>
      <c r="U68" s="80"/>
      <c r="V68" s="78"/>
      <c r="W68" s="77" t="str">
        <f t="array" ref="W68">IF(D68="","",_xlfn.XLOOKUP(D68,DATA!B:B,DATA!L:L,""))</f>
        <v/>
      </c>
      <c r="X68" s="78" t="str">
        <f t="array" ref="X68">IF(F68="","",_xlfn.XLOOKUP(F68,DATA!B:B,DATA!L:L,""))</f>
        <v/>
      </c>
    </row>
    <row r="69">
      <c r="A69" s="81"/>
      <c r="B69" s="79"/>
      <c r="C69" s="57" t="str">
        <f t="array" ref="C69">iferror(_xlfn.XLOOKUP(D69,DATA!B:B,DATA!A:A),"")</f>
        <v/>
      </c>
      <c r="D69" s="82"/>
      <c r="E69" s="61" t="str">
        <f t="array" ref="E69">iferror(_xlfn.XLOOKUP(F69,DATA!B:B,DATA!A:A),"")</f>
        <v/>
      </c>
      <c r="F69" s="83"/>
      <c r="G69" s="78"/>
      <c r="H69" s="64" t="str">
        <f t="array" ref="H69">_xlfn.XLOOKUP(G69,DATA!D:D,DATA!E:E,"")</f>
        <v/>
      </c>
      <c r="I69" s="84"/>
      <c r="J69" s="23"/>
      <c r="K69" s="23"/>
      <c r="L69" s="66" t="str">
        <f t="shared" si="1"/>
        <v/>
      </c>
      <c r="M69" s="77"/>
      <c r="N69" s="78"/>
      <c r="O69" s="66" t="str">
        <f>IF(M69="","",
 IF(M69="عدم پاسخ","بدون پاسخ",
 IF(L69="","اطلاعات ناقص",
 IF(L69&lt;=DATA!$M$1,"رعایت شده","رعایت نشده"))))</f>
        <v/>
      </c>
      <c r="P69" s="79"/>
      <c r="Q69" s="77"/>
      <c r="R69" s="79"/>
      <c r="S69" s="79"/>
      <c r="T69" s="78"/>
      <c r="U69" s="80"/>
      <c r="V69" s="78"/>
      <c r="W69" s="77" t="str">
        <f t="array" ref="W69">IF(D69="","",_xlfn.XLOOKUP(D69,DATA!B:B,DATA!L:L,""))</f>
        <v/>
      </c>
      <c r="X69" s="78" t="str">
        <f t="array" ref="X69">IF(F69="","",_xlfn.XLOOKUP(F69,DATA!B:B,DATA!L:L,""))</f>
        <v/>
      </c>
    </row>
    <row r="70">
      <c r="A70" s="81"/>
      <c r="B70" s="79"/>
      <c r="C70" s="57" t="str">
        <f t="array" ref="C70">iferror(_xlfn.XLOOKUP(D70,DATA!B:B,DATA!A:A),"")</f>
        <v/>
      </c>
      <c r="D70" s="82"/>
      <c r="E70" s="61" t="str">
        <f t="array" ref="E70">iferror(_xlfn.XLOOKUP(F70,DATA!B:B,DATA!A:A),"")</f>
        <v/>
      </c>
      <c r="F70" s="83"/>
      <c r="G70" s="78"/>
      <c r="H70" s="64" t="str">
        <f t="array" ref="H70">_xlfn.XLOOKUP(G70,DATA!D:D,DATA!E:E,"")</f>
        <v/>
      </c>
      <c r="I70" s="84"/>
      <c r="J70" s="23"/>
      <c r="K70" s="23"/>
      <c r="L70" s="66" t="str">
        <f t="shared" si="1"/>
        <v/>
      </c>
      <c r="M70" s="77"/>
      <c r="N70" s="78"/>
      <c r="O70" s="66" t="str">
        <f>IF(M70="","",
 IF(M70="عدم پاسخ","بدون پاسخ",
 IF(L70="","اطلاعات ناقص",
 IF(L70&lt;=DATA!$M$1,"رعایت شده","رعایت نشده"))))</f>
        <v/>
      </c>
      <c r="P70" s="79"/>
      <c r="Q70" s="77"/>
      <c r="R70" s="79"/>
      <c r="S70" s="79"/>
      <c r="T70" s="78"/>
      <c r="U70" s="80"/>
      <c r="V70" s="78"/>
      <c r="W70" s="77" t="str">
        <f t="array" ref="W70">IF(D70="","",_xlfn.XLOOKUP(D70,DATA!B:B,DATA!L:L,""))</f>
        <v/>
      </c>
      <c r="X70" s="78" t="str">
        <f t="array" ref="X70">IF(F70="","",_xlfn.XLOOKUP(F70,DATA!B:B,DATA!L:L,""))</f>
        <v/>
      </c>
    </row>
    <row r="71">
      <c r="A71" s="81"/>
      <c r="B71" s="79"/>
      <c r="C71" s="57" t="str">
        <f t="array" ref="C71">iferror(_xlfn.XLOOKUP(D71,DATA!B:B,DATA!A:A),"")</f>
        <v/>
      </c>
      <c r="D71" s="82"/>
      <c r="E71" s="61" t="str">
        <f t="array" ref="E71">iferror(_xlfn.XLOOKUP(F71,DATA!B:B,DATA!A:A),"")</f>
        <v/>
      </c>
      <c r="F71" s="83"/>
      <c r="G71" s="78"/>
      <c r="H71" s="64" t="str">
        <f t="array" ref="H71">_xlfn.XLOOKUP(G71,DATA!D:D,DATA!E:E,"")</f>
        <v/>
      </c>
      <c r="I71" s="84"/>
      <c r="J71" s="23"/>
      <c r="K71" s="23"/>
      <c r="L71" s="66" t="str">
        <f t="shared" si="1"/>
        <v/>
      </c>
      <c r="M71" s="77"/>
      <c r="N71" s="78"/>
      <c r="O71" s="66" t="str">
        <f>IF(M71="","",
 IF(M71="عدم پاسخ","بدون پاسخ",
 IF(L71="","اطلاعات ناقص",
 IF(L71&lt;=DATA!$M$1,"رعایت شده","رعایت نشده"))))</f>
        <v/>
      </c>
      <c r="P71" s="79"/>
      <c r="Q71" s="77"/>
      <c r="R71" s="79"/>
      <c r="S71" s="79"/>
      <c r="T71" s="78"/>
      <c r="U71" s="80"/>
      <c r="V71" s="78"/>
      <c r="W71" s="77" t="str">
        <f t="array" ref="W71">IF(D71="","",_xlfn.XLOOKUP(D71,DATA!B:B,DATA!L:L,""))</f>
        <v/>
      </c>
      <c r="X71" s="78" t="str">
        <f t="array" ref="X71">IF(F71="","",_xlfn.XLOOKUP(F71,DATA!B:B,DATA!L:L,""))</f>
        <v/>
      </c>
    </row>
    <row r="72">
      <c r="A72" s="81"/>
      <c r="B72" s="79"/>
      <c r="C72" s="57" t="str">
        <f t="array" ref="C72">iferror(_xlfn.XLOOKUP(D72,DATA!B:B,DATA!A:A),"")</f>
        <v/>
      </c>
      <c r="D72" s="82"/>
      <c r="E72" s="61" t="str">
        <f t="array" ref="E72">iferror(_xlfn.XLOOKUP(F72,DATA!B:B,DATA!A:A),"")</f>
        <v/>
      </c>
      <c r="F72" s="83"/>
      <c r="G72" s="78"/>
      <c r="H72" s="64" t="str">
        <f t="array" ref="H72">_xlfn.XLOOKUP(G72,DATA!D:D,DATA!E:E,"")</f>
        <v/>
      </c>
      <c r="I72" s="84"/>
      <c r="J72" s="23"/>
      <c r="K72" s="23"/>
      <c r="L72" s="66" t="str">
        <f t="shared" si="1"/>
        <v/>
      </c>
      <c r="M72" s="77"/>
      <c r="N72" s="78"/>
      <c r="O72" s="66" t="str">
        <f>IF(M72="","",
 IF(M72="عدم پاسخ","بدون پاسخ",
 IF(L72="","اطلاعات ناقص",
 IF(L72&lt;=DATA!$M$1,"رعایت شده","رعایت نشده"))))</f>
        <v/>
      </c>
      <c r="P72" s="79"/>
      <c r="Q72" s="77"/>
      <c r="R72" s="79"/>
      <c r="S72" s="79"/>
      <c r="T72" s="78"/>
      <c r="U72" s="80"/>
      <c r="V72" s="78"/>
      <c r="W72" s="77" t="str">
        <f t="array" ref="W72">IF(D72="","",_xlfn.XLOOKUP(D72,DATA!B:B,DATA!L:L,""))</f>
        <v/>
      </c>
      <c r="X72" s="78" t="str">
        <f t="array" ref="X72">IF(F72="","",_xlfn.XLOOKUP(F72,DATA!B:B,DATA!L:L,""))</f>
        <v/>
      </c>
    </row>
    <row r="73">
      <c r="A73" s="81"/>
      <c r="B73" s="79"/>
      <c r="C73" s="57" t="str">
        <f t="array" ref="C73">iferror(_xlfn.XLOOKUP(D73,DATA!B:B,DATA!A:A),"")</f>
        <v/>
      </c>
      <c r="D73" s="82"/>
      <c r="E73" s="61" t="str">
        <f t="array" ref="E73">iferror(_xlfn.XLOOKUP(F73,DATA!B:B,DATA!A:A),"")</f>
        <v/>
      </c>
      <c r="F73" s="83"/>
      <c r="G73" s="78"/>
      <c r="H73" s="64" t="str">
        <f t="array" ref="H73">_xlfn.XLOOKUP(G73,DATA!D:D,DATA!E:E,"")</f>
        <v/>
      </c>
      <c r="I73" s="84"/>
      <c r="J73" s="23"/>
      <c r="K73" s="23"/>
      <c r="L73" s="66" t="str">
        <f t="shared" si="1"/>
        <v/>
      </c>
      <c r="M73" s="77"/>
      <c r="N73" s="78"/>
      <c r="O73" s="66" t="str">
        <f>IF(M73="","",
 IF(M73="عدم پاسخ","بدون پاسخ",
 IF(L73="","اطلاعات ناقص",
 IF(L73&lt;=DATA!$M$1,"رعایت شده","رعایت نشده"))))</f>
        <v/>
      </c>
      <c r="P73" s="79"/>
      <c r="Q73" s="77"/>
      <c r="R73" s="79"/>
      <c r="S73" s="79"/>
      <c r="T73" s="78"/>
      <c r="U73" s="80"/>
      <c r="V73" s="78"/>
      <c r="W73" s="77" t="str">
        <f t="array" ref="W73">IF(D73="","",_xlfn.XLOOKUP(D73,DATA!B:B,DATA!L:L,""))</f>
        <v/>
      </c>
      <c r="X73" s="78" t="str">
        <f t="array" ref="X73">IF(F73="","",_xlfn.XLOOKUP(F73,DATA!B:B,DATA!L:L,""))</f>
        <v/>
      </c>
    </row>
    <row r="74">
      <c r="A74" s="81"/>
      <c r="B74" s="79"/>
      <c r="C74" s="57" t="str">
        <f t="array" ref="C74">iferror(_xlfn.XLOOKUP(D74,DATA!B:B,DATA!A:A),"")</f>
        <v/>
      </c>
      <c r="D74" s="82"/>
      <c r="E74" s="61" t="str">
        <f t="array" ref="E74">iferror(_xlfn.XLOOKUP(F74,DATA!B:B,DATA!A:A),"")</f>
        <v/>
      </c>
      <c r="F74" s="83"/>
      <c r="G74" s="78"/>
      <c r="H74" s="64" t="str">
        <f t="array" ref="H74">_xlfn.XLOOKUP(G74,DATA!D:D,DATA!E:E,"")</f>
        <v/>
      </c>
      <c r="I74" s="84"/>
      <c r="J74" s="23"/>
      <c r="K74" s="23"/>
      <c r="L74" s="66" t="str">
        <f t="shared" si="1"/>
        <v/>
      </c>
      <c r="M74" s="77"/>
      <c r="N74" s="78"/>
      <c r="O74" s="66" t="str">
        <f>IF(M74="","",
 IF(M74="عدم پاسخ","بدون پاسخ",
 IF(L74="","اطلاعات ناقص",
 IF(L74&lt;=DATA!$M$1,"رعایت شده","رعایت نشده"))))</f>
        <v/>
      </c>
      <c r="P74" s="79"/>
      <c r="Q74" s="77"/>
      <c r="R74" s="79"/>
      <c r="S74" s="79"/>
      <c r="T74" s="78"/>
      <c r="U74" s="80"/>
      <c r="V74" s="78"/>
      <c r="W74" s="77" t="str">
        <f t="array" ref="W74">IF(D74="","",_xlfn.XLOOKUP(D74,DATA!B:B,DATA!L:L,""))</f>
        <v/>
      </c>
      <c r="X74" s="78" t="str">
        <f t="array" ref="X74">IF(F74="","",_xlfn.XLOOKUP(F74,DATA!B:B,DATA!L:L,""))</f>
        <v/>
      </c>
    </row>
    <row r="75">
      <c r="A75" s="81"/>
      <c r="B75" s="79"/>
      <c r="C75" s="57" t="str">
        <f t="array" ref="C75">iferror(_xlfn.XLOOKUP(D75,DATA!B:B,DATA!A:A),"")</f>
        <v/>
      </c>
      <c r="D75" s="82"/>
      <c r="E75" s="61" t="str">
        <f t="array" ref="E75">iferror(_xlfn.XLOOKUP(F75,DATA!B:B,DATA!A:A),"")</f>
        <v/>
      </c>
      <c r="F75" s="83"/>
      <c r="G75" s="78"/>
      <c r="H75" s="64" t="str">
        <f t="array" ref="H75">_xlfn.XLOOKUP(G75,DATA!D:D,DATA!E:E,"")</f>
        <v/>
      </c>
      <c r="I75" s="84"/>
      <c r="J75" s="23"/>
      <c r="K75" s="23"/>
      <c r="L75" s="66" t="str">
        <f t="shared" si="1"/>
        <v/>
      </c>
      <c r="M75" s="77"/>
      <c r="N75" s="78"/>
      <c r="O75" s="66" t="str">
        <f>IF(M75="","",
 IF(M75="عدم پاسخ","بدون پاسخ",
 IF(L75="","اطلاعات ناقص",
 IF(L75&lt;=DATA!$M$1,"رعایت شده","رعایت نشده"))))</f>
        <v/>
      </c>
      <c r="P75" s="79"/>
      <c r="Q75" s="77"/>
      <c r="R75" s="79"/>
      <c r="S75" s="79"/>
      <c r="T75" s="78"/>
      <c r="U75" s="80"/>
      <c r="V75" s="78"/>
      <c r="W75" s="77" t="str">
        <f t="array" ref="W75">IF(D75="","",_xlfn.XLOOKUP(D75,DATA!B:B,DATA!L:L,""))</f>
        <v/>
      </c>
      <c r="X75" s="78" t="str">
        <f t="array" ref="X75">IF(F75="","",_xlfn.XLOOKUP(F75,DATA!B:B,DATA!L:L,""))</f>
        <v/>
      </c>
    </row>
    <row r="76">
      <c r="A76" s="81"/>
      <c r="B76" s="79"/>
      <c r="C76" s="57" t="str">
        <f t="array" ref="C76">iferror(_xlfn.XLOOKUP(D76,DATA!B:B,DATA!A:A),"")</f>
        <v/>
      </c>
      <c r="D76" s="82"/>
      <c r="E76" s="61" t="str">
        <f t="array" ref="E76">iferror(_xlfn.XLOOKUP(F76,DATA!B:B,DATA!A:A),"")</f>
        <v/>
      </c>
      <c r="F76" s="83"/>
      <c r="G76" s="78"/>
      <c r="H76" s="64" t="str">
        <f t="array" ref="H76">_xlfn.XLOOKUP(G76,DATA!D:D,DATA!E:E,"")</f>
        <v/>
      </c>
      <c r="I76" s="84"/>
      <c r="J76" s="23"/>
      <c r="K76" s="23"/>
      <c r="L76" s="66" t="str">
        <f t="shared" si="1"/>
        <v/>
      </c>
      <c r="M76" s="77"/>
      <c r="N76" s="78"/>
      <c r="O76" s="66" t="str">
        <f>IF(M76="","",
 IF(M76="عدم پاسخ","بدون پاسخ",
 IF(L76="","اطلاعات ناقص",
 IF(L76&lt;=DATA!$M$1,"رعایت شده","رعایت نشده"))))</f>
        <v/>
      </c>
      <c r="P76" s="79"/>
      <c r="Q76" s="77"/>
      <c r="R76" s="79"/>
      <c r="S76" s="79"/>
      <c r="T76" s="78"/>
      <c r="U76" s="80"/>
      <c r="V76" s="78"/>
      <c r="W76" s="77" t="str">
        <f t="array" ref="W76">IF(D76="","",_xlfn.XLOOKUP(D76,DATA!B:B,DATA!L:L,""))</f>
        <v/>
      </c>
      <c r="X76" s="78" t="str">
        <f t="array" ref="X76">IF(F76="","",_xlfn.XLOOKUP(F76,DATA!B:B,DATA!L:L,""))</f>
        <v/>
      </c>
    </row>
    <row r="77">
      <c r="A77" s="81"/>
      <c r="B77" s="79"/>
      <c r="C77" s="57" t="str">
        <f t="array" ref="C77">iferror(_xlfn.XLOOKUP(D77,DATA!B:B,DATA!A:A),"")</f>
        <v/>
      </c>
      <c r="D77" s="82"/>
      <c r="E77" s="61" t="str">
        <f t="array" ref="E77">iferror(_xlfn.XLOOKUP(F77,DATA!B:B,DATA!A:A),"")</f>
        <v/>
      </c>
      <c r="F77" s="83"/>
      <c r="G77" s="78"/>
      <c r="H77" s="64" t="str">
        <f t="array" ref="H77">_xlfn.XLOOKUP(G77,DATA!D:D,DATA!E:E,"")</f>
        <v/>
      </c>
      <c r="I77" s="84"/>
      <c r="J77" s="23"/>
      <c r="K77" s="23"/>
      <c r="L77" s="66" t="str">
        <f t="shared" si="1"/>
        <v/>
      </c>
      <c r="M77" s="77"/>
      <c r="N77" s="78"/>
      <c r="O77" s="66" t="str">
        <f>IF(M77="","",
 IF(M77="عدم پاسخ","بدون پاسخ",
 IF(L77="","اطلاعات ناقص",
 IF(L77&lt;=DATA!$M$1,"رعایت شده","رعایت نشده"))))</f>
        <v/>
      </c>
      <c r="P77" s="79"/>
      <c r="Q77" s="77"/>
      <c r="R77" s="79"/>
      <c r="S77" s="79"/>
      <c r="T77" s="78"/>
      <c r="U77" s="80"/>
      <c r="V77" s="78"/>
      <c r="W77" s="77" t="str">
        <f t="array" ref="W77">IF(D77="","",_xlfn.XLOOKUP(D77,DATA!B:B,DATA!L:L,""))</f>
        <v/>
      </c>
      <c r="X77" s="78" t="str">
        <f t="array" ref="X77">IF(F77="","",_xlfn.XLOOKUP(F77,DATA!B:B,DATA!L:L,""))</f>
        <v/>
      </c>
    </row>
    <row r="78">
      <c r="A78" s="81"/>
      <c r="B78" s="79"/>
      <c r="C78" s="57" t="str">
        <f t="array" ref="C78">iferror(_xlfn.XLOOKUP(D78,DATA!B:B,DATA!A:A),"")</f>
        <v/>
      </c>
      <c r="D78" s="82"/>
      <c r="E78" s="61" t="str">
        <f t="array" ref="E78">iferror(_xlfn.XLOOKUP(F78,DATA!B:B,DATA!A:A),"")</f>
        <v/>
      </c>
      <c r="F78" s="83"/>
      <c r="G78" s="78"/>
      <c r="H78" s="64" t="str">
        <f t="array" ref="H78">_xlfn.XLOOKUP(G78,DATA!D:D,DATA!E:E,"")</f>
        <v/>
      </c>
      <c r="I78" s="84"/>
      <c r="J78" s="23"/>
      <c r="K78" s="23"/>
      <c r="L78" s="66" t="str">
        <f t="shared" si="1"/>
        <v/>
      </c>
      <c r="M78" s="77"/>
      <c r="N78" s="78"/>
      <c r="O78" s="66" t="str">
        <f>IF(M78="","",
 IF(M78="عدم پاسخ","بدون پاسخ",
 IF(L78="","اطلاعات ناقص",
 IF(L78&lt;=DATA!$M$1,"رعایت شده","رعایت نشده"))))</f>
        <v/>
      </c>
      <c r="P78" s="79"/>
      <c r="Q78" s="77"/>
      <c r="R78" s="79"/>
      <c r="S78" s="79"/>
      <c r="T78" s="78"/>
      <c r="U78" s="80"/>
      <c r="V78" s="78"/>
      <c r="W78" s="77" t="str">
        <f t="array" ref="W78">IF(D78="","",_xlfn.XLOOKUP(D78,DATA!B:B,DATA!L:L,""))</f>
        <v/>
      </c>
      <c r="X78" s="78" t="str">
        <f t="array" ref="X78">IF(F78="","",_xlfn.XLOOKUP(F78,DATA!B:B,DATA!L:L,""))</f>
        <v/>
      </c>
    </row>
    <row r="79">
      <c r="A79" s="81"/>
      <c r="B79" s="79"/>
      <c r="C79" s="57" t="str">
        <f t="array" ref="C79">iferror(_xlfn.XLOOKUP(D79,DATA!B:B,DATA!A:A),"")</f>
        <v/>
      </c>
      <c r="D79" s="82"/>
      <c r="E79" s="61" t="str">
        <f t="array" ref="E79">iferror(_xlfn.XLOOKUP(F79,DATA!B:B,DATA!A:A),"")</f>
        <v/>
      </c>
      <c r="F79" s="83"/>
      <c r="G79" s="78"/>
      <c r="H79" s="64" t="str">
        <f t="array" ref="H79">_xlfn.XLOOKUP(G79,DATA!D:D,DATA!E:E,"")</f>
        <v/>
      </c>
      <c r="I79" s="84"/>
      <c r="J79" s="23"/>
      <c r="K79" s="23"/>
      <c r="L79" s="66" t="str">
        <f t="shared" si="1"/>
        <v/>
      </c>
      <c r="M79" s="77"/>
      <c r="N79" s="78"/>
      <c r="O79" s="66" t="str">
        <f>IF(M79="","",
 IF(M79="عدم پاسخ","بدون پاسخ",
 IF(L79="","اطلاعات ناقص",
 IF(L79&lt;=DATA!$M$1,"رعایت شده","رعایت نشده"))))</f>
        <v/>
      </c>
      <c r="P79" s="79"/>
      <c r="Q79" s="77"/>
      <c r="R79" s="79"/>
      <c r="S79" s="79"/>
      <c r="T79" s="78"/>
      <c r="U79" s="80"/>
      <c r="V79" s="78"/>
      <c r="W79" s="77" t="str">
        <f t="array" ref="W79">IF(D79="","",_xlfn.XLOOKUP(D79,DATA!B:B,DATA!L:L,""))</f>
        <v/>
      </c>
      <c r="X79" s="78" t="str">
        <f t="array" ref="X79">IF(F79="","",_xlfn.XLOOKUP(F79,DATA!B:B,DATA!L:L,""))</f>
        <v/>
      </c>
    </row>
    <row r="80">
      <c r="A80" s="81"/>
      <c r="B80" s="79"/>
      <c r="C80" s="57" t="str">
        <f t="array" ref="C80">iferror(_xlfn.XLOOKUP(D80,DATA!B:B,DATA!A:A),"")</f>
        <v/>
      </c>
      <c r="D80" s="82"/>
      <c r="E80" s="61" t="str">
        <f t="array" ref="E80">iferror(_xlfn.XLOOKUP(F80,DATA!B:B,DATA!A:A),"")</f>
        <v/>
      </c>
      <c r="F80" s="83"/>
      <c r="G80" s="78"/>
      <c r="H80" s="64" t="str">
        <f t="array" ref="H80">_xlfn.XLOOKUP(G80,DATA!D:D,DATA!E:E,"")</f>
        <v/>
      </c>
      <c r="I80" s="84"/>
      <c r="J80" s="23"/>
      <c r="K80" s="23"/>
      <c r="L80" s="66" t="str">
        <f t="shared" si="1"/>
        <v/>
      </c>
      <c r="M80" s="77"/>
      <c r="N80" s="78"/>
      <c r="O80" s="66" t="str">
        <f>IF(M80="","",
 IF(M80="عدم پاسخ","بدون پاسخ",
 IF(L80="","اطلاعات ناقص",
 IF(L80&lt;=DATA!$M$1,"رعایت شده","رعایت نشده"))))</f>
        <v/>
      </c>
      <c r="P80" s="79"/>
      <c r="Q80" s="77"/>
      <c r="R80" s="79"/>
      <c r="S80" s="79"/>
      <c r="T80" s="78"/>
      <c r="U80" s="80"/>
      <c r="V80" s="78"/>
      <c r="W80" s="77" t="str">
        <f t="array" ref="W80">IF(D80="","",_xlfn.XLOOKUP(D80,DATA!B:B,DATA!L:L,""))</f>
        <v/>
      </c>
      <c r="X80" s="78" t="str">
        <f t="array" ref="X80">IF(F80="","",_xlfn.XLOOKUP(F80,DATA!B:B,DATA!L:L,""))</f>
        <v/>
      </c>
    </row>
    <row r="81">
      <c r="A81" s="81"/>
      <c r="B81" s="79"/>
      <c r="C81" s="57" t="str">
        <f t="array" ref="C81">iferror(_xlfn.XLOOKUP(D81,DATA!B:B,DATA!A:A),"")</f>
        <v/>
      </c>
      <c r="D81" s="82"/>
      <c r="E81" s="61" t="str">
        <f t="array" ref="E81">iferror(_xlfn.XLOOKUP(F81,DATA!B:B,DATA!A:A),"")</f>
        <v/>
      </c>
      <c r="F81" s="83"/>
      <c r="G81" s="78"/>
      <c r="H81" s="64" t="str">
        <f t="array" ref="H81">_xlfn.XLOOKUP(G81,DATA!D:D,DATA!E:E,"")</f>
        <v/>
      </c>
      <c r="I81" s="84"/>
      <c r="J81" s="23"/>
      <c r="K81" s="23"/>
      <c r="L81" s="66" t="str">
        <f t="shared" si="1"/>
        <v/>
      </c>
      <c r="M81" s="77"/>
      <c r="N81" s="78"/>
      <c r="O81" s="66" t="str">
        <f>IF(M81="","",
 IF(M81="عدم پاسخ","بدون پاسخ",
 IF(L81="","اطلاعات ناقص",
 IF(L81&lt;=DATA!$M$1,"رعایت شده","رعایت نشده"))))</f>
        <v/>
      </c>
      <c r="P81" s="79"/>
      <c r="Q81" s="77"/>
      <c r="R81" s="79"/>
      <c r="S81" s="79"/>
      <c r="T81" s="78"/>
      <c r="U81" s="80"/>
      <c r="V81" s="78"/>
      <c r="W81" s="77" t="str">
        <f t="array" ref="W81">IF(D81="","",_xlfn.XLOOKUP(D81,DATA!B:B,DATA!L:L,""))</f>
        <v/>
      </c>
      <c r="X81" s="78" t="str">
        <f t="array" ref="X81">IF(F81="","",_xlfn.XLOOKUP(F81,DATA!B:B,DATA!L:L,""))</f>
        <v/>
      </c>
    </row>
    <row r="82">
      <c r="A82" s="81"/>
      <c r="B82" s="79"/>
      <c r="C82" s="57" t="str">
        <f t="array" ref="C82">iferror(_xlfn.XLOOKUP(D82,DATA!B:B,DATA!A:A),"")</f>
        <v/>
      </c>
      <c r="D82" s="82"/>
      <c r="E82" s="61" t="str">
        <f t="array" ref="E82">iferror(_xlfn.XLOOKUP(F82,DATA!B:B,DATA!A:A),"")</f>
        <v/>
      </c>
      <c r="F82" s="83"/>
      <c r="G82" s="78"/>
      <c r="H82" s="64" t="str">
        <f t="array" ref="H82">_xlfn.XLOOKUP(G82,DATA!D:D,DATA!E:E,"")</f>
        <v/>
      </c>
      <c r="I82" s="84"/>
      <c r="J82" s="23"/>
      <c r="K82" s="23"/>
      <c r="L82" s="66" t="str">
        <f t="shared" si="1"/>
        <v/>
      </c>
      <c r="M82" s="77"/>
      <c r="N82" s="78"/>
      <c r="O82" s="66" t="str">
        <f>IF(M82="","",
 IF(M82="عدم پاسخ","بدون پاسخ",
 IF(L82="","اطلاعات ناقص",
 IF(L82&lt;=DATA!$M$1,"رعایت شده","رعایت نشده"))))</f>
        <v/>
      </c>
      <c r="P82" s="79"/>
      <c r="Q82" s="77"/>
      <c r="R82" s="79"/>
      <c r="S82" s="79"/>
      <c r="T82" s="78"/>
      <c r="U82" s="80"/>
      <c r="V82" s="78"/>
      <c r="W82" s="77" t="str">
        <f t="array" ref="W82">IF(D82="","",_xlfn.XLOOKUP(D82,DATA!B:B,DATA!L:L,""))</f>
        <v/>
      </c>
      <c r="X82" s="78" t="str">
        <f t="array" ref="X82">IF(F82="","",_xlfn.XLOOKUP(F82,DATA!B:B,DATA!L:L,""))</f>
        <v/>
      </c>
    </row>
    <row r="83">
      <c r="A83" s="81"/>
      <c r="B83" s="79"/>
      <c r="C83" s="57" t="str">
        <f t="array" ref="C83">iferror(_xlfn.XLOOKUP(D83,DATA!B:B,DATA!A:A),"")</f>
        <v/>
      </c>
      <c r="D83" s="82"/>
      <c r="E83" s="61" t="str">
        <f t="array" ref="E83">iferror(_xlfn.XLOOKUP(F83,DATA!B:B,DATA!A:A),"")</f>
        <v/>
      </c>
      <c r="F83" s="83"/>
      <c r="G83" s="78"/>
      <c r="H83" s="64" t="str">
        <f t="array" ref="H83">_xlfn.XLOOKUP(G83,DATA!D:D,DATA!E:E,"")</f>
        <v/>
      </c>
      <c r="I83" s="84"/>
      <c r="J83" s="23"/>
      <c r="K83" s="23"/>
      <c r="L83" s="66" t="str">
        <f t="shared" si="1"/>
        <v/>
      </c>
      <c r="M83" s="77"/>
      <c r="N83" s="78"/>
      <c r="O83" s="66" t="str">
        <f>IF(M83="","",
 IF(M83="عدم پاسخ","بدون پاسخ",
 IF(L83="","اطلاعات ناقص",
 IF(L83&lt;=DATA!$M$1,"رعایت شده","رعایت نشده"))))</f>
        <v/>
      </c>
      <c r="P83" s="79"/>
      <c r="Q83" s="77"/>
      <c r="R83" s="79"/>
      <c r="S83" s="79"/>
      <c r="T83" s="78"/>
      <c r="U83" s="80"/>
      <c r="V83" s="78"/>
      <c r="W83" s="77" t="str">
        <f t="array" ref="W83">IF(D83="","",_xlfn.XLOOKUP(D83,DATA!B:B,DATA!L:L,""))</f>
        <v/>
      </c>
      <c r="X83" s="78" t="str">
        <f t="array" ref="X83">IF(F83="","",_xlfn.XLOOKUP(F83,DATA!B:B,DATA!L:L,""))</f>
        <v/>
      </c>
    </row>
    <row r="84">
      <c r="A84" s="81"/>
      <c r="B84" s="79"/>
      <c r="C84" s="57" t="str">
        <f t="array" ref="C84">iferror(_xlfn.XLOOKUP(D84,DATA!B:B,DATA!A:A),"")</f>
        <v/>
      </c>
      <c r="D84" s="82"/>
      <c r="E84" s="61" t="str">
        <f t="array" ref="E84">iferror(_xlfn.XLOOKUP(F84,DATA!B:B,DATA!A:A),"")</f>
        <v/>
      </c>
      <c r="F84" s="83"/>
      <c r="G84" s="78"/>
      <c r="H84" s="64" t="str">
        <f t="array" ref="H84">_xlfn.XLOOKUP(G84,DATA!D:D,DATA!E:E,"")</f>
        <v/>
      </c>
      <c r="I84" s="84"/>
      <c r="J84" s="23"/>
      <c r="K84" s="23"/>
      <c r="L84" s="66" t="str">
        <f t="shared" si="1"/>
        <v/>
      </c>
      <c r="M84" s="77"/>
      <c r="N84" s="78"/>
      <c r="O84" s="66" t="str">
        <f>IF(M84="","",
 IF(M84="عدم پاسخ","بدون پاسخ",
 IF(L84="","اطلاعات ناقص",
 IF(L84&lt;=DATA!$M$1,"رعایت شده","رعایت نشده"))))</f>
        <v/>
      </c>
      <c r="P84" s="79"/>
      <c r="Q84" s="77"/>
      <c r="R84" s="79"/>
      <c r="S84" s="79"/>
      <c r="T84" s="78"/>
      <c r="U84" s="80"/>
      <c r="V84" s="78"/>
      <c r="W84" s="77" t="str">
        <f t="array" ref="W84">IF(D84="","",_xlfn.XLOOKUP(D84,DATA!B:B,DATA!L:L,""))</f>
        <v/>
      </c>
      <c r="X84" s="78" t="str">
        <f t="array" ref="X84">IF(F84="","",_xlfn.XLOOKUP(F84,DATA!B:B,DATA!L:L,""))</f>
        <v/>
      </c>
    </row>
    <row r="85">
      <c r="A85" s="81"/>
      <c r="B85" s="79"/>
      <c r="C85" s="57" t="str">
        <f t="array" ref="C85">iferror(_xlfn.XLOOKUP(D85,DATA!B:B,DATA!A:A),"")</f>
        <v/>
      </c>
      <c r="D85" s="82"/>
      <c r="E85" s="61" t="str">
        <f t="array" ref="E85">iferror(_xlfn.XLOOKUP(F85,DATA!B:B,DATA!A:A),"")</f>
        <v/>
      </c>
      <c r="F85" s="83"/>
      <c r="G85" s="78"/>
      <c r="H85" s="64" t="str">
        <f t="array" ref="H85">_xlfn.XLOOKUP(G85,DATA!D:D,DATA!E:E,"")</f>
        <v/>
      </c>
      <c r="I85" s="84"/>
      <c r="J85" s="23"/>
      <c r="K85" s="23"/>
      <c r="L85" s="66" t="str">
        <f t="shared" si="1"/>
        <v/>
      </c>
      <c r="M85" s="77"/>
      <c r="N85" s="78"/>
      <c r="O85" s="66" t="str">
        <f>IF(M85="","",
 IF(M85="عدم پاسخ","بدون پاسخ",
 IF(L85="","اطلاعات ناقص",
 IF(L85&lt;=DATA!$M$1,"رعایت شده","رعایت نشده"))))</f>
        <v/>
      </c>
      <c r="P85" s="79"/>
      <c r="Q85" s="77"/>
      <c r="R85" s="79"/>
      <c r="S85" s="79"/>
      <c r="T85" s="78"/>
      <c r="U85" s="80"/>
      <c r="V85" s="78"/>
      <c r="W85" s="77" t="str">
        <f t="array" ref="W85">IF(D85="","",_xlfn.XLOOKUP(D85,DATA!B:B,DATA!L:L,""))</f>
        <v/>
      </c>
      <c r="X85" s="78" t="str">
        <f t="array" ref="X85">IF(F85="","",_xlfn.XLOOKUP(F85,DATA!B:B,DATA!L:L,""))</f>
        <v/>
      </c>
    </row>
    <row r="86">
      <c r="A86" s="81"/>
      <c r="B86" s="79"/>
      <c r="C86" s="57" t="str">
        <f t="array" ref="C86">iferror(_xlfn.XLOOKUP(D86,DATA!B:B,DATA!A:A),"")</f>
        <v/>
      </c>
      <c r="D86" s="82"/>
      <c r="E86" s="61" t="str">
        <f t="array" ref="E86">iferror(_xlfn.XLOOKUP(F86,DATA!B:B,DATA!A:A),"")</f>
        <v/>
      </c>
      <c r="F86" s="83"/>
      <c r="G86" s="78"/>
      <c r="H86" s="64" t="str">
        <f t="array" ref="H86">_xlfn.XLOOKUP(G86,DATA!D:D,DATA!E:E,"")</f>
        <v/>
      </c>
      <c r="I86" s="84"/>
      <c r="J86" s="23"/>
      <c r="K86" s="23"/>
      <c r="L86" s="66" t="str">
        <f t="shared" si="1"/>
        <v/>
      </c>
      <c r="M86" s="77"/>
      <c r="N86" s="78"/>
      <c r="O86" s="66" t="str">
        <f>IF(M86="","",
 IF(M86="عدم پاسخ","بدون پاسخ",
 IF(L86="","اطلاعات ناقص",
 IF(L86&lt;=DATA!$M$1,"رعایت شده","رعایت نشده"))))</f>
        <v/>
      </c>
      <c r="P86" s="79"/>
      <c r="Q86" s="77"/>
      <c r="R86" s="79"/>
      <c r="S86" s="79"/>
      <c r="T86" s="78"/>
      <c r="U86" s="80"/>
      <c r="V86" s="78"/>
      <c r="W86" s="77" t="str">
        <f t="array" ref="W86">IF(D86="","",_xlfn.XLOOKUP(D86,DATA!B:B,DATA!L:L,""))</f>
        <v/>
      </c>
      <c r="X86" s="78" t="str">
        <f t="array" ref="X86">IF(F86="","",_xlfn.XLOOKUP(F86,DATA!B:B,DATA!L:L,""))</f>
        <v/>
      </c>
    </row>
    <row r="87">
      <c r="A87" s="81"/>
      <c r="B87" s="79"/>
      <c r="C87" s="57" t="str">
        <f t="array" ref="C87">iferror(_xlfn.XLOOKUP(D87,DATA!B:B,DATA!A:A),"")</f>
        <v/>
      </c>
      <c r="D87" s="82"/>
      <c r="E87" s="61" t="str">
        <f t="array" ref="E87">iferror(_xlfn.XLOOKUP(F87,DATA!B:B,DATA!A:A),"")</f>
        <v/>
      </c>
      <c r="F87" s="83"/>
      <c r="G87" s="78"/>
      <c r="H87" s="64" t="str">
        <f t="array" ref="H87">_xlfn.XLOOKUP(G87,DATA!D:D,DATA!E:E,"")</f>
        <v/>
      </c>
      <c r="I87" s="84"/>
      <c r="J87" s="23"/>
      <c r="K87" s="23"/>
      <c r="L87" s="66" t="str">
        <f t="shared" si="1"/>
        <v/>
      </c>
      <c r="M87" s="77"/>
      <c r="N87" s="78"/>
      <c r="O87" s="66" t="str">
        <f>IF(M87="","",
 IF(M87="عدم پاسخ","بدون پاسخ",
 IF(L87="","اطلاعات ناقص",
 IF(L87&lt;=DATA!$M$1,"رعایت شده","رعایت نشده"))))</f>
        <v/>
      </c>
      <c r="P87" s="79"/>
      <c r="Q87" s="77"/>
      <c r="R87" s="79"/>
      <c r="S87" s="79"/>
      <c r="T87" s="78"/>
      <c r="U87" s="80"/>
      <c r="V87" s="78"/>
      <c r="W87" s="77" t="str">
        <f t="array" ref="W87">IF(D87="","",_xlfn.XLOOKUP(D87,DATA!B:B,DATA!L:L,""))</f>
        <v/>
      </c>
      <c r="X87" s="78" t="str">
        <f t="array" ref="X87">IF(F87="","",_xlfn.XLOOKUP(F87,DATA!B:B,DATA!L:L,""))</f>
        <v/>
      </c>
    </row>
    <row r="88">
      <c r="A88" s="81"/>
      <c r="B88" s="79"/>
      <c r="C88" s="57" t="str">
        <f t="array" ref="C88">iferror(_xlfn.XLOOKUP(D88,DATA!B:B,DATA!A:A),"")</f>
        <v/>
      </c>
      <c r="D88" s="82"/>
      <c r="E88" s="61" t="str">
        <f t="array" ref="E88">iferror(_xlfn.XLOOKUP(F88,DATA!B:B,DATA!A:A),"")</f>
        <v/>
      </c>
      <c r="F88" s="83"/>
      <c r="G88" s="78"/>
      <c r="H88" s="64" t="str">
        <f t="array" ref="H88">_xlfn.XLOOKUP(G88,DATA!D:D,DATA!E:E,"")</f>
        <v/>
      </c>
      <c r="I88" s="84"/>
      <c r="J88" s="23"/>
      <c r="K88" s="23"/>
      <c r="L88" s="66" t="str">
        <f t="shared" si="1"/>
        <v/>
      </c>
      <c r="M88" s="77"/>
      <c r="N88" s="78"/>
      <c r="O88" s="66" t="str">
        <f>IF(M88="","",
 IF(M88="عدم پاسخ","بدون پاسخ",
 IF(L88="","اطلاعات ناقص",
 IF(L88&lt;=DATA!$M$1,"رعایت شده","رعایت نشده"))))</f>
        <v/>
      </c>
      <c r="P88" s="79"/>
      <c r="Q88" s="77"/>
      <c r="R88" s="79"/>
      <c r="S88" s="79"/>
      <c r="T88" s="78"/>
      <c r="U88" s="80"/>
      <c r="V88" s="78"/>
      <c r="W88" s="77" t="str">
        <f t="array" ref="W88">IF(D88="","",_xlfn.XLOOKUP(D88,DATA!B:B,DATA!L:L,""))</f>
        <v/>
      </c>
      <c r="X88" s="78" t="str">
        <f t="array" ref="X88">IF(F88="","",_xlfn.XLOOKUP(F88,DATA!B:B,DATA!L:L,""))</f>
        <v/>
      </c>
    </row>
    <row r="89">
      <c r="A89" s="81"/>
      <c r="B89" s="79"/>
      <c r="C89" s="57" t="str">
        <f t="array" ref="C89">iferror(_xlfn.XLOOKUP(D89,DATA!B:B,DATA!A:A),"")</f>
        <v/>
      </c>
      <c r="D89" s="82"/>
      <c r="E89" s="61" t="str">
        <f t="array" ref="E89">iferror(_xlfn.XLOOKUP(F89,DATA!B:B,DATA!A:A),"")</f>
        <v/>
      </c>
      <c r="F89" s="83"/>
      <c r="G89" s="78"/>
      <c r="H89" s="64" t="str">
        <f t="array" ref="H89">_xlfn.XLOOKUP(G89,DATA!D:D,DATA!E:E,"")</f>
        <v/>
      </c>
      <c r="I89" s="84"/>
      <c r="J89" s="23"/>
      <c r="K89" s="23"/>
      <c r="L89" s="66" t="str">
        <f t="shared" si="1"/>
        <v/>
      </c>
      <c r="M89" s="77"/>
      <c r="N89" s="78"/>
      <c r="O89" s="66" t="str">
        <f>IF(M89="","",
 IF(M89="عدم پاسخ","بدون پاسخ",
 IF(L89="","اطلاعات ناقص",
 IF(L89&lt;=DATA!$M$1,"رعایت شده","رعایت نشده"))))</f>
        <v/>
      </c>
      <c r="P89" s="79"/>
      <c r="Q89" s="77"/>
      <c r="R89" s="79"/>
      <c r="S89" s="79"/>
      <c r="T89" s="78"/>
      <c r="U89" s="80"/>
      <c r="V89" s="78"/>
      <c r="W89" s="77" t="str">
        <f t="array" ref="W89">IF(D89="","",_xlfn.XLOOKUP(D89,DATA!B:B,DATA!L:L,""))</f>
        <v/>
      </c>
      <c r="X89" s="78" t="str">
        <f t="array" ref="X89">IF(F89="","",_xlfn.XLOOKUP(F89,DATA!B:B,DATA!L:L,""))</f>
        <v/>
      </c>
    </row>
    <row r="90">
      <c r="A90" s="81"/>
      <c r="B90" s="79"/>
      <c r="C90" s="57" t="str">
        <f t="array" ref="C90">iferror(_xlfn.XLOOKUP(D90,DATA!B:B,DATA!A:A),"")</f>
        <v/>
      </c>
      <c r="D90" s="82"/>
      <c r="E90" s="61" t="str">
        <f t="array" ref="E90">iferror(_xlfn.XLOOKUP(F90,DATA!B:B,DATA!A:A),"")</f>
        <v/>
      </c>
      <c r="F90" s="83"/>
      <c r="G90" s="78"/>
      <c r="H90" s="64" t="str">
        <f t="array" ref="H90">_xlfn.XLOOKUP(G90,DATA!D:D,DATA!E:E,"")</f>
        <v/>
      </c>
      <c r="I90" s="84"/>
      <c r="J90" s="23"/>
      <c r="K90" s="23"/>
      <c r="L90" s="66" t="str">
        <f t="shared" si="1"/>
        <v/>
      </c>
      <c r="M90" s="77"/>
      <c r="N90" s="78"/>
      <c r="O90" s="66" t="str">
        <f>IF(M90="","",
 IF(M90="عدم پاسخ","بدون پاسخ",
 IF(L90="","اطلاعات ناقص",
 IF(L90&lt;=DATA!$M$1,"رعایت شده","رعایت نشده"))))</f>
        <v/>
      </c>
      <c r="P90" s="79"/>
      <c r="Q90" s="77"/>
      <c r="R90" s="79"/>
      <c r="S90" s="79"/>
      <c r="T90" s="78"/>
      <c r="U90" s="80"/>
      <c r="V90" s="78"/>
      <c r="W90" s="77" t="str">
        <f t="array" ref="W90">IF(D90="","",_xlfn.XLOOKUP(D90,DATA!B:B,DATA!L:L,""))</f>
        <v/>
      </c>
      <c r="X90" s="78" t="str">
        <f t="array" ref="X90">IF(F90="","",_xlfn.XLOOKUP(F90,DATA!B:B,DATA!L:L,""))</f>
        <v/>
      </c>
    </row>
    <row r="91">
      <c r="A91" s="81"/>
      <c r="B91" s="79"/>
      <c r="C91" s="57" t="str">
        <f t="array" ref="C91">iferror(_xlfn.XLOOKUP(D91,DATA!B:B,DATA!A:A),"")</f>
        <v/>
      </c>
      <c r="D91" s="82"/>
      <c r="E91" s="61" t="str">
        <f t="array" ref="E91">iferror(_xlfn.XLOOKUP(F91,DATA!B:B,DATA!A:A),"")</f>
        <v/>
      </c>
      <c r="F91" s="83"/>
      <c r="G91" s="78"/>
      <c r="H91" s="64" t="str">
        <f t="array" ref="H91">_xlfn.XLOOKUP(G91,DATA!D:D,DATA!E:E,"")</f>
        <v/>
      </c>
      <c r="I91" s="84"/>
      <c r="J91" s="23"/>
      <c r="K91" s="23"/>
      <c r="L91" s="66" t="str">
        <f t="shared" si="1"/>
        <v/>
      </c>
      <c r="M91" s="77"/>
      <c r="N91" s="78"/>
      <c r="O91" s="66" t="str">
        <f>IF(M91="","",
 IF(M91="عدم پاسخ","بدون پاسخ",
 IF(L91="","اطلاعات ناقص",
 IF(L91&lt;=DATA!$M$1,"رعایت شده","رعایت نشده"))))</f>
        <v/>
      </c>
      <c r="P91" s="79"/>
      <c r="Q91" s="77"/>
      <c r="R91" s="79"/>
      <c r="S91" s="79"/>
      <c r="T91" s="78"/>
      <c r="U91" s="80"/>
      <c r="V91" s="78"/>
      <c r="W91" s="77" t="str">
        <f t="array" ref="W91">IF(D91="","",_xlfn.XLOOKUP(D91,DATA!B:B,DATA!L:L,""))</f>
        <v/>
      </c>
      <c r="X91" s="78" t="str">
        <f t="array" ref="X91">IF(F91="","",_xlfn.XLOOKUP(F91,DATA!B:B,DATA!L:L,""))</f>
        <v/>
      </c>
    </row>
    <row r="92">
      <c r="A92" s="81"/>
      <c r="B92" s="79"/>
      <c r="C92" s="57" t="str">
        <f t="array" ref="C92">iferror(_xlfn.XLOOKUP(D92,DATA!B:B,DATA!A:A),"")</f>
        <v/>
      </c>
      <c r="D92" s="82"/>
      <c r="E92" s="61" t="str">
        <f t="array" ref="E92">iferror(_xlfn.XLOOKUP(F92,DATA!B:B,DATA!A:A),"")</f>
        <v/>
      </c>
      <c r="F92" s="83"/>
      <c r="G92" s="78"/>
      <c r="H92" s="64" t="str">
        <f t="array" ref="H92">_xlfn.XLOOKUP(G92,DATA!D:D,DATA!E:E,"")</f>
        <v/>
      </c>
      <c r="I92" s="84"/>
      <c r="J92" s="23"/>
      <c r="K92" s="23"/>
      <c r="L92" s="66" t="str">
        <f t="shared" si="1"/>
        <v/>
      </c>
      <c r="M92" s="77"/>
      <c r="N92" s="78"/>
      <c r="O92" s="66" t="str">
        <f>IF(M92="","",
 IF(M92="عدم پاسخ","بدون پاسخ",
 IF(L92="","اطلاعات ناقص",
 IF(L92&lt;=DATA!$M$1,"رعایت شده","رعایت نشده"))))</f>
        <v/>
      </c>
      <c r="P92" s="79"/>
      <c r="Q92" s="77"/>
      <c r="R92" s="79"/>
      <c r="S92" s="79"/>
      <c r="T92" s="78"/>
      <c r="U92" s="80"/>
      <c r="V92" s="78"/>
      <c r="W92" s="77" t="str">
        <f t="array" ref="W92">IF(D92="","",_xlfn.XLOOKUP(D92,DATA!B:B,DATA!L:L,""))</f>
        <v/>
      </c>
      <c r="X92" s="78" t="str">
        <f t="array" ref="X92">IF(F92="","",_xlfn.XLOOKUP(F92,DATA!B:B,DATA!L:L,""))</f>
        <v/>
      </c>
    </row>
    <row r="93">
      <c r="A93" s="81"/>
      <c r="B93" s="79"/>
      <c r="C93" s="57" t="str">
        <f t="array" ref="C93">iferror(_xlfn.XLOOKUP(D93,DATA!B:B,DATA!A:A),"")</f>
        <v/>
      </c>
      <c r="D93" s="82"/>
      <c r="E93" s="61" t="str">
        <f t="array" ref="E93">iferror(_xlfn.XLOOKUP(F93,DATA!B:B,DATA!A:A),"")</f>
        <v/>
      </c>
      <c r="F93" s="83"/>
      <c r="G93" s="78"/>
      <c r="H93" s="64" t="str">
        <f t="array" ref="H93">_xlfn.XLOOKUP(G93,DATA!D:D,DATA!E:E,"")</f>
        <v/>
      </c>
      <c r="I93" s="84"/>
      <c r="J93" s="23"/>
      <c r="K93" s="23"/>
      <c r="L93" s="66" t="str">
        <f t="shared" si="1"/>
        <v/>
      </c>
      <c r="M93" s="77"/>
      <c r="N93" s="78"/>
      <c r="O93" s="66" t="str">
        <f>IF(M93="","",
 IF(M93="عدم پاسخ","بدون پاسخ",
 IF(L93="","اطلاعات ناقص",
 IF(L93&lt;=DATA!$M$1,"رعایت شده","رعایت نشده"))))</f>
        <v/>
      </c>
      <c r="P93" s="79"/>
      <c r="Q93" s="77"/>
      <c r="R93" s="79"/>
      <c r="S93" s="79"/>
      <c r="T93" s="78"/>
      <c r="U93" s="80"/>
      <c r="V93" s="78"/>
      <c r="W93" s="77" t="str">
        <f t="array" ref="W93">IF(D93="","",_xlfn.XLOOKUP(D93,DATA!B:B,DATA!L:L,""))</f>
        <v/>
      </c>
      <c r="X93" s="78" t="str">
        <f t="array" ref="X93">IF(F93="","",_xlfn.XLOOKUP(F93,DATA!B:B,DATA!L:L,""))</f>
        <v/>
      </c>
    </row>
    <row r="94">
      <c r="A94" s="81"/>
      <c r="B94" s="79"/>
      <c r="C94" s="57" t="str">
        <f t="array" ref="C94">iferror(_xlfn.XLOOKUP(D94,DATA!B:B,DATA!A:A),"")</f>
        <v/>
      </c>
      <c r="D94" s="82"/>
      <c r="E94" s="61" t="str">
        <f t="array" ref="E94">iferror(_xlfn.XLOOKUP(F94,DATA!B:B,DATA!A:A),"")</f>
        <v/>
      </c>
      <c r="F94" s="83"/>
      <c r="G94" s="78"/>
      <c r="H94" s="64" t="str">
        <f t="array" ref="H94">_xlfn.XLOOKUP(G94,DATA!D:D,DATA!E:E,"")</f>
        <v/>
      </c>
      <c r="I94" s="84"/>
      <c r="J94" s="23"/>
      <c r="K94" s="23"/>
      <c r="L94" s="66" t="str">
        <f t="shared" si="1"/>
        <v/>
      </c>
      <c r="M94" s="77"/>
      <c r="N94" s="78"/>
      <c r="O94" s="66" t="str">
        <f>IF(M94="","",
 IF(M94="عدم پاسخ","بدون پاسخ",
 IF(L94="","اطلاعات ناقص",
 IF(L94&lt;=DATA!$M$1,"رعایت شده","رعایت نشده"))))</f>
        <v/>
      </c>
      <c r="P94" s="79"/>
      <c r="Q94" s="77"/>
      <c r="R94" s="79"/>
      <c r="S94" s="79"/>
      <c r="T94" s="78"/>
      <c r="U94" s="80"/>
      <c r="V94" s="78"/>
      <c r="W94" s="77" t="str">
        <f t="array" ref="W94">IF(D94="","",_xlfn.XLOOKUP(D94,DATA!B:B,DATA!L:L,""))</f>
        <v/>
      </c>
      <c r="X94" s="78" t="str">
        <f t="array" ref="X94">IF(F94="","",_xlfn.XLOOKUP(F94,DATA!B:B,DATA!L:L,""))</f>
        <v/>
      </c>
    </row>
    <row r="95">
      <c r="A95" s="81"/>
      <c r="B95" s="79"/>
      <c r="C95" s="57" t="str">
        <f t="array" ref="C95">iferror(_xlfn.XLOOKUP(D95,DATA!B:B,DATA!A:A),"")</f>
        <v/>
      </c>
      <c r="D95" s="82"/>
      <c r="E95" s="61" t="str">
        <f t="array" ref="E95">iferror(_xlfn.XLOOKUP(F95,DATA!B:B,DATA!A:A),"")</f>
        <v/>
      </c>
      <c r="F95" s="83"/>
      <c r="G95" s="78"/>
      <c r="H95" s="64" t="str">
        <f t="array" ref="H95">_xlfn.XLOOKUP(G95,DATA!D:D,DATA!E:E,"")</f>
        <v/>
      </c>
      <c r="I95" s="84"/>
      <c r="J95" s="23"/>
      <c r="K95" s="23"/>
      <c r="L95" s="66" t="str">
        <f t="shared" si="1"/>
        <v/>
      </c>
      <c r="M95" s="77"/>
      <c r="N95" s="78"/>
      <c r="O95" s="66" t="str">
        <f>IF(M95="","",
 IF(M95="عدم پاسخ","بدون پاسخ",
 IF(L95="","اطلاعات ناقص",
 IF(L95&lt;=DATA!$M$1,"رعایت شده","رعایت نشده"))))</f>
        <v/>
      </c>
      <c r="P95" s="79"/>
      <c r="Q95" s="77"/>
      <c r="R95" s="79"/>
      <c r="S95" s="79"/>
      <c r="T95" s="78"/>
      <c r="U95" s="80"/>
      <c r="V95" s="78"/>
      <c r="W95" s="77" t="str">
        <f t="array" ref="W95">IF(D95="","",_xlfn.XLOOKUP(D95,DATA!B:B,DATA!L:L,""))</f>
        <v/>
      </c>
      <c r="X95" s="78" t="str">
        <f t="array" ref="X95">IF(F95="","",_xlfn.XLOOKUP(F95,DATA!B:B,DATA!L:L,""))</f>
        <v/>
      </c>
    </row>
    <row r="96">
      <c r="A96" s="81"/>
      <c r="B96" s="79"/>
      <c r="C96" s="57" t="str">
        <f t="array" ref="C96">iferror(_xlfn.XLOOKUP(D96,DATA!B:B,DATA!A:A),"")</f>
        <v/>
      </c>
      <c r="D96" s="82"/>
      <c r="E96" s="61" t="str">
        <f t="array" ref="E96">iferror(_xlfn.XLOOKUP(F96,DATA!B:B,DATA!A:A),"")</f>
        <v/>
      </c>
      <c r="F96" s="83"/>
      <c r="G96" s="78"/>
      <c r="H96" s="64" t="str">
        <f t="array" ref="H96">_xlfn.XLOOKUP(G96,DATA!D:D,DATA!E:E,"")</f>
        <v/>
      </c>
      <c r="I96" s="84"/>
      <c r="J96" s="23"/>
      <c r="K96" s="23"/>
      <c r="L96" s="66" t="str">
        <f t="shared" si="1"/>
        <v/>
      </c>
      <c r="M96" s="77"/>
      <c r="N96" s="78"/>
      <c r="O96" s="66" t="str">
        <f>IF(M96="","",
 IF(M96="عدم پاسخ","بدون پاسخ",
 IF(L96="","اطلاعات ناقص",
 IF(L96&lt;=DATA!$M$1,"رعایت شده","رعایت نشده"))))</f>
        <v/>
      </c>
      <c r="P96" s="79"/>
      <c r="Q96" s="77"/>
      <c r="R96" s="79"/>
      <c r="S96" s="79"/>
      <c r="T96" s="78"/>
      <c r="U96" s="80"/>
      <c r="V96" s="78"/>
      <c r="W96" s="77" t="str">
        <f t="array" ref="W96">IF(D96="","",_xlfn.XLOOKUP(D96,DATA!B:B,DATA!L:L,""))</f>
        <v/>
      </c>
      <c r="X96" s="78" t="str">
        <f t="array" ref="X96">IF(F96="","",_xlfn.XLOOKUP(F96,DATA!B:B,DATA!L:L,""))</f>
        <v/>
      </c>
    </row>
    <row r="97">
      <c r="A97" s="81"/>
      <c r="B97" s="79"/>
      <c r="C97" s="57" t="str">
        <f t="array" ref="C97">iferror(_xlfn.XLOOKUP(D97,DATA!B:B,DATA!A:A),"")</f>
        <v/>
      </c>
      <c r="D97" s="82"/>
      <c r="E97" s="61" t="str">
        <f t="array" ref="E97">iferror(_xlfn.XLOOKUP(F97,DATA!B:B,DATA!A:A),"")</f>
        <v/>
      </c>
      <c r="F97" s="83"/>
      <c r="G97" s="78"/>
      <c r="H97" s="64" t="str">
        <f t="array" ref="H97">_xlfn.XLOOKUP(G97,DATA!D:D,DATA!E:E,"")</f>
        <v/>
      </c>
      <c r="I97" s="84"/>
      <c r="J97" s="23"/>
      <c r="K97" s="23"/>
      <c r="L97" s="66" t="str">
        <f t="shared" si="1"/>
        <v/>
      </c>
      <c r="M97" s="77"/>
      <c r="N97" s="78"/>
      <c r="O97" s="66" t="str">
        <f>IF(M97="","",
 IF(M97="عدم پاسخ","بدون پاسخ",
 IF(L97="","اطلاعات ناقص",
 IF(L97&lt;=DATA!$M$1,"رعایت شده","رعایت نشده"))))</f>
        <v/>
      </c>
      <c r="P97" s="79"/>
      <c r="Q97" s="77"/>
      <c r="R97" s="79"/>
      <c r="S97" s="79"/>
      <c r="T97" s="78"/>
      <c r="U97" s="80"/>
      <c r="V97" s="78"/>
      <c r="W97" s="77" t="str">
        <f t="array" ref="W97">IF(D97="","",_xlfn.XLOOKUP(D97,DATA!B:B,DATA!L:L,""))</f>
        <v/>
      </c>
      <c r="X97" s="78" t="str">
        <f t="array" ref="X97">IF(F97="","",_xlfn.XLOOKUP(F97,DATA!B:B,DATA!L:L,""))</f>
        <v/>
      </c>
    </row>
    <row r="98">
      <c r="A98" s="81"/>
      <c r="B98" s="79"/>
      <c r="C98" s="57" t="str">
        <f t="array" ref="C98">iferror(_xlfn.XLOOKUP(D98,DATA!B:B,DATA!A:A),"")</f>
        <v/>
      </c>
      <c r="D98" s="82"/>
      <c r="E98" s="61" t="str">
        <f t="array" ref="E98">iferror(_xlfn.XLOOKUP(F98,DATA!B:B,DATA!A:A),"")</f>
        <v/>
      </c>
      <c r="F98" s="83"/>
      <c r="G98" s="78"/>
      <c r="H98" s="64" t="str">
        <f t="array" ref="H98">_xlfn.XLOOKUP(G98,DATA!D:D,DATA!E:E,"")</f>
        <v/>
      </c>
      <c r="I98" s="84"/>
      <c r="J98" s="23"/>
      <c r="K98" s="23"/>
      <c r="L98" s="66" t="str">
        <f t="shared" si="1"/>
        <v/>
      </c>
      <c r="M98" s="77"/>
      <c r="N98" s="78"/>
      <c r="O98" s="66" t="str">
        <f>IF(M98="","",
 IF(M98="عدم پاسخ","بدون پاسخ",
 IF(L98="","اطلاعات ناقص",
 IF(L98&lt;=DATA!$M$1,"رعایت شده","رعایت نشده"))))</f>
        <v/>
      </c>
      <c r="P98" s="79"/>
      <c r="Q98" s="77"/>
      <c r="R98" s="79"/>
      <c r="S98" s="79"/>
      <c r="T98" s="78"/>
      <c r="U98" s="80"/>
      <c r="V98" s="78"/>
      <c r="W98" s="77" t="str">
        <f t="array" ref="W98">IF(D98="","",_xlfn.XLOOKUP(D98,DATA!B:B,DATA!L:L,""))</f>
        <v/>
      </c>
      <c r="X98" s="78" t="str">
        <f t="array" ref="X98">IF(F98="","",_xlfn.XLOOKUP(F98,DATA!B:B,DATA!L:L,""))</f>
        <v/>
      </c>
    </row>
    <row r="99">
      <c r="A99" s="81"/>
      <c r="B99" s="79"/>
      <c r="C99" s="57" t="str">
        <f t="array" ref="C99">iferror(_xlfn.XLOOKUP(D99,DATA!B:B,DATA!A:A),"")</f>
        <v/>
      </c>
      <c r="D99" s="82"/>
      <c r="E99" s="61" t="str">
        <f t="array" ref="E99">iferror(_xlfn.XLOOKUP(F99,DATA!B:B,DATA!A:A),"")</f>
        <v/>
      </c>
      <c r="F99" s="83"/>
      <c r="G99" s="78"/>
      <c r="H99" s="64" t="str">
        <f t="array" ref="H99">_xlfn.XLOOKUP(G99,DATA!D:D,DATA!E:E,"")</f>
        <v/>
      </c>
      <c r="I99" s="84"/>
      <c r="J99" s="23"/>
      <c r="K99" s="23"/>
      <c r="L99" s="66" t="str">
        <f t="shared" si="1"/>
        <v/>
      </c>
      <c r="M99" s="77"/>
      <c r="N99" s="78"/>
      <c r="O99" s="66" t="str">
        <f>IF(M99="","",
 IF(M99="عدم پاسخ","بدون پاسخ",
 IF(L99="","اطلاعات ناقص",
 IF(L99&lt;=DATA!$M$1,"رعایت شده","رعایت نشده"))))</f>
        <v/>
      </c>
      <c r="P99" s="79"/>
      <c r="Q99" s="77"/>
      <c r="R99" s="79"/>
      <c r="S99" s="79"/>
      <c r="T99" s="78"/>
      <c r="U99" s="80"/>
      <c r="V99" s="78"/>
      <c r="W99" s="77" t="str">
        <f t="array" ref="W99">IF(D99="","",_xlfn.XLOOKUP(D99,DATA!B:B,DATA!L:L,""))</f>
        <v/>
      </c>
      <c r="X99" s="78" t="str">
        <f t="array" ref="X99">IF(F99="","",_xlfn.XLOOKUP(F99,DATA!B:B,DATA!L:L,""))</f>
        <v/>
      </c>
    </row>
    <row r="100">
      <c r="A100" s="81"/>
      <c r="B100" s="79"/>
      <c r="C100" s="57" t="str">
        <f t="array" ref="C100">iferror(_xlfn.XLOOKUP(D100,DATA!B:B,DATA!A:A),"")</f>
        <v/>
      </c>
      <c r="D100" s="82"/>
      <c r="E100" s="61" t="str">
        <f t="array" ref="E100">iferror(_xlfn.XLOOKUP(F100,DATA!B:B,DATA!A:A),"")</f>
        <v/>
      </c>
      <c r="F100" s="83"/>
      <c r="G100" s="78"/>
      <c r="H100" s="64" t="str">
        <f t="array" ref="H100">_xlfn.XLOOKUP(G100,DATA!D:D,DATA!E:E,"")</f>
        <v/>
      </c>
      <c r="I100" s="84"/>
      <c r="J100" s="23"/>
      <c r="K100" s="23"/>
      <c r="L100" s="66" t="str">
        <f t="shared" si="1"/>
        <v/>
      </c>
      <c r="M100" s="77"/>
      <c r="N100" s="78"/>
      <c r="O100" s="66" t="str">
        <f>IF(M100="","",
 IF(M100="عدم پاسخ","بدون پاسخ",
 IF(L100="","اطلاعات ناقص",
 IF(L100&lt;=DATA!$M$1,"رعایت شده","رعایت نشده"))))</f>
        <v/>
      </c>
      <c r="P100" s="79"/>
      <c r="Q100" s="77"/>
      <c r="R100" s="79"/>
      <c r="S100" s="79"/>
      <c r="T100" s="78"/>
      <c r="U100" s="80"/>
      <c r="V100" s="78"/>
      <c r="W100" s="77" t="str">
        <f t="array" ref="W100">IF(D100="","",_xlfn.XLOOKUP(D100,DATA!B:B,DATA!L:L,""))</f>
        <v/>
      </c>
      <c r="X100" s="78" t="str">
        <f t="array" ref="X100">IF(F100="","",_xlfn.XLOOKUP(F100,DATA!B:B,DATA!L:L,""))</f>
        <v/>
      </c>
    </row>
    <row r="101">
      <c r="A101" s="81"/>
      <c r="B101" s="79"/>
      <c r="C101" s="57" t="str">
        <f t="array" ref="C101">iferror(_xlfn.XLOOKUP(D101,DATA!B:B,DATA!A:A),"")</f>
        <v/>
      </c>
      <c r="D101" s="82"/>
      <c r="E101" s="61" t="str">
        <f t="array" ref="E101">iferror(_xlfn.XLOOKUP(F101,DATA!B:B,DATA!A:A),"")</f>
        <v/>
      </c>
      <c r="F101" s="83"/>
      <c r="G101" s="78"/>
      <c r="H101" s="64" t="str">
        <f t="array" ref="H101">_xlfn.XLOOKUP(G101,DATA!D:D,DATA!E:E,"")</f>
        <v/>
      </c>
      <c r="I101" s="84"/>
      <c r="J101" s="23"/>
      <c r="K101" s="23"/>
      <c r="L101" s="66" t="str">
        <f t="shared" si="1"/>
        <v/>
      </c>
      <c r="M101" s="77"/>
      <c r="N101" s="78"/>
      <c r="O101" s="66" t="str">
        <f>IF(M101="","",
 IF(M101="عدم پاسخ","بدون پاسخ",
 IF(L101="","اطلاعات ناقص",
 IF(L101&lt;=DATA!$M$1,"رعایت شده","رعایت نشده"))))</f>
        <v/>
      </c>
      <c r="P101" s="79"/>
      <c r="Q101" s="77"/>
      <c r="R101" s="79"/>
      <c r="S101" s="79"/>
      <c r="T101" s="78"/>
      <c r="U101" s="80"/>
      <c r="V101" s="78"/>
      <c r="W101" s="77" t="str">
        <f t="array" ref="W101">IF(D101="","",_xlfn.XLOOKUP(D101,DATA!B:B,DATA!L:L,""))</f>
        <v/>
      </c>
      <c r="X101" s="78" t="str">
        <f t="array" ref="X101">IF(F101="","",_xlfn.XLOOKUP(F101,DATA!B:B,DATA!L:L,""))</f>
        <v/>
      </c>
    </row>
    <row r="102">
      <c r="A102" s="81"/>
      <c r="B102" s="79"/>
      <c r="C102" s="57" t="str">
        <f t="array" ref="C102">iferror(_xlfn.XLOOKUP(D102,DATA!B:B,DATA!A:A),"")</f>
        <v/>
      </c>
      <c r="D102" s="82"/>
      <c r="E102" s="61" t="str">
        <f t="array" ref="E102">iferror(_xlfn.XLOOKUP(F102,DATA!B:B,DATA!A:A),"")</f>
        <v/>
      </c>
      <c r="F102" s="83"/>
      <c r="G102" s="78"/>
      <c r="H102" s="64" t="str">
        <f t="array" ref="H102">_xlfn.XLOOKUP(G102,DATA!D:D,DATA!E:E,"")</f>
        <v/>
      </c>
      <c r="I102" s="84"/>
      <c r="J102" s="23"/>
      <c r="K102" s="23"/>
      <c r="L102" s="66" t="str">
        <f t="shared" si="1"/>
        <v/>
      </c>
      <c r="M102" s="77"/>
      <c r="N102" s="78"/>
      <c r="O102" s="66" t="str">
        <f>IF(M102="","",
 IF(M102="عدم پاسخ","بدون پاسخ",
 IF(L102="","اطلاعات ناقص",
 IF(L102&lt;=DATA!$M$1,"رعایت شده","رعایت نشده"))))</f>
        <v/>
      </c>
      <c r="P102" s="79"/>
      <c r="Q102" s="77"/>
      <c r="R102" s="79"/>
      <c r="S102" s="79"/>
      <c r="T102" s="78"/>
      <c r="U102" s="80"/>
      <c r="V102" s="78"/>
      <c r="W102" s="77" t="str">
        <f t="array" ref="W102">IF(D102="","",_xlfn.XLOOKUP(D102,DATA!B:B,DATA!L:L,""))</f>
        <v/>
      </c>
      <c r="X102" s="78" t="str">
        <f t="array" ref="X102">IF(F102="","",_xlfn.XLOOKUP(F102,DATA!B:B,DATA!L:L,""))</f>
        <v/>
      </c>
    </row>
    <row r="103">
      <c r="A103" s="81"/>
      <c r="B103" s="79"/>
      <c r="C103" s="57" t="str">
        <f t="array" ref="C103">iferror(_xlfn.XLOOKUP(D103,DATA!B:B,DATA!A:A),"")</f>
        <v/>
      </c>
      <c r="D103" s="82"/>
      <c r="E103" s="61" t="str">
        <f t="array" ref="E103">iferror(_xlfn.XLOOKUP(F103,DATA!B:B,DATA!A:A),"")</f>
        <v/>
      </c>
      <c r="F103" s="83"/>
      <c r="G103" s="78"/>
      <c r="H103" s="64" t="str">
        <f t="array" ref="H103">_xlfn.XLOOKUP(G103,DATA!D:D,DATA!E:E,"")</f>
        <v/>
      </c>
      <c r="I103" s="84"/>
      <c r="J103" s="23"/>
      <c r="K103" s="23"/>
      <c r="L103" s="66" t="str">
        <f t="shared" si="1"/>
        <v/>
      </c>
      <c r="M103" s="77"/>
      <c r="N103" s="78"/>
      <c r="O103" s="66" t="str">
        <f>IF(M103="","",
 IF(M103="عدم پاسخ","بدون پاسخ",
 IF(L103="","اطلاعات ناقص",
 IF(L103&lt;=DATA!$M$1,"رعایت شده","رعایت نشده"))))</f>
        <v/>
      </c>
      <c r="P103" s="79"/>
      <c r="Q103" s="77"/>
      <c r="R103" s="79"/>
      <c r="S103" s="79"/>
      <c r="T103" s="78"/>
      <c r="U103" s="80"/>
      <c r="V103" s="78"/>
      <c r="W103" s="77" t="str">
        <f t="array" ref="W103">IF(D103="","",_xlfn.XLOOKUP(D103,DATA!B:B,DATA!L:L,""))</f>
        <v/>
      </c>
      <c r="X103" s="78" t="str">
        <f t="array" ref="X103">IF(F103="","",_xlfn.XLOOKUP(F103,DATA!B:B,DATA!L:L,""))</f>
        <v/>
      </c>
    </row>
    <row r="104">
      <c r="A104" s="81"/>
      <c r="B104" s="79"/>
      <c r="C104" s="57" t="str">
        <f t="array" ref="C104">iferror(_xlfn.XLOOKUP(D104,DATA!B:B,DATA!A:A),"")</f>
        <v/>
      </c>
      <c r="D104" s="82"/>
      <c r="E104" s="61" t="str">
        <f t="array" ref="E104">iferror(_xlfn.XLOOKUP(F104,DATA!B:B,DATA!A:A),"")</f>
        <v/>
      </c>
      <c r="F104" s="83"/>
      <c r="G104" s="78"/>
      <c r="H104" s="64" t="str">
        <f t="array" ref="H104">_xlfn.XLOOKUP(G104,DATA!D:D,DATA!E:E,"")</f>
        <v/>
      </c>
      <c r="I104" s="84"/>
      <c r="J104" s="23"/>
      <c r="K104" s="23"/>
      <c r="L104" s="66" t="str">
        <f t="shared" si="1"/>
        <v/>
      </c>
      <c r="M104" s="77"/>
      <c r="N104" s="78"/>
      <c r="O104" s="66" t="str">
        <f>IF(M104="","",
 IF(M104="عدم پاسخ","بدون پاسخ",
 IF(L104="","اطلاعات ناقص",
 IF(L104&lt;=DATA!$M$1,"رعایت شده","رعایت نشده"))))</f>
        <v/>
      </c>
      <c r="P104" s="79"/>
      <c r="Q104" s="77"/>
      <c r="R104" s="79"/>
      <c r="S104" s="79"/>
      <c r="T104" s="78"/>
      <c r="U104" s="80"/>
      <c r="V104" s="78"/>
      <c r="W104" s="77" t="str">
        <f t="array" ref="W104">IF(D104="","",_xlfn.XLOOKUP(D104,DATA!B:B,DATA!L:L,""))</f>
        <v/>
      </c>
      <c r="X104" s="78" t="str">
        <f t="array" ref="X104">IF(F104="","",_xlfn.XLOOKUP(F104,DATA!B:B,DATA!L:L,""))</f>
        <v/>
      </c>
    </row>
    <row r="105">
      <c r="A105" s="81"/>
      <c r="B105" s="79"/>
      <c r="C105" s="57" t="str">
        <f t="array" ref="C105">iferror(_xlfn.XLOOKUP(D105,DATA!B:B,DATA!A:A),"")</f>
        <v/>
      </c>
      <c r="D105" s="82"/>
      <c r="E105" s="61" t="str">
        <f t="array" ref="E105">iferror(_xlfn.XLOOKUP(F105,DATA!B:B,DATA!A:A),"")</f>
        <v/>
      </c>
      <c r="F105" s="83"/>
      <c r="G105" s="78"/>
      <c r="H105" s="64" t="str">
        <f t="array" ref="H105">_xlfn.XLOOKUP(G105,DATA!D:D,DATA!E:E,"")</f>
        <v/>
      </c>
      <c r="I105" s="84"/>
      <c r="J105" s="23"/>
      <c r="K105" s="23"/>
      <c r="L105" s="66" t="str">
        <f t="shared" si="1"/>
        <v/>
      </c>
      <c r="M105" s="77"/>
      <c r="N105" s="78"/>
      <c r="O105" s="66" t="str">
        <f>IF(M105="","",
 IF(M105="عدم پاسخ","بدون پاسخ",
 IF(L105="","اطلاعات ناقص",
 IF(L105&lt;=DATA!$M$1,"رعایت شده","رعایت نشده"))))</f>
        <v/>
      </c>
      <c r="P105" s="79"/>
      <c r="Q105" s="77"/>
      <c r="R105" s="79"/>
      <c r="S105" s="79"/>
      <c r="T105" s="78"/>
      <c r="U105" s="80"/>
      <c r="V105" s="78"/>
      <c r="W105" s="77" t="str">
        <f t="array" ref="W105">IF(D105="","",_xlfn.XLOOKUP(D105,DATA!B:B,DATA!L:L,""))</f>
        <v/>
      </c>
      <c r="X105" s="78" t="str">
        <f t="array" ref="X105">IF(F105="","",_xlfn.XLOOKUP(F105,DATA!B:B,DATA!L:L,""))</f>
        <v/>
      </c>
    </row>
    <row r="106">
      <c r="A106" s="81"/>
      <c r="B106" s="79"/>
      <c r="C106" s="57" t="str">
        <f t="array" ref="C106">iferror(_xlfn.XLOOKUP(D106,DATA!B:B,DATA!A:A),"")</f>
        <v/>
      </c>
      <c r="D106" s="82"/>
      <c r="E106" s="61" t="str">
        <f t="array" ref="E106">iferror(_xlfn.XLOOKUP(F106,DATA!B:B,DATA!A:A),"")</f>
        <v/>
      </c>
      <c r="F106" s="83"/>
      <c r="G106" s="78"/>
      <c r="H106" s="64" t="str">
        <f t="array" ref="H106">_xlfn.XLOOKUP(G106,DATA!D:D,DATA!E:E,"")</f>
        <v/>
      </c>
      <c r="I106" s="84"/>
      <c r="J106" s="23"/>
      <c r="K106" s="23"/>
      <c r="L106" s="66" t="str">
        <f t="shared" si="1"/>
        <v/>
      </c>
      <c r="M106" s="77"/>
      <c r="N106" s="78"/>
      <c r="O106" s="66" t="str">
        <f>IF(M106="","",
 IF(M106="عدم پاسخ","بدون پاسخ",
 IF(L106="","اطلاعات ناقص",
 IF(L106&lt;=DATA!$M$1,"رعایت شده","رعایت نشده"))))</f>
        <v/>
      </c>
      <c r="P106" s="79"/>
      <c r="Q106" s="77"/>
      <c r="R106" s="79"/>
      <c r="S106" s="79"/>
      <c r="T106" s="78"/>
      <c r="U106" s="80"/>
      <c r="V106" s="78"/>
      <c r="W106" s="77" t="str">
        <f t="array" ref="W106">IF(D106="","",_xlfn.XLOOKUP(D106,DATA!B:B,DATA!L:L,""))</f>
        <v/>
      </c>
      <c r="X106" s="78" t="str">
        <f t="array" ref="X106">IF(F106="","",_xlfn.XLOOKUP(F106,DATA!B:B,DATA!L:L,""))</f>
        <v/>
      </c>
    </row>
    <row r="107">
      <c r="A107" s="81"/>
      <c r="B107" s="79"/>
      <c r="C107" s="57" t="str">
        <f t="array" ref="C107">iferror(_xlfn.XLOOKUP(D107,DATA!B:B,DATA!A:A),"")</f>
        <v/>
      </c>
      <c r="D107" s="82"/>
      <c r="E107" s="61" t="str">
        <f t="array" ref="E107">iferror(_xlfn.XLOOKUP(F107,DATA!B:B,DATA!A:A),"")</f>
        <v/>
      </c>
      <c r="F107" s="83"/>
      <c r="G107" s="78"/>
      <c r="H107" s="64" t="str">
        <f t="array" ref="H107">_xlfn.XLOOKUP(G107,DATA!D:D,DATA!E:E,"")</f>
        <v/>
      </c>
      <c r="I107" s="84"/>
      <c r="J107" s="23"/>
      <c r="K107" s="23"/>
      <c r="L107" s="66" t="str">
        <f t="shared" si="1"/>
        <v/>
      </c>
      <c r="M107" s="77"/>
      <c r="N107" s="78"/>
      <c r="O107" s="66" t="str">
        <f>IF(M107="","",
 IF(M107="عدم پاسخ","بدون پاسخ",
 IF(L107="","اطلاعات ناقص",
 IF(L107&lt;=DATA!$M$1,"رعایت شده","رعایت نشده"))))</f>
        <v/>
      </c>
      <c r="P107" s="79"/>
      <c r="Q107" s="77"/>
      <c r="R107" s="79"/>
      <c r="S107" s="79"/>
      <c r="T107" s="78"/>
      <c r="U107" s="80"/>
      <c r="V107" s="78"/>
      <c r="W107" s="77" t="str">
        <f t="array" ref="W107">IF(D107="","",_xlfn.XLOOKUP(D107,DATA!B:B,DATA!L:L,""))</f>
        <v/>
      </c>
      <c r="X107" s="78" t="str">
        <f t="array" ref="X107">IF(F107="","",_xlfn.XLOOKUP(F107,DATA!B:B,DATA!L:L,""))</f>
        <v/>
      </c>
    </row>
    <row r="108">
      <c r="A108" s="81"/>
      <c r="B108" s="79"/>
      <c r="C108" s="57" t="str">
        <f t="array" ref="C108">iferror(_xlfn.XLOOKUP(D108,DATA!B:B,DATA!A:A),"")</f>
        <v/>
      </c>
      <c r="D108" s="82"/>
      <c r="E108" s="61" t="str">
        <f t="array" ref="E108">iferror(_xlfn.XLOOKUP(F108,DATA!B:B,DATA!A:A),"")</f>
        <v/>
      </c>
      <c r="F108" s="83"/>
      <c r="G108" s="78"/>
      <c r="H108" s="64" t="str">
        <f t="array" ref="H108">_xlfn.XLOOKUP(G108,DATA!D:D,DATA!E:E,"")</f>
        <v/>
      </c>
      <c r="I108" s="84"/>
      <c r="J108" s="23"/>
      <c r="K108" s="23"/>
      <c r="L108" s="66" t="str">
        <f t="shared" si="1"/>
        <v/>
      </c>
      <c r="M108" s="77"/>
      <c r="N108" s="78"/>
      <c r="O108" s="66" t="str">
        <f>IF(M108="","",
 IF(M108="عدم پاسخ","بدون پاسخ",
 IF(L108="","اطلاعات ناقص",
 IF(L108&lt;=DATA!$M$1,"رعایت شده","رعایت نشده"))))</f>
        <v/>
      </c>
      <c r="P108" s="79"/>
      <c r="Q108" s="77"/>
      <c r="R108" s="79"/>
      <c r="S108" s="79"/>
      <c r="T108" s="78"/>
      <c r="U108" s="80"/>
      <c r="V108" s="78"/>
      <c r="W108" s="77" t="str">
        <f t="array" ref="W108">IF(D108="","",_xlfn.XLOOKUP(D108,DATA!B:B,DATA!L:L,""))</f>
        <v/>
      </c>
      <c r="X108" s="78" t="str">
        <f t="array" ref="X108">IF(F108="","",_xlfn.XLOOKUP(F108,DATA!B:B,DATA!L:L,""))</f>
        <v/>
      </c>
    </row>
    <row r="109">
      <c r="A109" s="81"/>
      <c r="B109" s="79"/>
      <c r="C109" s="57" t="str">
        <f t="array" ref="C109">iferror(_xlfn.XLOOKUP(D109,DATA!B:B,DATA!A:A),"")</f>
        <v/>
      </c>
      <c r="D109" s="82"/>
      <c r="E109" s="61" t="str">
        <f t="array" ref="E109">iferror(_xlfn.XLOOKUP(F109,DATA!B:B,DATA!A:A),"")</f>
        <v/>
      </c>
      <c r="F109" s="83"/>
      <c r="G109" s="78"/>
      <c r="H109" s="64" t="str">
        <f t="array" ref="H109">_xlfn.XLOOKUP(G109,DATA!D:D,DATA!E:E,"")</f>
        <v/>
      </c>
      <c r="I109" s="84"/>
      <c r="J109" s="23"/>
      <c r="K109" s="23"/>
      <c r="L109" s="66" t="str">
        <f t="shared" si="1"/>
        <v/>
      </c>
      <c r="M109" s="77"/>
      <c r="N109" s="78"/>
      <c r="O109" s="66" t="str">
        <f>IF(M109="","",
 IF(M109="عدم پاسخ","بدون پاسخ",
 IF(L109="","اطلاعات ناقص",
 IF(L109&lt;=DATA!$M$1,"رعایت شده","رعایت نشده"))))</f>
        <v/>
      </c>
      <c r="P109" s="79"/>
      <c r="Q109" s="77"/>
      <c r="R109" s="79"/>
      <c r="S109" s="79"/>
      <c r="T109" s="78"/>
      <c r="U109" s="80"/>
      <c r="V109" s="78"/>
      <c r="W109" s="77" t="str">
        <f t="array" ref="W109">IF(D109="","",_xlfn.XLOOKUP(D109,DATA!B:B,DATA!L:L,""))</f>
        <v/>
      </c>
      <c r="X109" s="78" t="str">
        <f t="array" ref="X109">IF(F109="","",_xlfn.XLOOKUP(F109,DATA!B:B,DATA!L:L,""))</f>
        <v/>
      </c>
    </row>
    <row r="110">
      <c r="A110" s="81"/>
      <c r="B110" s="79"/>
      <c r="C110" s="57" t="str">
        <f t="array" ref="C110">iferror(_xlfn.XLOOKUP(D110,DATA!B:B,DATA!A:A),"")</f>
        <v/>
      </c>
      <c r="D110" s="82"/>
      <c r="E110" s="61" t="str">
        <f t="array" ref="E110">iferror(_xlfn.XLOOKUP(F110,DATA!B:B,DATA!A:A),"")</f>
        <v/>
      </c>
      <c r="F110" s="83"/>
      <c r="G110" s="78"/>
      <c r="H110" s="64" t="str">
        <f t="array" ref="H110">_xlfn.XLOOKUP(G110,DATA!D:D,DATA!E:E,"")</f>
        <v/>
      </c>
      <c r="I110" s="84"/>
      <c r="J110" s="23"/>
      <c r="K110" s="23"/>
      <c r="L110" s="66" t="str">
        <f t="shared" si="1"/>
        <v/>
      </c>
      <c r="M110" s="77"/>
      <c r="N110" s="78"/>
      <c r="O110" s="66" t="str">
        <f>IF(M110="","",
 IF(M110="عدم پاسخ","بدون پاسخ",
 IF(L110="","اطلاعات ناقص",
 IF(L110&lt;=DATA!$M$1,"رعایت شده","رعایت نشده"))))</f>
        <v/>
      </c>
      <c r="P110" s="79"/>
      <c r="Q110" s="77"/>
      <c r="R110" s="79"/>
      <c r="S110" s="79"/>
      <c r="T110" s="78"/>
      <c r="U110" s="80"/>
      <c r="V110" s="78"/>
      <c r="W110" s="77" t="str">
        <f t="array" ref="W110">IF(D110="","",_xlfn.XLOOKUP(D110,DATA!B:B,DATA!L:L,""))</f>
        <v/>
      </c>
      <c r="X110" s="78" t="str">
        <f t="array" ref="X110">IF(F110="","",_xlfn.XLOOKUP(F110,DATA!B:B,DATA!L:L,""))</f>
        <v/>
      </c>
    </row>
    <row r="111">
      <c r="A111" s="81"/>
      <c r="B111" s="79"/>
      <c r="C111" s="57" t="str">
        <f t="array" ref="C111">iferror(_xlfn.XLOOKUP(D111,DATA!B:B,DATA!A:A),"")</f>
        <v/>
      </c>
      <c r="D111" s="82"/>
      <c r="E111" s="61" t="str">
        <f t="array" ref="E111">iferror(_xlfn.XLOOKUP(F111,DATA!B:B,DATA!A:A),"")</f>
        <v/>
      </c>
      <c r="F111" s="83"/>
      <c r="G111" s="78"/>
      <c r="H111" s="64" t="str">
        <f t="array" ref="H111">_xlfn.XLOOKUP(G111,DATA!D:D,DATA!E:E,"")</f>
        <v/>
      </c>
      <c r="I111" s="84"/>
      <c r="J111" s="23"/>
      <c r="K111" s="23"/>
      <c r="L111" s="66" t="str">
        <f t="shared" si="1"/>
        <v/>
      </c>
      <c r="M111" s="77"/>
      <c r="N111" s="78"/>
      <c r="O111" s="66" t="str">
        <f>IF(M111="","",
 IF(M111="عدم پاسخ","بدون پاسخ",
 IF(L111="","اطلاعات ناقص",
 IF(L111&lt;=DATA!$M$1,"رعایت شده","رعایت نشده"))))</f>
        <v/>
      </c>
      <c r="P111" s="79"/>
      <c r="Q111" s="77"/>
      <c r="R111" s="79"/>
      <c r="S111" s="79"/>
      <c r="T111" s="78"/>
      <c r="U111" s="80"/>
      <c r="V111" s="78"/>
      <c r="W111" s="77" t="str">
        <f t="array" ref="W111">IF(D111="","",_xlfn.XLOOKUP(D111,DATA!B:B,DATA!L:L,""))</f>
        <v/>
      </c>
      <c r="X111" s="78" t="str">
        <f t="array" ref="X111">IF(F111="","",_xlfn.XLOOKUP(F111,DATA!B:B,DATA!L:L,""))</f>
        <v/>
      </c>
    </row>
    <row r="112">
      <c r="A112" s="81"/>
      <c r="B112" s="79"/>
      <c r="C112" s="57" t="str">
        <f t="array" ref="C112">iferror(_xlfn.XLOOKUP(D112,DATA!B:B,DATA!A:A),"")</f>
        <v/>
      </c>
      <c r="D112" s="82"/>
      <c r="E112" s="61" t="str">
        <f t="array" ref="E112">iferror(_xlfn.XLOOKUP(F112,DATA!B:B,DATA!A:A),"")</f>
        <v/>
      </c>
      <c r="F112" s="83"/>
      <c r="G112" s="78"/>
      <c r="H112" s="64" t="str">
        <f t="array" ref="H112">_xlfn.XLOOKUP(G112,DATA!D:D,DATA!E:E,"")</f>
        <v/>
      </c>
      <c r="I112" s="84"/>
      <c r="J112" s="23"/>
      <c r="K112" s="23"/>
      <c r="L112" s="66" t="str">
        <f t="shared" si="1"/>
        <v/>
      </c>
      <c r="M112" s="77"/>
      <c r="N112" s="78"/>
      <c r="O112" s="66" t="str">
        <f>IF(M112="","",
 IF(M112="عدم پاسخ","بدون پاسخ",
 IF(L112="","اطلاعات ناقص",
 IF(L112&lt;=DATA!$M$1,"رعایت شده","رعایت نشده"))))</f>
        <v/>
      </c>
      <c r="P112" s="79"/>
      <c r="Q112" s="77"/>
      <c r="R112" s="79"/>
      <c r="S112" s="79"/>
      <c r="T112" s="78"/>
      <c r="U112" s="80"/>
      <c r="V112" s="78"/>
      <c r="W112" s="77" t="str">
        <f t="array" ref="W112">IF(D112="","",_xlfn.XLOOKUP(D112,DATA!B:B,DATA!L:L,""))</f>
        <v/>
      </c>
      <c r="X112" s="78" t="str">
        <f t="array" ref="X112">IF(F112="","",_xlfn.XLOOKUP(F112,DATA!B:B,DATA!L:L,""))</f>
        <v/>
      </c>
    </row>
    <row r="113">
      <c r="A113" s="81"/>
      <c r="B113" s="79"/>
      <c r="C113" s="57" t="str">
        <f t="array" ref="C113">iferror(_xlfn.XLOOKUP(D113,DATA!B:B,DATA!A:A),"")</f>
        <v/>
      </c>
      <c r="D113" s="82"/>
      <c r="E113" s="61" t="str">
        <f t="array" ref="E113">iferror(_xlfn.XLOOKUP(F113,DATA!B:B,DATA!A:A),"")</f>
        <v/>
      </c>
      <c r="F113" s="83"/>
      <c r="G113" s="78"/>
      <c r="H113" s="64" t="str">
        <f t="array" ref="H113">_xlfn.XLOOKUP(G113,DATA!D:D,DATA!E:E,"")</f>
        <v/>
      </c>
      <c r="I113" s="84"/>
      <c r="J113" s="23"/>
      <c r="K113" s="23"/>
      <c r="L113" s="66" t="str">
        <f t="shared" si="1"/>
        <v/>
      </c>
      <c r="M113" s="77"/>
      <c r="N113" s="78"/>
      <c r="O113" s="66" t="str">
        <f>IF(M113="","",
 IF(M113="عدم پاسخ","بدون پاسخ",
 IF(L113="","اطلاعات ناقص",
 IF(L113&lt;=DATA!$M$1,"رعایت شده","رعایت نشده"))))</f>
        <v/>
      </c>
      <c r="P113" s="79"/>
      <c r="Q113" s="77"/>
      <c r="R113" s="79"/>
      <c r="S113" s="79"/>
      <c r="T113" s="78"/>
      <c r="U113" s="80"/>
      <c r="V113" s="78"/>
      <c r="W113" s="77" t="str">
        <f t="array" ref="W113">IF(D113="","",_xlfn.XLOOKUP(D113,DATA!B:B,DATA!L:L,""))</f>
        <v/>
      </c>
      <c r="X113" s="78" t="str">
        <f t="array" ref="X113">IF(F113="","",_xlfn.XLOOKUP(F113,DATA!B:B,DATA!L:L,""))</f>
        <v/>
      </c>
    </row>
    <row r="114">
      <c r="A114" s="81"/>
      <c r="B114" s="79"/>
      <c r="C114" s="57" t="str">
        <f t="array" ref="C114">iferror(_xlfn.XLOOKUP(D114,DATA!B:B,DATA!A:A),"")</f>
        <v/>
      </c>
      <c r="D114" s="82"/>
      <c r="E114" s="61" t="str">
        <f t="array" ref="E114">iferror(_xlfn.XLOOKUP(F114,DATA!B:B,DATA!A:A),"")</f>
        <v/>
      </c>
      <c r="F114" s="83"/>
      <c r="G114" s="78"/>
      <c r="H114" s="64" t="str">
        <f t="array" ref="H114">_xlfn.XLOOKUP(G114,DATA!D:D,DATA!E:E,"")</f>
        <v/>
      </c>
      <c r="I114" s="84"/>
      <c r="J114" s="23"/>
      <c r="K114" s="23"/>
      <c r="L114" s="66" t="str">
        <f t="shared" si="1"/>
        <v/>
      </c>
      <c r="M114" s="77"/>
      <c r="N114" s="78"/>
      <c r="O114" s="66" t="str">
        <f>IF(M114="","",
 IF(M114="عدم پاسخ","بدون پاسخ",
 IF(L114="","اطلاعات ناقص",
 IF(L114&lt;=DATA!$M$1,"رعایت شده","رعایت نشده"))))</f>
        <v/>
      </c>
      <c r="P114" s="79"/>
      <c r="Q114" s="77"/>
      <c r="R114" s="79"/>
      <c r="S114" s="79"/>
      <c r="T114" s="78"/>
      <c r="U114" s="80"/>
      <c r="V114" s="78"/>
      <c r="W114" s="77" t="str">
        <f t="array" ref="W114">IF(D114="","",_xlfn.XLOOKUP(D114,DATA!B:B,DATA!L:L,""))</f>
        <v/>
      </c>
      <c r="X114" s="78" t="str">
        <f t="array" ref="X114">IF(F114="","",_xlfn.XLOOKUP(F114,DATA!B:B,DATA!L:L,""))</f>
        <v/>
      </c>
    </row>
    <row r="115">
      <c r="A115" s="81"/>
      <c r="B115" s="79"/>
      <c r="C115" s="57" t="str">
        <f t="array" ref="C115">iferror(_xlfn.XLOOKUP(D115,DATA!B:B,DATA!A:A),"")</f>
        <v/>
      </c>
      <c r="D115" s="82"/>
      <c r="E115" s="61" t="str">
        <f t="array" ref="E115">iferror(_xlfn.XLOOKUP(F115,DATA!B:B,DATA!A:A),"")</f>
        <v/>
      </c>
      <c r="F115" s="83"/>
      <c r="G115" s="78"/>
      <c r="H115" s="64" t="str">
        <f t="array" ref="H115">_xlfn.XLOOKUP(G115,DATA!D:D,DATA!E:E,"")</f>
        <v/>
      </c>
      <c r="I115" s="84"/>
      <c r="J115" s="23"/>
      <c r="K115" s="23"/>
      <c r="L115" s="66" t="str">
        <f t="shared" si="1"/>
        <v/>
      </c>
      <c r="M115" s="77"/>
      <c r="N115" s="78"/>
      <c r="O115" s="66" t="str">
        <f>IF(M115="","",
 IF(M115="عدم پاسخ","بدون پاسخ",
 IF(L115="","اطلاعات ناقص",
 IF(L115&lt;=DATA!$M$1,"رعایت شده","رعایت نشده"))))</f>
        <v/>
      </c>
      <c r="P115" s="79"/>
      <c r="Q115" s="77"/>
      <c r="R115" s="79"/>
      <c r="S115" s="79"/>
      <c r="T115" s="78"/>
      <c r="U115" s="80"/>
      <c r="V115" s="78"/>
      <c r="W115" s="77" t="str">
        <f t="array" ref="W115">IF(D115="","",_xlfn.XLOOKUP(D115,DATA!B:B,DATA!L:L,""))</f>
        <v/>
      </c>
      <c r="X115" s="78" t="str">
        <f t="array" ref="X115">IF(F115="","",_xlfn.XLOOKUP(F115,DATA!B:B,DATA!L:L,""))</f>
        <v/>
      </c>
    </row>
    <row r="116">
      <c r="A116" s="81"/>
      <c r="B116" s="79"/>
      <c r="C116" s="57" t="str">
        <f t="array" ref="C116">iferror(_xlfn.XLOOKUP(D116,DATA!B:B,DATA!A:A),"")</f>
        <v/>
      </c>
      <c r="D116" s="82"/>
      <c r="E116" s="61" t="str">
        <f t="array" ref="E116">iferror(_xlfn.XLOOKUP(F116,DATA!B:B,DATA!A:A),"")</f>
        <v/>
      </c>
      <c r="F116" s="83"/>
      <c r="G116" s="78"/>
      <c r="H116" s="64" t="str">
        <f t="array" ref="H116">_xlfn.XLOOKUP(G116,DATA!D:D,DATA!E:E,"")</f>
        <v/>
      </c>
      <c r="I116" s="84"/>
      <c r="J116" s="23"/>
      <c r="K116" s="23"/>
      <c r="L116" s="66" t="str">
        <f t="shared" si="1"/>
        <v/>
      </c>
      <c r="M116" s="77"/>
      <c r="N116" s="78"/>
      <c r="O116" s="66" t="str">
        <f>IF(M116="","",
 IF(M116="عدم پاسخ","بدون پاسخ",
 IF(L116="","اطلاعات ناقص",
 IF(L116&lt;=DATA!$M$1,"رعایت شده","رعایت نشده"))))</f>
        <v/>
      </c>
      <c r="P116" s="79"/>
      <c r="Q116" s="77"/>
      <c r="R116" s="79"/>
      <c r="S116" s="79"/>
      <c r="T116" s="78"/>
      <c r="U116" s="80"/>
      <c r="V116" s="78"/>
      <c r="W116" s="77" t="str">
        <f t="array" ref="W116">IF(D116="","",_xlfn.XLOOKUP(D116,DATA!B:B,DATA!L:L,""))</f>
        <v/>
      </c>
      <c r="X116" s="78" t="str">
        <f t="array" ref="X116">IF(F116="","",_xlfn.XLOOKUP(F116,DATA!B:B,DATA!L:L,""))</f>
        <v/>
      </c>
    </row>
    <row r="117">
      <c r="A117" s="81"/>
      <c r="B117" s="79"/>
      <c r="C117" s="57" t="str">
        <f t="array" ref="C117">iferror(_xlfn.XLOOKUP(D117,DATA!B:B,DATA!A:A),"")</f>
        <v/>
      </c>
      <c r="D117" s="82"/>
      <c r="E117" s="61" t="str">
        <f t="array" ref="E117">iferror(_xlfn.XLOOKUP(F117,DATA!B:B,DATA!A:A),"")</f>
        <v/>
      </c>
      <c r="F117" s="83"/>
      <c r="G117" s="78"/>
      <c r="H117" s="64" t="str">
        <f t="array" ref="H117">_xlfn.XLOOKUP(G117,DATA!D:D,DATA!E:E,"")</f>
        <v/>
      </c>
      <c r="I117" s="84"/>
      <c r="J117" s="23"/>
      <c r="K117" s="23"/>
      <c r="L117" s="66" t="str">
        <f t="shared" si="1"/>
        <v/>
      </c>
      <c r="M117" s="77"/>
      <c r="N117" s="78"/>
      <c r="O117" s="66" t="str">
        <f>IF(M117="","",
 IF(M117="عدم پاسخ","بدون پاسخ",
 IF(L117="","اطلاعات ناقص",
 IF(L117&lt;=DATA!$M$1,"رعایت شده","رعایت نشده"))))</f>
        <v/>
      </c>
      <c r="P117" s="79"/>
      <c r="Q117" s="77"/>
      <c r="R117" s="79"/>
      <c r="S117" s="79"/>
      <c r="T117" s="78"/>
      <c r="U117" s="80"/>
      <c r="V117" s="78"/>
      <c r="W117" s="77" t="str">
        <f t="array" ref="W117">IF(D117="","",_xlfn.XLOOKUP(D117,DATA!B:B,DATA!L:L,""))</f>
        <v/>
      </c>
      <c r="X117" s="78" t="str">
        <f t="array" ref="X117">IF(F117="","",_xlfn.XLOOKUP(F117,DATA!B:B,DATA!L:L,""))</f>
        <v/>
      </c>
    </row>
    <row r="118">
      <c r="A118" s="81"/>
      <c r="B118" s="79"/>
      <c r="C118" s="57" t="str">
        <f t="array" ref="C118">iferror(_xlfn.XLOOKUP(D118,DATA!B:B,DATA!A:A),"")</f>
        <v/>
      </c>
      <c r="D118" s="82"/>
      <c r="E118" s="61" t="str">
        <f t="array" ref="E118">iferror(_xlfn.XLOOKUP(F118,DATA!B:B,DATA!A:A),"")</f>
        <v/>
      </c>
      <c r="F118" s="83"/>
      <c r="G118" s="78"/>
      <c r="H118" s="64" t="str">
        <f t="array" ref="H118">_xlfn.XLOOKUP(G118,DATA!D:D,DATA!E:E,"")</f>
        <v/>
      </c>
      <c r="I118" s="84"/>
      <c r="J118" s="23"/>
      <c r="K118" s="23"/>
      <c r="L118" s="66" t="str">
        <f t="shared" si="1"/>
        <v/>
      </c>
      <c r="M118" s="77"/>
      <c r="N118" s="78"/>
      <c r="O118" s="66" t="str">
        <f>IF(M118="","",
 IF(M118="عدم پاسخ","بدون پاسخ",
 IF(L118="","اطلاعات ناقص",
 IF(L118&lt;=DATA!$M$1,"رعایت شده","رعایت نشده"))))</f>
        <v/>
      </c>
      <c r="P118" s="79"/>
      <c r="Q118" s="77"/>
      <c r="R118" s="79"/>
      <c r="S118" s="79"/>
      <c r="T118" s="78"/>
      <c r="U118" s="80"/>
      <c r="V118" s="78"/>
      <c r="W118" s="77" t="str">
        <f t="array" ref="W118">IF(D118="","",_xlfn.XLOOKUP(D118,DATA!B:B,DATA!L:L,""))</f>
        <v/>
      </c>
      <c r="X118" s="78" t="str">
        <f t="array" ref="X118">IF(F118="","",_xlfn.XLOOKUP(F118,DATA!B:B,DATA!L:L,""))</f>
        <v/>
      </c>
    </row>
    <row r="119">
      <c r="A119" s="81"/>
      <c r="B119" s="79"/>
      <c r="C119" s="57" t="str">
        <f t="array" ref="C119">iferror(_xlfn.XLOOKUP(D119,DATA!B:B,DATA!A:A),"")</f>
        <v/>
      </c>
      <c r="D119" s="82"/>
      <c r="E119" s="61" t="str">
        <f t="array" ref="E119">iferror(_xlfn.XLOOKUP(F119,DATA!B:B,DATA!A:A),"")</f>
        <v/>
      </c>
      <c r="F119" s="83"/>
      <c r="G119" s="78"/>
      <c r="H119" s="64" t="str">
        <f t="array" ref="H119">_xlfn.XLOOKUP(G119,DATA!D:D,DATA!E:E,"")</f>
        <v/>
      </c>
      <c r="I119" s="84"/>
      <c r="J119" s="23"/>
      <c r="K119" s="23"/>
      <c r="L119" s="66" t="str">
        <f t="shared" si="1"/>
        <v/>
      </c>
      <c r="M119" s="77"/>
      <c r="N119" s="78"/>
      <c r="O119" s="66" t="str">
        <f>IF(M119="","",
 IF(M119="عدم پاسخ","بدون پاسخ",
 IF(L119="","اطلاعات ناقص",
 IF(L119&lt;=DATA!$M$1,"رعایت شده","رعایت نشده"))))</f>
        <v/>
      </c>
      <c r="P119" s="79"/>
      <c r="Q119" s="77"/>
      <c r="R119" s="79"/>
      <c r="S119" s="79"/>
      <c r="T119" s="78"/>
      <c r="U119" s="80"/>
      <c r="V119" s="78"/>
      <c r="W119" s="77" t="str">
        <f t="array" ref="W119">IF(D119="","",_xlfn.XLOOKUP(D119,DATA!B:B,DATA!L:L,""))</f>
        <v/>
      </c>
      <c r="X119" s="78" t="str">
        <f t="array" ref="X119">IF(F119="","",_xlfn.XLOOKUP(F119,DATA!B:B,DATA!L:L,""))</f>
        <v/>
      </c>
    </row>
    <row r="120">
      <c r="A120" s="81"/>
      <c r="B120" s="79"/>
      <c r="C120" s="57" t="str">
        <f t="array" ref="C120">iferror(_xlfn.XLOOKUP(D120,DATA!B:B,DATA!A:A),"")</f>
        <v/>
      </c>
      <c r="D120" s="82"/>
      <c r="E120" s="61" t="str">
        <f t="array" ref="E120">iferror(_xlfn.XLOOKUP(F120,DATA!B:B,DATA!A:A),"")</f>
        <v/>
      </c>
      <c r="F120" s="83"/>
      <c r="G120" s="78"/>
      <c r="H120" s="64" t="str">
        <f t="array" ref="H120">_xlfn.XLOOKUP(G120,DATA!D:D,DATA!E:E,"")</f>
        <v/>
      </c>
      <c r="I120" s="84"/>
      <c r="J120" s="23"/>
      <c r="K120" s="23"/>
      <c r="L120" s="66" t="str">
        <f t="shared" si="1"/>
        <v/>
      </c>
      <c r="M120" s="77"/>
      <c r="N120" s="78"/>
      <c r="O120" s="66" t="str">
        <f>IF(M120="","",
 IF(M120="عدم پاسخ","بدون پاسخ",
 IF(L120="","اطلاعات ناقص",
 IF(L120&lt;=DATA!$M$1,"رعایت شده","رعایت نشده"))))</f>
        <v/>
      </c>
      <c r="P120" s="79"/>
      <c r="Q120" s="77"/>
      <c r="R120" s="79"/>
      <c r="S120" s="79"/>
      <c r="T120" s="78"/>
      <c r="U120" s="80"/>
      <c r="V120" s="78"/>
      <c r="W120" s="77" t="str">
        <f t="array" ref="W120">IF(D120="","",_xlfn.XLOOKUP(D120,DATA!B:B,DATA!L:L,""))</f>
        <v/>
      </c>
      <c r="X120" s="78" t="str">
        <f t="array" ref="X120">IF(F120="","",_xlfn.XLOOKUP(F120,DATA!B:B,DATA!L:L,""))</f>
        <v/>
      </c>
    </row>
    <row r="121">
      <c r="A121" s="81"/>
      <c r="B121" s="79"/>
      <c r="C121" s="57" t="str">
        <f t="array" ref="C121">iferror(_xlfn.XLOOKUP(D121,DATA!B:B,DATA!A:A),"")</f>
        <v/>
      </c>
      <c r="D121" s="82"/>
      <c r="E121" s="61" t="str">
        <f t="array" ref="E121">iferror(_xlfn.XLOOKUP(F121,DATA!B:B,DATA!A:A),"")</f>
        <v/>
      </c>
      <c r="F121" s="83"/>
      <c r="G121" s="78"/>
      <c r="H121" s="64" t="str">
        <f t="array" ref="H121">_xlfn.XLOOKUP(G121,DATA!D:D,DATA!E:E,"")</f>
        <v/>
      </c>
      <c r="I121" s="84"/>
      <c r="J121" s="23"/>
      <c r="K121" s="23"/>
      <c r="L121" s="66" t="str">
        <f t="shared" si="1"/>
        <v/>
      </c>
      <c r="M121" s="77"/>
      <c r="N121" s="78"/>
      <c r="O121" s="66" t="str">
        <f>IF(M121="","",
 IF(M121="عدم پاسخ","بدون پاسخ",
 IF(L121="","اطلاعات ناقص",
 IF(L121&lt;=DATA!$M$1,"رعایت شده","رعایت نشده"))))</f>
        <v/>
      </c>
      <c r="P121" s="79"/>
      <c r="Q121" s="77"/>
      <c r="R121" s="79"/>
      <c r="S121" s="79"/>
      <c r="T121" s="78"/>
      <c r="U121" s="80"/>
      <c r="V121" s="78"/>
      <c r="W121" s="77" t="str">
        <f t="array" ref="W121">IF(D121="","",_xlfn.XLOOKUP(D121,DATA!B:B,DATA!L:L,""))</f>
        <v/>
      </c>
      <c r="X121" s="78" t="str">
        <f t="array" ref="X121">IF(F121="","",_xlfn.XLOOKUP(F121,DATA!B:B,DATA!L:L,""))</f>
        <v/>
      </c>
    </row>
    <row r="122">
      <c r="A122" s="81"/>
      <c r="B122" s="79"/>
      <c r="C122" s="57" t="str">
        <f t="array" ref="C122">iferror(_xlfn.XLOOKUP(D122,DATA!B:B,DATA!A:A),"")</f>
        <v/>
      </c>
      <c r="D122" s="82"/>
      <c r="E122" s="61" t="str">
        <f t="array" ref="E122">iferror(_xlfn.XLOOKUP(F122,DATA!B:B,DATA!A:A),"")</f>
        <v/>
      </c>
      <c r="F122" s="83"/>
      <c r="G122" s="78"/>
      <c r="H122" s="64" t="str">
        <f t="array" ref="H122">_xlfn.XLOOKUP(G122,DATA!D:D,DATA!E:E,"")</f>
        <v/>
      </c>
      <c r="I122" s="84"/>
      <c r="J122" s="23"/>
      <c r="K122" s="23"/>
      <c r="L122" s="66" t="str">
        <f t="shared" si="1"/>
        <v/>
      </c>
      <c r="M122" s="77"/>
      <c r="N122" s="78"/>
      <c r="O122" s="66" t="str">
        <f>IF(M122="","",
 IF(M122="عدم پاسخ","بدون پاسخ",
 IF(L122="","اطلاعات ناقص",
 IF(L122&lt;=DATA!$M$1,"رعایت شده","رعایت نشده"))))</f>
        <v/>
      </c>
      <c r="P122" s="79"/>
      <c r="Q122" s="77"/>
      <c r="R122" s="79"/>
      <c r="S122" s="79"/>
      <c r="T122" s="78"/>
      <c r="U122" s="80"/>
      <c r="V122" s="78"/>
      <c r="W122" s="77" t="str">
        <f t="array" ref="W122">IF(D122="","",_xlfn.XLOOKUP(D122,DATA!B:B,DATA!L:L,""))</f>
        <v/>
      </c>
      <c r="X122" s="78" t="str">
        <f t="array" ref="X122">IF(F122="","",_xlfn.XLOOKUP(F122,DATA!B:B,DATA!L:L,""))</f>
        <v/>
      </c>
    </row>
    <row r="123">
      <c r="A123" s="81"/>
      <c r="B123" s="79"/>
      <c r="C123" s="57" t="str">
        <f t="array" ref="C123">iferror(_xlfn.XLOOKUP(D123,DATA!B:B,DATA!A:A),"")</f>
        <v/>
      </c>
      <c r="D123" s="82"/>
      <c r="E123" s="61" t="str">
        <f t="array" ref="E123">iferror(_xlfn.XLOOKUP(F123,DATA!B:B,DATA!A:A),"")</f>
        <v/>
      </c>
      <c r="F123" s="83"/>
      <c r="G123" s="78"/>
      <c r="H123" s="64" t="str">
        <f t="array" ref="H123">_xlfn.XLOOKUP(G123,DATA!D:D,DATA!E:E,"")</f>
        <v/>
      </c>
      <c r="I123" s="84"/>
      <c r="J123" s="23"/>
      <c r="K123" s="23"/>
      <c r="L123" s="66" t="str">
        <f t="shared" si="1"/>
        <v/>
      </c>
      <c r="M123" s="77"/>
      <c r="N123" s="78"/>
      <c r="O123" s="66" t="str">
        <f>IF(M123="","",
 IF(M123="عدم پاسخ","بدون پاسخ",
 IF(L123="","اطلاعات ناقص",
 IF(L123&lt;=DATA!$M$1,"رعایت شده","رعایت نشده"))))</f>
        <v/>
      </c>
      <c r="P123" s="79"/>
      <c r="Q123" s="77"/>
      <c r="R123" s="79"/>
      <c r="S123" s="79"/>
      <c r="T123" s="78"/>
      <c r="U123" s="80"/>
      <c r="V123" s="78"/>
      <c r="W123" s="77" t="str">
        <f t="array" ref="W123">IF(D123="","",_xlfn.XLOOKUP(D123,DATA!B:B,DATA!L:L,""))</f>
        <v/>
      </c>
      <c r="X123" s="78" t="str">
        <f t="array" ref="X123">IF(F123="","",_xlfn.XLOOKUP(F123,DATA!B:B,DATA!L:L,""))</f>
        <v/>
      </c>
    </row>
    <row r="124">
      <c r="A124" s="81"/>
      <c r="B124" s="79"/>
      <c r="C124" s="57" t="str">
        <f t="array" ref="C124">iferror(_xlfn.XLOOKUP(D124,DATA!B:B,DATA!A:A),"")</f>
        <v/>
      </c>
      <c r="D124" s="82"/>
      <c r="E124" s="61" t="str">
        <f t="array" ref="E124">iferror(_xlfn.XLOOKUP(F124,DATA!B:B,DATA!A:A),"")</f>
        <v/>
      </c>
      <c r="F124" s="83"/>
      <c r="G124" s="78"/>
      <c r="H124" s="64" t="str">
        <f t="array" ref="H124">_xlfn.XLOOKUP(G124,DATA!D:D,DATA!E:E,"")</f>
        <v/>
      </c>
      <c r="I124" s="84"/>
      <c r="J124" s="23"/>
      <c r="K124" s="23"/>
      <c r="L124" s="66" t="str">
        <f t="shared" si="1"/>
        <v/>
      </c>
      <c r="M124" s="77"/>
      <c r="N124" s="78"/>
      <c r="O124" s="66" t="str">
        <f>IF(M124="","",
 IF(M124="عدم پاسخ","بدون پاسخ",
 IF(L124="","اطلاعات ناقص",
 IF(L124&lt;=DATA!$M$1,"رعایت شده","رعایت نشده"))))</f>
        <v/>
      </c>
      <c r="P124" s="79"/>
      <c r="Q124" s="77"/>
      <c r="R124" s="79"/>
      <c r="S124" s="79"/>
      <c r="T124" s="78"/>
      <c r="U124" s="80"/>
      <c r="V124" s="78"/>
      <c r="W124" s="77" t="str">
        <f t="array" ref="W124">IF(D124="","",_xlfn.XLOOKUP(D124,DATA!B:B,DATA!L:L,""))</f>
        <v/>
      </c>
      <c r="X124" s="78" t="str">
        <f t="array" ref="X124">IF(F124="","",_xlfn.XLOOKUP(F124,DATA!B:B,DATA!L:L,""))</f>
        <v/>
      </c>
    </row>
    <row r="125">
      <c r="A125" s="81"/>
      <c r="B125" s="79"/>
      <c r="C125" s="57" t="str">
        <f t="array" ref="C125">iferror(_xlfn.XLOOKUP(D125,DATA!B:B,DATA!A:A),"")</f>
        <v/>
      </c>
      <c r="D125" s="82"/>
      <c r="E125" s="61" t="str">
        <f t="array" ref="E125">iferror(_xlfn.XLOOKUP(F125,DATA!B:B,DATA!A:A),"")</f>
        <v/>
      </c>
      <c r="F125" s="83"/>
      <c r="G125" s="78"/>
      <c r="H125" s="64" t="str">
        <f t="array" ref="H125">_xlfn.XLOOKUP(G125,DATA!D:D,DATA!E:E,"")</f>
        <v/>
      </c>
      <c r="I125" s="84"/>
      <c r="J125" s="23"/>
      <c r="K125" s="23"/>
      <c r="L125" s="66" t="str">
        <f t="shared" si="1"/>
        <v/>
      </c>
      <c r="M125" s="77"/>
      <c r="N125" s="78"/>
      <c r="O125" s="66" t="str">
        <f>IF(M125="","",
 IF(M125="عدم پاسخ","بدون پاسخ",
 IF(L125="","اطلاعات ناقص",
 IF(L125&lt;=DATA!$M$1,"رعایت شده","رعایت نشده"))))</f>
        <v/>
      </c>
      <c r="P125" s="79"/>
      <c r="Q125" s="77"/>
      <c r="R125" s="79"/>
      <c r="S125" s="79"/>
      <c r="T125" s="78"/>
      <c r="U125" s="80"/>
      <c r="V125" s="78"/>
      <c r="W125" s="77" t="str">
        <f t="array" ref="W125">IF(D125="","",_xlfn.XLOOKUP(D125,DATA!B:B,DATA!L:L,""))</f>
        <v/>
      </c>
      <c r="X125" s="78" t="str">
        <f t="array" ref="X125">IF(F125="","",_xlfn.XLOOKUP(F125,DATA!B:B,DATA!L:L,""))</f>
        <v/>
      </c>
    </row>
    <row r="126">
      <c r="A126" s="81"/>
      <c r="B126" s="79"/>
      <c r="C126" s="57" t="str">
        <f t="array" ref="C126">iferror(_xlfn.XLOOKUP(D126,DATA!B:B,DATA!A:A),"")</f>
        <v/>
      </c>
      <c r="D126" s="82"/>
      <c r="E126" s="61" t="str">
        <f t="array" ref="E126">iferror(_xlfn.XLOOKUP(F126,DATA!B:B,DATA!A:A),"")</f>
        <v/>
      </c>
      <c r="F126" s="83"/>
      <c r="G126" s="78"/>
      <c r="H126" s="64" t="str">
        <f t="array" ref="H126">_xlfn.XLOOKUP(G126,DATA!D:D,DATA!E:E,"")</f>
        <v/>
      </c>
      <c r="I126" s="84"/>
      <c r="J126" s="23"/>
      <c r="K126" s="23"/>
      <c r="L126" s="66" t="str">
        <f t="shared" si="1"/>
        <v/>
      </c>
      <c r="M126" s="77"/>
      <c r="N126" s="78"/>
      <c r="O126" s="66" t="str">
        <f>IF(M126="","",
 IF(M126="عدم پاسخ","بدون پاسخ",
 IF(L126="","اطلاعات ناقص",
 IF(L126&lt;=DATA!$M$1,"رعایت شده","رعایت نشده"))))</f>
        <v/>
      </c>
      <c r="P126" s="79"/>
      <c r="Q126" s="77"/>
      <c r="R126" s="79"/>
      <c r="S126" s="79"/>
      <c r="T126" s="78"/>
      <c r="U126" s="80"/>
      <c r="V126" s="78"/>
      <c r="W126" s="77" t="str">
        <f t="array" ref="W126">IF(D126="","",_xlfn.XLOOKUP(D126,DATA!B:B,DATA!L:L,""))</f>
        <v/>
      </c>
      <c r="X126" s="78" t="str">
        <f t="array" ref="X126">IF(F126="","",_xlfn.XLOOKUP(F126,DATA!B:B,DATA!L:L,""))</f>
        <v/>
      </c>
    </row>
    <row r="127">
      <c r="A127" s="81"/>
      <c r="B127" s="79"/>
      <c r="C127" s="57" t="str">
        <f t="array" ref="C127">iferror(_xlfn.XLOOKUP(D127,DATA!B:B,DATA!A:A),"")</f>
        <v/>
      </c>
      <c r="D127" s="82"/>
      <c r="E127" s="61" t="str">
        <f t="array" ref="E127">iferror(_xlfn.XLOOKUP(F127,DATA!B:B,DATA!A:A),"")</f>
        <v/>
      </c>
      <c r="F127" s="83"/>
      <c r="G127" s="78"/>
      <c r="H127" s="64" t="str">
        <f t="array" ref="H127">_xlfn.XLOOKUP(G127,DATA!D:D,DATA!E:E,"")</f>
        <v/>
      </c>
      <c r="I127" s="84"/>
      <c r="J127" s="23"/>
      <c r="K127" s="23"/>
      <c r="L127" s="66" t="str">
        <f t="shared" si="1"/>
        <v/>
      </c>
      <c r="M127" s="77"/>
      <c r="N127" s="78"/>
      <c r="O127" s="66" t="str">
        <f>IF(M127="","",
 IF(M127="عدم پاسخ","بدون پاسخ",
 IF(L127="","اطلاعات ناقص",
 IF(L127&lt;=DATA!$M$1,"رعایت شده","رعایت نشده"))))</f>
        <v/>
      </c>
      <c r="P127" s="79"/>
      <c r="Q127" s="77"/>
      <c r="R127" s="79"/>
      <c r="S127" s="79"/>
      <c r="T127" s="78"/>
      <c r="U127" s="80"/>
      <c r="V127" s="78"/>
      <c r="W127" s="77" t="str">
        <f t="array" ref="W127">IF(D127="","",_xlfn.XLOOKUP(D127,DATA!B:B,DATA!L:L,""))</f>
        <v/>
      </c>
      <c r="X127" s="78" t="str">
        <f t="array" ref="X127">IF(F127="","",_xlfn.XLOOKUP(F127,DATA!B:B,DATA!L:L,""))</f>
        <v/>
      </c>
    </row>
    <row r="128">
      <c r="A128" s="81"/>
      <c r="B128" s="79"/>
      <c r="C128" s="57" t="str">
        <f t="array" ref="C128">iferror(_xlfn.XLOOKUP(D128,DATA!B:B,DATA!A:A),"")</f>
        <v/>
      </c>
      <c r="D128" s="82"/>
      <c r="E128" s="61" t="str">
        <f t="array" ref="E128">iferror(_xlfn.XLOOKUP(F128,DATA!B:B,DATA!A:A),"")</f>
        <v/>
      </c>
      <c r="F128" s="83"/>
      <c r="G128" s="78"/>
      <c r="H128" s="64" t="str">
        <f t="array" ref="H128">_xlfn.XLOOKUP(G128,DATA!D:D,DATA!E:E,"")</f>
        <v/>
      </c>
      <c r="I128" s="84"/>
      <c r="J128" s="23"/>
      <c r="K128" s="23"/>
      <c r="L128" s="66" t="str">
        <f t="shared" si="1"/>
        <v/>
      </c>
      <c r="M128" s="77"/>
      <c r="N128" s="78"/>
      <c r="O128" s="66" t="str">
        <f>IF(M128="","",
 IF(M128="عدم پاسخ","بدون پاسخ",
 IF(L128="","اطلاعات ناقص",
 IF(L128&lt;=DATA!$M$1,"رعایت شده","رعایت نشده"))))</f>
        <v/>
      </c>
      <c r="P128" s="79"/>
      <c r="Q128" s="77"/>
      <c r="R128" s="79"/>
      <c r="S128" s="79"/>
      <c r="T128" s="78"/>
      <c r="U128" s="80"/>
      <c r="V128" s="78"/>
      <c r="W128" s="77" t="str">
        <f t="array" ref="W128">IF(D128="","",_xlfn.XLOOKUP(D128,DATA!B:B,DATA!L:L,""))</f>
        <v/>
      </c>
      <c r="X128" s="78" t="str">
        <f t="array" ref="X128">IF(F128="","",_xlfn.XLOOKUP(F128,DATA!B:B,DATA!L:L,""))</f>
        <v/>
      </c>
    </row>
    <row r="129">
      <c r="A129" s="81"/>
      <c r="B129" s="79"/>
      <c r="C129" s="57" t="str">
        <f t="array" ref="C129">iferror(_xlfn.XLOOKUP(D129,DATA!B:B,DATA!A:A),"")</f>
        <v/>
      </c>
      <c r="D129" s="82"/>
      <c r="E129" s="61" t="str">
        <f t="array" ref="E129">iferror(_xlfn.XLOOKUP(F129,DATA!B:B,DATA!A:A),"")</f>
        <v/>
      </c>
      <c r="F129" s="83"/>
      <c r="G129" s="78"/>
      <c r="H129" s="64" t="str">
        <f t="array" ref="H129">_xlfn.XLOOKUP(G129,DATA!D:D,DATA!E:E,"")</f>
        <v/>
      </c>
      <c r="I129" s="84"/>
      <c r="J129" s="23"/>
      <c r="K129" s="23"/>
      <c r="L129" s="66" t="str">
        <f t="shared" si="1"/>
        <v/>
      </c>
      <c r="M129" s="77"/>
      <c r="N129" s="78"/>
      <c r="O129" s="66" t="str">
        <f>IF(M129="","",
 IF(M129="عدم پاسخ","بدون پاسخ",
 IF(L129="","اطلاعات ناقص",
 IF(L129&lt;=DATA!$M$1,"رعایت شده","رعایت نشده"))))</f>
        <v/>
      </c>
      <c r="P129" s="79"/>
      <c r="Q129" s="77"/>
      <c r="R129" s="79"/>
      <c r="S129" s="79"/>
      <c r="T129" s="78"/>
      <c r="U129" s="80"/>
      <c r="V129" s="78"/>
      <c r="W129" s="77" t="str">
        <f t="array" ref="W129">IF(D129="","",_xlfn.XLOOKUP(D129,DATA!B:B,DATA!L:L,""))</f>
        <v/>
      </c>
      <c r="X129" s="78" t="str">
        <f t="array" ref="X129">IF(F129="","",_xlfn.XLOOKUP(F129,DATA!B:B,DATA!L:L,""))</f>
        <v/>
      </c>
    </row>
    <row r="130">
      <c r="A130" s="81"/>
      <c r="B130" s="79"/>
      <c r="C130" s="57" t="str">
        <f t="array" ref="C130">iferror(_xlfn.XLOOKUP(D130,DATA!B:B,DATA!A:A),"")</f>
        <v/>
      </c>
      <c r="D130" s="82"/>
      <c r="E130" s="61" t="str">
        <f t="array" ref="E130">iferror(_xlfn.XLOOKUP(F130,DATA!B:B,DATA!A:A),"")</f>
        <v/>
      </c>
      <c r="F130" s="83"/>
      <c r="G130" s="78"/>
      <c r="H130" s="64" t="str">
        <f t="array" ref="H130">_xlfn.XLOOKUP(G130,DATA!D:D,DATA!E:E,"")</f>
        <v/>
      </c>
      <c r="I130" s="84"/>
      <c r="J130" s="23"/>
      <c r="K130" s="23"/>
      <c r="L130" s="66" t="str">
        <f t="shared" si="1"/>
        <v/>
      </c>
      <c r="M130" s="77"/>
      <c r="N130" s="78"/>
      <c r="O130" s="66" t="str">
        <f>IF(M130="","",
 IF(M130="عدم پاسخ","بدون پاسخ",
 IF(L130="","اطلاعات ناقص",
 IF(L130&lt;=DATA!$M$1,"رعایت شده","رعایت نشده"))))</f>
        <v/>
      </c>
      <c r="P130" s="79"/>
      <c r="Q130" s="77"/>
      <c r="R130" s="79"/>
      <c r="S130" s="79"/>
      <c r="T130" s="78"/>
      <c r="U130" s="80"/>
      <c r="V130" s="78"/>
      <c r="W130" s="77" t="str">
        <f t="array" ref="W130">IF(D130="","",_xlfn.XLOOKUP(D130,DATA!B:B,DATA!L:L,""))</f>
        <v/>
      </c>
      <c r="X130" s="78" t="str">
        <f t="array" ref="X130">IF(F130="","",_xlfn.XLOOKUP(F130,DATA!B:B,DATA!L:L,""))</f>
        <v/>
      </c>
    </row>
    <row r="131">
      <c r="A131" s="81"/>
      <c r="B131" s="79"/>
      <c r="C131" s="57" t="str">
        <f t="array" ref="C131">iferror(_xlfn.XLOOKUP(D131,DATA!B:B,DATA!A:A),"")</f>
        <v/>
      </c>
      <c r="D131" s="82"/>
      <c r="E131" s="61" t="str">
        <f t="array" ref="E131">iferror(_xlfn.XLOOKUP(F131,DATA!B:B,DATA!A:A),"")</f>
        <v/>
      </c>
      <c r="F131" s="83"/>
      <c r="G131" s="78"/>
      <c r="H131" s="64" t="str">
        <f t="array" ref="H131">_xlfn.XLOOKUP(G131,DATA!D:D,DATA!E:E,"")</f>
        <v/>
      </c>
      <c r="I131" s="84"/>
      <c r="J131" s="23"/>
      <c r="K131" s="23"/>
      <c r="L131" s="66" t="str">
        <f t="shared" si="1"/>
        <v/>
      </c>
      <c r="M131" s="77"/>
      <c r="N131" s="78"/>
      <c r="O131" s="66" t="str">
        <f>IF(M131="","",
 IF(M131="عدم پاسخ","بدون پاسخ",
 IF(L131="","اطلاعات ناقص",
 IF(L131&lt;=DATA!$M$1,"رعایت شده","رعایت نشده"))))</f>
        <v/>
      </c>
      <c r="P131" s="79"/>
      <c r="Q131" s="77"/>
      <c r="R131" s="79"/>
      <c r="S131" s="79"/>
      <c r="T131" s="78"/>
      <c r="U131" s="80"/>
      <c r="V131" s="78"/>
      <c r="W131" s="77" t="str">
        <f t="array" ref="W131">IF(D131="","",_xlfn.XLOOKUP(D131,DATA!B:B,DATA!L:L,""))</f>
        <v/>
      </c>
      <c r="X131" s="78" t="str">
        <f t="array" ref="X131">IF(F131="","",_xlfn.XLOOKUP(F131,DATA!B:B,DATA!L:L,""))</f>
        <v/>
      </c>
    </row>
    <row r="132">
      <c r="A132" s="81"/>
      <c r="B132" s="79"/>
      <c r="C132" s="57" t="str">
        <f t="array" ref="C132">iferror(_xlfn.XLOOKUP(D132,DATA!B:B,DATA!A:A),"")</f>
        <v/>
      </c>
      <c r="D132" s="82"/>
      <c r="E132" s="61" t="str">
        <f t="array" ref="E132">iferror(_xlfn.XLOOKUP(F132,DATA!B:B,DATA!A:A),"")</f>
        <v/>
      </c>
      <c r="F132" s="83"/>
      <c r="G132" s="78"/>
      <c r="H132" s="64" t="str">
        <f t="array" ref="H132">_xlfn.XLOOKUP(G132,DATA!D:D,DATA!E:E,"")</f>
        <v/>
      </c>
      <c r="I132" s="84"/>
      <c r="J132" s="23"/>
      <c r="K132" s="23"/>
      <c r="L132" s="66" t="str">
        <f t="shared" si="1"/>
        <v/>
      </c>
      <c r="M132" s="77"/>
      <c r="N132" s="78"/>
      <c r="O132" s="66" t="str">
        <f>IF(M132="","",
 IF(M132="عدم پاسخ","بدون پاسخ",
 IF(L132="","اطلاعات ناقص",
 IF(L132&lt;=DATA!$M$1,"رعایت شده","رعایت نشده"))))</f>
        <v/>
      </c>
      <c r="P132" s="79"/>
      <c r="Q132" s="77"/>
      <c r="R132" s="79"/>
      <c r="S132" s="79"/>
      <c r="T132" s="78"/>
      <c r="U132" s="80"/>
      <c r="V132" s="78"/>
      <c r="W132" s="77" t="str">
        <f t="array" ref="W132">IF(D132="","",_xlfn.XLOOKUP(D132,DATA!B:B,DATA!L:L,""))</f>
        <v/>
      </c>
      <c r="X132" s="78" t="str">
        <f t="array" ref="X132">IF(F132="","",_xlfn.XLOOKUP(F132,DATA!B:B,DATA!L:L,""))</f>
        <v/>
      </c>
    </row>
    <row r="133">
      <c r="A133" s="81"/>
      <c r="B133" s="79"/>
      <c r="C133" s="57" t="str">
        <f t="array" ref="C133">iferror(_xlfn.XLOOKUP(D133,DATA!B:B,DATA!A:A),"")</f>
        <v/>
      </c>
      <c r="D133" s="82"/>
      <c r="E133" s="61" t="str">
        <f t="array" ref="E133">iferror(_xlfn.XLOOKUP(F133,DATA!B:B,DATA!A:A),"")</f>
        <v/>
      </c>
      <c r="F133" s="83"/>
      <c r="G133" s="78"/>
      <c r="H133" s="64" t="str">
        <f t="array" ref="H133">_xlfn.XLOOKUP(G133,DATA!D:D,DATA!E:E,"")</f>
        <v/>
      </c>
      <c r="I133" s="84"/>
      <c r="J133" s="23"/>
      <c r="K133" s="23"/>
      <c r="L133" s="66" t="str">
        <f t="shared" si="1"/>
        <v/>
      </c>
      <c r="M133" s="77"/>
      <c r="N133" s="78"/>
      <c r="O133" s="66" t="str">
        <f>IF(M133="","",
 IF(M133="عدم پاسخ","بدون پاسخ",
 IF(L133="","اطلاعات ناقص",
 IF(L133&lt;=DATA!$M$1,"رعایت شده","رعایت نشده"))))</f>
        <v/>
      </c>
      <c r="P133" s="79"/>
      <c r="Q133" s="77"/>
      <c r="R133" s="79"/>
      <c r="S133" s="79"/>
      <c r="T133" s="78"/>
      <c r="U133" s="80"/>
      <c r="V133" s="78"/>
      <c r="W133" s="77" t="str">
        <f t="array" ref="W133">IF(D133="","",_xlfn.XLOOKUP(D133,DATA!B:B,DATA!L:L,""))</f>
        <v/>
      </c>
      <c r="X133" s="78" t="str">
        <f t="array" ref="X133">IF(F133="","",_xlfn.XLOOKUP(F133,DATA!B:B,DATA!L:L,""))</f>
        <v/>
      </c>
    </row>
    <row r="134">
      <c r="A134" s="81"/>
      <c r="B134" s="79"/>
      <c r="C134" s="57" t="str">
        <f t="array" ref="C134">iferror(_xlfn.XLOOKUP(D134,DATA!B:B,DATA!A:A),"")</f>
        <v/>
      </c>
      <c r="D134" s="82"/>
      <c r="E134" s="61" t="str">
        <f t="array" ref="E134">iferror(_xlfn.XLOOKUP(F134,DATA!B:B,DATA!A:A),"")</f>
        <v/>
      </c>
      <c r="F134" s="83"/>
      <c r="G134" s="78"/>
      <c r="H134" s="64" t="str">
        <f t="array" ref="H134">_xlfn.XLOOKUP(G134,DATA!D:D,DATA!E:E,"")</f>
        <v/>
      </c>
      <c r="I134" s="84"/>
      <c r="J134" s="23"/>
      <c r="K134" s="23"/>
      <c r="L134" s="66" t="str">
        <f t="shared" si="1"/>
        <v/>
      </c>
      <c r="M134" s="77"/>
      <c r="N134" s="78"/>
      <c r="O134" s="66" t="str">
        <f>IF(M134="","",
 IF(M134="عدم پاسخ","بدون پاسخ",
 IF(L134="","اطلاعات ناقص",
 IF(L134&lt;=DATA!$M$1,"رعایت شده","رعایت نشده"))))</f>
        <v/>
      </c>
      <c r="P134" s="79"/>
      <c r="Q134" s="77"/>
      <c r="R134" s="79"/>
      <c r="S134" s="79"/>
      <c r="T134" s="78"/>
      <c r="U134" s="80"/>
      <c r="V134" s="78"/>
      <c r="W134" s="77" t="str">
        <f t="array" ref="W134">IF(D134="","",_xlfn.XLOOKUP(D134,DATA!B:B,DATA!L:L,""))</f>
        <v/>
      </c>
      <c r="X134" s="78" t="str">
        <f t="array" ref="X134">IF(F134="","",_xlfn.XLOOKUP(F134,DATA!B:B,DATA!L:L,""))</f>
        <v/>
      </c>
    </row>
    <row r="135">
      <c r="A135" s="81"/>
      <c r="B135" s="79"/>
      <c r="C135" s="57" t="str">
        <f t="array" ref="C135">iferror(_xlfn.XLOOKUP(D135,DATA!B:B,DATA!A:A),"")</f>
        <v/>
      </c>
      <c r="D135" s="82"/>
      <c r="E135" s="61" t="str">
        <f t="array" ref="E135">iferror(_xlfn.XLOOKUP(F135,DATA!B:B,DATA!A:A),"")</f>
        <v/>
      </c>
      <c r="F135" s="83"/>
      <c r="G135" s="78"/>
      <c r="H135" s="64" t="str">
        <f t="array" ref="H135">_xlfn.XLOOKUP(G135,DATA!D:D,DATA!E:E,"")</f>
        <v/>
      </c>
      <c r="I135" s="84"/>
      <c r="J135" s="23"/>
      <c r="K135" s="23"/>
      <c r="L135" s="66" t="str">
        <f t="shared" si="1"/>
        <v/>
      </c>
      <c r="M135" s="77"/>
      <c r="N135" s="78"/>
      <c r="O135" s="66" t="str">
        <f>IF(M135="","",
 IF(M135="عدم پاسخ","بدون پاسخ",
 IF(L135="","اطلاعات ناقص",
 IF(L135&lt;=DATA!$M$1,"رعایت شده","رعایت نشده"))))</f>
        <v/>
      </c>
      <c r="P135" s="79"/>
      <c r="Q135" s="77"/>
      <c r="R135" s="79"/>
      <c r="S135" s="79"/>
      <c r="T135" s="78"/>
      <c r="U135" s="80"/>
      <c r="V135" s="78"/>
      <c r="W135" s="77" t="str">
        <f t="array" ref="W135">IF(D135="","",_xlfn.XLOOKUP(D135,DATA!B:B,DATA!L:L,""))</f>
        <v/>
      </c>
      <c r="X135" s="78" t="str">
        <f t="array" ref="X135">IF(F135="","",_xlfn.XLOOKUP(F135,DATA!B:B,DATA!L:L,""))</f>
        <v/>
      </c>
    </row>
    <row r="136">
      <c r="A136" s="81"/>
      <c r="B136" s="79"/>
      <c r="C136" s="57" t="str">
        <f t="array" ref="C136">iferror(_xlfn.XLOOKUP(D136,DATA!B:B,DATA!A:A),"")</f>
        <v/>
      </c>
      <c r="D136" s="82"/>
      <c r="E136" s="61" t="str">
        <f t="array" ref="E136">iferror(_xlfn.XLOOKUP(F136,DATA!B:B,DATA!A:A),"")</f>
        <v/>
      </c>
      <c r="F136" s="83"/>
      <c r="G136" s="78"/>
      <c r="H136" s="64" t="str">
        <f t="array" ref="H136">_xlfn.XLOOKUP(G136,DATA!D:D,DATA!E:E,"")</f>
        <v/>
      </c>
      <c r="I136" s="84"/>
      <c r="J136" s="23"/>
      <c r="K136" s="23"/>
      <c r="L136" s="66" t="str">
        <f t="shared" si="1"/>
        <v/>
      </c>
      <c r="M136" s="77"/>
      <c r="N136" s="78"/>
      <c r="O136" s="66" t="str">
        <f>IF(M136="","",
 IF(M136="عدم پاسخ","بدون پاسخ",
 IF(L136="","اطلاعات ناقص",
 IF(L136&lt;=DATA!$M$1,"رعایت شده","رعایت نشده"))))</f>
        <v/>
      </c>
      <c r="P136" s="79"/>
      <c r="Q136" s="77"/>
      <c r="R136" s="79"/>
      <c r="S136" s="79"/>
      <c r="T136" s="78"/>
      <c r="U136" s="80"/>
      <c r="V136" s="78"/>
      <c r="W136" s="77" t="str">
        <f t="array" ref="W136">IF(D136="","",_xlfn.XLOOKUP(D136,DATA!B:B,DATA!L:L,""))</f>
        <v/>
      </c>
      <c r="X136" s="78" t="str">
        <f t="array" ref="X136">IF(F136="","",_xlfn.XLOOKUP(F136,DATA!B:B,DATA!L:L,""))</f>
        <v/>
      </c>
    </row>
    <row r="137">
      <c r="A137" s="81"/>
      <c r="B137" s="79"/>
      <c r="C137" s="57" t="str">
        <f t="array" ref="C137">iferror(_xlfn.XLOOKUP(D137,DATA!B:B,DATA!A:A),"")</f>
        <v/>
      </c>
      <c r="D137" s="82"/>
      <c r="E137" s="61" t="str">
        <f t="array" ref="E137">iferror(_xlfn.XLOOKUP(F137,DATA!B:B,DATA!A:A),"")</f>
        <v/>
      </c>
      <c r="F137" s="83"/>
      <c r="G137" s="78"/>
      <c r="H137" s="64" t="str">
        <f t="array" ref="H137">_xlfn.XLOOKUP(G137,DATA!D:D,DATA!E:E,"")</f>
        <v/>
      </c>
      <c r="I137" s="84"/>
      <c r="J137" s="23"/>
      <c r="K137" s="23"/>
      <c r="L137" s="66" t="str">
        <f t="shared" si="1"/>
        <v/>
      </c>
      <c r="M137" s="77"/>
      <c r="N137" s="78"/>
      <c r="O137" s="66" t="str">
        <f>IF(M137="","",
 IF(M137="عدم پاسخ","بدون پاسخ",
 IF(L137="","اطلاعات ناقص",
 IF(L137&lt;=DATA!$M$1,"رعایت شده","رعایت نشده"))))</f>
        <v/>
      </c>
      <c r="P137" s="79"/>
      <c r="Q137" s="77"/>
      <c r="R137" s="79"/>
      <c r="S137" s="79"/>
      <c r="T137" s="78"/>
      <c r="U137" s="80"/>
      <c r="V137" s="78"/>
      <c r="W137" s="77" t="str">
        <f t="array" ref="W137">IF(D137="","",_xlfn.XLOOKUP(D137,DATA!B:B,DATA!L:L,""))</f>
        <v/>
      </c>
      <c r="X137" s="78" t="str">
        <f t="array" ref="X137">IF(F137="","",_xlfn.XLOOKUP(F137,DATA!B:B,DATA!L:L,""))</f>
        <v/>
      </c>
    </row>
    <row r="138">
      <c r="A138" s="81"/>
      <c r="B138" s="79"/>
      <c r="C138" s="57" t="str">
        <f t="array" ref="C138">iferror(_xlfn.XLOOKUP(D138,DATA!B:B,DATA!A:A),"")</f>
        <v/>
      </c>
      <c r="D138" s="82"/>
      <c r="E138" s="61" t="str">
        <f t="array" ref="E138">iferror(_xlfn.XLOOKUP(F138,DATA!B:B,DATA!A:A),"")</f>
        <v/>
      </c>
      <c r="F138" s="83"/>
      <c r="G138" s="78"/>
      <c r="H138" s="64" t="str">
        <f t="array" ref="H138">_xlfn.XLOOKUP(G138,DATA!D:D,DATA!E:E,"")</f>
        <v/>
      </c>
      <c r="I138" s="84"/>
      <c r="J138" s="23"/>
      <c r="K138" s="23"/>
      <c r="L138" s="66" t="str">
        <f t="shared" si="1"/>
        <v/>
      </c>
      <c r="M138" s="77"/>
      <c r="N138" s="78"/>
      <c r="O138" s="66" t="str">
        <f>IF(M138="","",
 IF(M138="عدم پاسخ","بدون پاسخ",
 IF(L138="","اطلاعات ناقص",
 IF(L138&lt;=DATA!$M$1,"رعایت شده","رعایت نشده"))))</f>
        <v/>
      </c>
      <c r="P138" s="79"/>
      <c r="Q138" s="77"/>
      <c r="R138" s="79"/>
      <c r="S138" s="79"/>
      <c r="T138" s="78"/>
      <c r="U138" s="80"/>
      <c r="V138" s="78"/>
      <c r="W138" s="77" t="str">
        <f t="array" ref="W138">IF(D138="","",_xlfn.XLOOKUP(D138,DATA!B:B,DATA!L:L,""))</f>
        <v/>
      </c>
      <c r="X138" s="78" t="str">
        <f t="array" ref="X138">IF(F138="","",_xlfn.XLOOKUP(F138,DATA!B:B,DATA!L:L,""))</f>
        <v/>
      </c>
    </row>
    <row r="139">
      <c r="A139" s="81"/>
      <c r="B139" s="79"/>
      <c r="C139" s="57" t="str">
        <f t="array" ref="C139">iferror(_xlfn.XLOOKUP(D139,DATA!B:B,DATA!A:A),"")</f>
        <v/>
      </c>
      <c r="D139" s="82"/>
      <c r="E139" s="61" t="str">
        <f t="array" ref="E139">iferror(_xlfn.XLOOKUP(F139,DATA!B:B,DATA!A:A),"")</f>
        <v/>
      </c>
      <c r="F139" s="83"/>
      <c r="G139" s="78"/>
      <c r="H139" s="64" t="str">
        <f t="array" ref="H139">_xlfn.XLOOKUP(G139,DATA!D:D,DATA!E:E,"")</f>
        <v/>
      </c>
      <c r="I139" s="84"/>
      <c r="J139" s="23"/>
      <c r="K139" s="23"/>
      <c r="L139" s="66" t="str">
        <f t="shared" si="1"/>
        <v/>
      </c>
      <c r="M139" s="77"/>
      <c r="N139" s="78"/>
      <c r="O139" s="66" t="str">
        <f>IF(M139="","",
 IF(M139="عدم پاسخ","بدون پاسخ",
 IF(L139="","اطلاعات ناقص",
 IF(L139&lt;=DATA!$M$1,"رعایت شده","رعایت نشده"))))</f>
        <v/>
      </c>
      <c r="P139" s="79"/>
      <c r="Q139" s="77"/>
      <c r="R139" s="79"/>
      <c r="S139" s="79"/>
      <c r="T139" s="78"/>
      <c r="U139" s="80"/>
      <c r="V139" s="78"/>
      <c r="W139" s="77" t="str">
        <f t="array" ref="W139">IF(D139="","",_xlfn.XLOOKUP(D139,DATA!B:B,DATA!L:L,""))</f>
        <v/>
      </c>
      <c r="X139" s="78" t="str">
        <f t="array" ref="X139">IF(F139="","",_xlfn.XLOOKUP(F139,DATA!B:B,DATA!L:L,""))</f>
        <v/>
      </c>
    </row>
    <row r="140">
      <c r="A140" s="81"/>
      <c r="B140" s="79"/>
      <c r="C140" s="57" t="str">
        <f t="array" ref="C140">iferror(_xlfn.XLOOKUP(D140,DATA!B:B,DATA!A:A),"")</f>
        <v/>
      </c>
      <c r="D140" s="82"/>
      <c r="E140" s="61" t="str">
        <f t="array" ref="E140">iferror(_xlfn.XLOOKUP(F140,DATA!B:B,DATA!A:A),"")</f>
        <v/>
      </c>
      <c r="F140" s="83"/>
      <c r="G140" s="78"/>
      <c r="H140" s="64" t="str">
        <f t="array" ref="H140">_xlfn.XLOOKUP(G140,DATA!D:D,DATA!E:E,"")</f>
        <v/>
      </c>
      <c r="I140" s="84"/>
      <c r="J140" s="23"/>
      <c r="K140" s="23"/>
      <c r="L140" s="66" t="str">
        <f t="shared" si="1"/>
        <v/>
      </c>
      <c r="M140" s="77"/>
      <c r="N140" s="78"/>
      <c r="O140" s="66" t="str">
        <f>IF(M140="","",
 IF(M140="عدم پاسخ","بدون پاسخ",
 IF(L140="","اطلاعات ناقص",
 IF(L140&lt;=DATA!$M$1,"رعایت شده","رعایت نشده"))))</f>
        <v/>
      </c>
      <c r="P140" s="79"/>
      <c r="Q140" s="77"/>
      <c r="R140" s="79"/>
      <c r="S140" s="79"/>
      <c r="T140" s="78"/>
      <c r="U140" s="80"/>
      <c r="V140" s="78"/>
      <c r="W140" s="77" t="str">
        <f t="array" ref="W140">IF(D140="","",_xlfn.XLOOKUP(D140,DATA!B:B,DATA!L:L,""))</f>
        <v/>
      </c>
      <c r="X140" s="78" t="str">
        <f t="array" ref="X140">IF(F140="","",_xlfn.XLOOKUP(F140,DATA!B:B,DATA!L:L,""))</f>
        <v/>
      </c>
    </row>
    <row r="141">
      <c r="A141" s="81"/>
      <c r="B141" s="79"/>
      <c r="C141" s="57" t="str">
        <f t="array" ref="C141">iferror(_xlfn.XLOOKUP(D141,DATA!B:B,DATA!A:A),"")</f>
        <v/>
      </c>
      <c r="D141" s="82"/>
      <c r="E141" s="61" t="str">
        <f t="array" ref="E141">iferror(_xlfn.XLOOKUP(F141,DATA!B:B,DATA!A:A),"")</f>
        <v/>
      </c>
      <c r="F141" s="83"/>
      <c r="G141" s="78"/>
      <c r="H141" s="64" t="str">
        <f t="array" ref="H141">_xlfn.XLOOKUP(G141,DATA!D:D,DATA!E:E,"")</f>
        <v/>
      </c>
      <c r="I141" s="84"/>
      <c r="J141" s="23"/>
      <c r="K141" s="23"/>
      <c r="L141" s="66" t="str">
        <f t="shared" si="1"/>
        <v/>
      </c>
      <c r="M141" s="77"/>
      <c r="N141" s="78"/>
      <c r="O141" s="66" t="str">
        <f>IF(M141="","",
 IF(M141="عدم پاسخ","بدون پاسخ",
 IF(L141="","اطلاعات ناقص",
 IF(L141&lt;=DATA!$M$1,"رعایت شده","رعایت نشده"))))</f>
        <v/>
      </c>
      <c r="P141" s="79"/>
      <c r="Q141" s="77"/>
      <c r="R141" s="79"/>
      <c r="S141" s="79"/>
      <c r="T141" s="78"/>
      <c r="U141" s="80"/>
      <c r="V141" s="78"/>
      <c r="W141" s="77" t="str">
        <f t="array" ref="W141">IF(D141="","",_xlfn.XLOOKUP(D141,DATA!B:B,DATA!L:L,""))</f>
        <v/>
      </c>
      <c r="X141" s="78" t="str">
        <f t="array" ref="X141">IF(F141="","",_xlfn.XLOOKUP(F141,DATA!B:B,DATA!L:L,""))</f>
        <v/>
      </c>
    </row>
    <row r="142">
      <c r="A142" s="81"/>
      <c r="B142" s="79"/>
      <c r="C142" s="57" t="str">
        <f t="array" ref="C142">iferror(_xlfn.XLOOKUP(D142,DATA!B:B,DATA!A:A),"")</f>
        <v/>
      </c>
      <c r="D142" s="82"/>
      <c r="E142" s="61" t="str">
        <f t="array" ref="E142">iferror(_xlfn.XLOOKUP(F142,DATA!B:B,DATA!A:A),"")</f>
        <v/>
      </c>
      <c r="F142" s="83"/>
      <c r="G142" s="78"/>
      <c r="H142" s="64" t="str">
        <f t="array" ref="H142">_xlfn.XLOOKUP(G142,DATA!D:D,DATA!E:E,"")</f>
        <v/>
      </c>
      <c r="I142" s="84"/>
      <c r="J142" s="23"/>
      <c r="K142" s="23"/>
      <c r="L142" s="66" t="str">
        <f t="shared" si="1"/>
        <v/>
      </c>
      <c r="M142" s="77"/>
      <c r="N142" s="78"/>
      <c r="O142" s="66" t="str">
        <f>IF(M142="","",
 IF(M142="عدم پاسخ","بدون پاسخ",
 IF(L142="","اطلاعات ناقص",
 IF(L142&lt;=DATA!$M$1,"رعایت شده","رعایت نشده"))))</f>
        <v/>
      </c>
      <c r="P142" s="79"/>
      <c r="Q142" s="77"/>
      <c r="R142" s="79"/>
      <c r="S142" s="79"/>
      <c r="T142" s="78"/>
      <c r="U142" s="80"/>
      <c r="V142" s="78"/>
      <c r="W142" s="77" t="str">
        <f t="array" ref="W142">IF(D142="","",_xlfn.XLOOKUP(D142,DATA!B:B,DATA!L:L,""))</f>
        <v/>
      </c>
      <c r="X142" s="78" t="str">
        <f t="array" ref="X142">IF(F142="","",_xlfn.XLOOKUP(F142,DATA!B:B,DATA!L:L,""))</f>
        <v/>
      </c>
    </row>
    <row r="143">
      <c r="A143" s="81"/>
      <c r="B143" s="79"/>
      <c r="C143" s="57" t="str">
        <f t="array" ref="C143">iferror(_xlfn.XLOOKUP(D143,DATA!B:B,DATA!A:A),"")</f>
        <v/>
      </c>
      <c r="D143" s="82"/>
      <c r="E143" s="61" t="str">
        <f t="array" ref="E143">iferror(_xlfn.XLOOKUP(F143,DATA!B:B,DATA!A:A),"")</f>
        <v/>
      </c>
      <c r="F143" s="83"/>
      <c r="G143" s="78"/>
      <c r="H143" s="64" t="str">
        <f t="array" ref="H143">_xlfn.XLOOKUP(G143,DATA!D:D,DATA!E:E,"")</f>
        <v/>
      </c>
      <c r="I143" s="84"/>
      <c r="J143" s="23"/>
      <c r="K143" s="23"/>
      <c r="L143" s="66" t="str">
        <f t="shared" si="1"/>
        <v/>
      </c>
      <c r="M143" s="77"/>
      <c r="N143" s="78"/>
      <c r="O143" s="66" t="str">
        <f>IF(M143="","",
 IF(M143="عدم پاسخ","بدون پاسخ",
 IF(L143="","اطلاعات ناقص",
 IF(L143&lt;=DATA!$M$1,"رعایت شده","رعایت نشده"))))</f>
        <v/>
      </c>
      <c r="P143" s="79"/>
      <c r="Q143" s="77"/>
      <c r="R143" s="79"/>
      <c r="S143" s="79"/>
      <c r="T143" s="78"/>
      <c r="U143" s="80"/>
      <c r="V143" s="78"/>
      <c r="W143" s="77" t="str">
        <f t="array" ref="W143">IF(D143="","",_xlfn.XLOOKUP(D143,DATA!B:B,DATA!L:L,""))</f>
        <v/>
      </c>
      <c r="X143" s="78" t="str">
        <f t="array" ref="X143">IF(F143="","",_xlfn.XLOOKUP(F143,DATA!B:B,DATA!L:L,""))</f>
        <v/>
      </c>
    </row>
    <row r="144">
      <c r="A144" s="81"/>
      <c r="B144" s="79"/>
      <c r="C144" s="57" t="str">
        <f t="array" ref="C144">iferror(_xlfn.XLOOKUP(D144,DATA!B:B,DATA!A:A),"")</f>
        <v/>
      </c>
      <c r="D144" s="82"/>
      <c r="E144" s="61" t="str">
        <f t="array" ref="E144">iferror(_xlfn.XLOOKUP(F144,DATA!B:B,DATA!A:A),"")</f>
        <v/>
      </c>
      <c r="F144" s="83"/>
      <c r="G144" s="78"/>
      <c r="H144" s="64" t="str">
        <f t="array" ref="H144">_xlfn.XLOOKUP(G144,DATA!D:D,DATA!E:E,"")</f>
        <v/>
      </c>
      <c r="I144" s="84"/>
      <c r="J144" s="23"/>
      <c r="K144" s="23"/>
      <c r="L144" s="66" t="str">
        <f t="shared" si="1"/>
        <v/>
      </c>
      <c r="M144" s="77"/>
      <c r="N144" s="78"/>
      <c r="O144" s="66" t="str">
        <f>IF(M144="","",
 IF(M144="عدم پاسخ","بدون پاسخ",
 IF(L144="","اطلاعات ناقص",
 IF(L144&lt;=DATA!$M$1,"رعایت شده","رعایت نشده"))))</f>
        <v/>
      </c>
      <c r="P144" s="79"/>
      <c r="Q144" s="77"/>
      <c r="R144" s="79"/>
      <c r="S144" s="79"/>
      <c r="T144" s="78"/>
      <c r="U144" s="80"/>
      <c r="V144" s="78"/>
      <c r="W144" s="77" t="str">
        <f t="array" ref="W144">IF(D144="","",_xlfn.XLOOKUP(D144,DATA!B:B,DATA!L:L,""))</f>
        <v/>
      </c>
      <c r="X144" s="78" t="str">
        <f t="array" ref="X144">IF(F144="","",_xlfn.XLOOKUP(F144,DATA!B:B,DATA!L:L,""))</f>
        <v/>
      </c>
    </row>
    <row r="145">
      <c r="A145" s="81"/>
      <c r="B145" s="79"/>
      <c r="C145" s="57" t="str">
        <f t="array" ref="C145">iferror(_xlfn.XLOOKUP(D145,DATA!B:B,DATA!A:A),"")</f>
        <v/>
      </c>
      <c r="D145" s="82"/>
      <c r="E145" s="61" t="str">
        <f t="array" ref="E145">iferror(_xlfn.XLOOKUP(F145,DATA!B:B,DATA!A:A),"")</f>
        <v/>
      </c>
      <c r="F145" s="83"/>
      <c r="G145" s="78"/>
      <c r="H145" s="64" t="str">
        <f t="array" ref="H145">_xlfn.XLOOKUP(G145,DATA!D:D,DATA!E:E,"")</f>
        <v/>
      </c>
      <c r="I145" s="84"/>
      <c r="J145" s="23"/>
      <c r="K145" s="23"/>
      <c r="L145" s="66" t="str">
        <f t="shared" si="1"/>
        <v/>
      </c>
      <c r="M145" s="77"/>
      <c r="N145" s="78"/>
      <c r="O145" s="66" t="str">
        <f>IF(M145="","",
 IF(M145="عدم پاسخ","بدون پاسخ",
 IF(L145="","اطلاعات ناقص",
 IF(L145&lt;=DATA!$M$1,"رعایت شده","رعایت نشده"))))</f>
        <v/>
      </c>
      <c r="P145" s="79"/>
      <c r="Q145" s="77"/>
      <c r="R145" s="79"/>
      <c r="S145" s="79"/>
      <c r="T145" s="78"/>
      <c r="U145" s="80"/>
      <c r="V145" s="78"/>
      <c r="W145" s="77" t="str">
        <f t="array" ref="W145">IF(D145="","",_xlfn.XLOOKUP(D145,DATA!B:B,DATA!L:L,""))</f>
        <v/>
      </c>
      <c r="X145" s="78" t="str">
        <f t="array" ref="X145">IF(F145="","",_xlfn.XLOOKUP(F145,DATA!B:B,DATA!L:L,""))</f>
        <v/>
      </c>
    </row>
    <row r="146">
      <c r="A146" s="81"/>
      <c r="B146" s="79"/>
      <c r="C146" s="57" t="str">
        <f t="array" ref="C146">iferror(_xlfn.XLOOKUP(D146,DATA!B:B,DATA!A:A),"")</f>
        <v/>
      </c>
      <c r="D146" s="82"/>
      <c r="E146" s="61" t="str">
        <f t="array" ref="E146">iferror(_xlfn.XLOOKUP(F146,DATA!B:B,DATA!A:A),"")</f>
        <v/>
      </c>
      <c r="F146" s="83"/>
      <c r="G146" s="78"/>
      <c r="H146" s="64" t="str">
        <f t="array" ref="H146">_xlfn.XLOOKUP(G146,DATA!D:D,DATA!E:E,"")</f>
        <v/>
      </c>
      <c r="I146" s="84"/>
      <c r="J146" s="23"/>
      <c r="K146" s="23"/>
      <c r="L146" s="66" t="str">
        <f t="shared" si="1"/>
        <v/>
      </c>
      <c r="M146" s="77"/>
      <c r="N146" s="78"/>
      <c r="O146" s="66" t="str">
        <f>IF(M146="","",
 IF(M146="عدم پاسخ","بدون پاسخ",
 IF(L146="","اطلاعات ناقص",
 IF(L146&lt;=DATA!$M$1,"رعایت شده","رعایت نشده"))))</f>
        <v/>
      </c>
      <c r="P146" s="79"/>
      <c r="Q146" s="77"/>
      <c r="R146" s="79"/>
      <c r="S146" s="79"/>
      <c r="T146" s="78"/>
      <c r="U146" s="80"/>
      <c r="V146" s="78"/>
      <c r="W146" s="77" t="str">
        <f t="array" ref="W146">IF(D146="","",_xlfn.XLOOKUP(D146,DATA!B:B,DATA!L:L,""))</f>
        <v/>
      </c>
      <c r="X146" s="78" t="str">
        <f t="array" ref="X146">IF(F146="","",_xlfn.XLOOKUP(F146,DATA!B:B,DATA!L:L,""))</f>
        <v/>
      </c>
    </row>
    <row r="147">
      <c r="A147" s="81"/>
      <c r="B147" s="79"/>
      <c r="C147" s="57" t="str">
        <f t="array" ref="C147">iferror(_xlfn.XLOOKUP(D147,DATA!B:B,DATA!A:A),"")</f>
        <v/>
      </c>
      <c r="D147" s="82"/>
      <c r="E147" s="61" t="str">
        <f t="array" ref="E147">iferror(_xlfn.XLOOKUP(F147,DATA!B:B,DATA!A:A),"")</f>
        <v/>
      </c>
      <c r="F147" s="83"/>
      <c r="G147" s="78"/>
      <c r="H147" s="64" t="str">
        <f t="array" ref="H147">_xlfn.XLOOKUP(G147,DATA!D:D,DATA!E:E,"")</f>
        <v/>
      </c>
      <c r="I147" s="84"/>
      <c r="J147" s="23"/>
      <c r="K147" s="23"/>
      <c r="L147" s="66" t="str">
        <f t="shared" si="1"/>
        <v/>
      </c>
      <c r="M147" s="77"/>
      <c r="N147" s="78"/>
      <c r="O147" s="66" t="str">
        <f>IF(M147="","",
 IF(M147="عدم پاسخ","بدون پاسخ",
 IF(L147="","اطلاعات ناقص",
 IF(L147&lt;=DATA!$M$1,"رعایت شده","رعایت نشده"))))</f>
        <v/>
      </c>
      <c r="P147" s="79"/>
      <c r="Q147" s="77"/>
      <c r="R147" s="79"/>
      <c r="S147" s="79"/>
      <c r="T147" s="78"/>
      <c r="U147" s="80"/>
      <c r="V147" s="78"/>
      <c r="W147" s="77" t="str">
        <f t="array" ref="W147">IF(D147="","",_xlfn.XLOOKUP(D147,DATA!B:B,DATA!L:L,""))</f>
        <v/>
      </c>
      <c r="X147" s="78" t="str">
        <f t="array" ref="X147">IF(F147="","",_xlfn.XLOOKUP(F147,DATA!B:B,DATA!L:L,""))</f>
        <v/>
      </c>
    </row>
    <row r="148">
      <c r="A148" s="81"/>
      <c r="B148" s="79"/>
      <c r="C148" s="57" t="str">
        <f t="array" ref="C148">iferror(_xlfn.XLOOKUP(D148,DATA!B:B,DATA!A:A),"")</f>
        <v/>
      </c>
      <c r="D148" s="82"/>
      <c r="E148" s="61" t="str">
        <f t="array" ref="E148">iferror(_xlfn.XLOOKUP(F148,DATA!B:B,DATA!A:A),"")</f>
        <v/>
      </c>
      <c r="F148" s="83"/>
      <c r="G148" s="78"/>
      <c r="H148" s="64" t="str">
        <f t="array" ref="H148">_xlfn.XLOOKUP(G148,DATA!D:D,DATA!E:E,"")</f>
        <v/>
      </c>
      <c r="I148" s="84"/>
      <c r="J148" s="23"/>
      <c r="K148" s="23"/>
      <c r="L148" s="66" t="str">
        <f t="shared" si="1"/>
        <v/>
      </c>
      <c r="M148" s="77"/>
      <c r="N148" s="78"/>
      <c r="O148" s="66" t="str">
        <f>IF(M148="","",
 IF(M148="عدم پاسخ","بدون پاسخ",
 IF(L148="","اطلاعات ناقص",
 IF(L148&lt;=DATA!$M$1,"رعایت شده","رعایت نشده"))))</f>
        <v/>
      </c>
      <c r="P148" s="79"/>
      <c r="Q148" s="77"/>
      <c r="R148" s="79"/>
      <c r="S148" s="79"/>
      <c r="T148" s="78"/>
      <c r="U148" s="80"/>
      <c r="V148" s="78"/>
      <c r="W148" s="77" t="str">
        <f t="array" ref="W148">IF(D148="","",_xlfn.XLOOKUP(D148,DATA!B:B,DATA!L:L,""))</f>
        <v/>
      </c>
      <c r="X148" s="78" t="str">
        <f t="array" ref="X148">IF(F148="","",_xlfn.XLOOKUP(F148,DATA!B:B,DATA!L:L,""))</f>
        <v/>
      </c>
    </row>
    <row r="149">
      <c r="A149" s="81"/>
      <c r="B149" s="79"/>
      <c r="C149" s="57" t="str">
        <f t="array" ref="C149">iferror(_xlfn.XLOOKUP(D149,DATA!B:B,DATA!A:A),"")</f>
        <v/>
      </c>
      <c r="D149" s="82"/>
      <c r="E149" s="61" t="str">
        <f t="array" ref="E149">iferror(_xlfn.XLOOKUP(F149,DATA!B:B,DATA!A:A),"")</f>
        <v/>
      </c>
      <c r="F149" s="83"/>
      <c r="G149" s="78"/>
      <c r="H149" s="64" t="str">
        <f t="array" ref="H149">_xlfn.XLOOKUP(G149,DATA!D:D,DATA!E:E,"")</f>
        <v/>
      </c>
      <c r="I149" s="84"/>
      <c r="J149" s="23"/>
      <c r="K149" s="23"/>
      <c r="L149" s="66" t="str">
        <f t="shared" si="1"/>
        <v/>
      </c>
      <c r="M149" s="77"/>
      <c r="N149" s="78"/>
      <c r="O149" s="66" t="str">
        <f>IF(M149="","",
 IF(M149="عدم پاسخ","بدون پاسخ",
 IF(L149="","اطلاعات ناقص",
 IF(L149&lt;=DATA!$M$1,"رعایت شده","رعایت نشده"))))</f>
        <v/>
      </c>
      <c r="P149" s="79"/>
      <c r="Q149" s="77"/>
      <c r="R149" s="79"/>
      <c r="S149" s="79"/>
      <c r="T149" s="78"/>
      <c r="U149" s="80"/>
      <c r="V149" s="78"/>
      <c r="W149" s="77" t="str">
        <f t="array" ref="W149">IF(D149="","",_xlfn.XLOOKUP(D149,DATA!B:B,DATA!L:L,""))</f>
        <v/>
      </c>
      <c r="X149" s="78" t="str">
        <f t="array" ref="X149">IF(F149="","",_xlfn.XLOOKUP(F149,DATA!B:B,DATA!L:L,""))</f>
        <v/>
      </c>
    </row>
    <row r="150">
      <c r="A150" s="81"/>
      <c r="B150" s="79"/>
      <c r="C150" s="57" t="str">
        <f t="array" ref="C150">iferror(_xlfn.XLOOKUP(D150,DATA!B:B,DATA!A:A),"")</f>
        <v/>
      </c>
      <c r="D150" s="82"/>
      <c r="E150" s="61" t="str">
        <f t="array" ref="E150">iferror(_xlfn.XLOOKUP(F150,DATA!B:B,DATA!A:A),"")</f>
        <v/>
      </c>
      <c r="F150" s="83"/>
      <c r="G150" s="78"/>
      <c r="H150" s="64" t="str">
        <f t="array" ref="H150">_xlfn.XLOOKUP(G150,DATA!D:D,DATA!E:E,"")</f>
        <v/>
      </c>
      <c r="I150" s="84"/>
      <c r="J150" s="23"/>
      <c r="K150" s="23"/>
      <c r="L150" s="66" t="str">
        <f t="shared" si="1"/>
        <v/>
      </c>
      <c r="M150" s="77"/>
      <c r="N150" s="78"/>
      <c r="O150" s="66" t="str">
        <f>IF(M150="","",
 IF(M150="عدم پاسخ","بدون پاسخ",
 IF(L150="","اطلاعات ناقص",
 IF(L150&lt;=DATA!$M$1,"رعایت شده","رعایت نشده"))))</f>
        <v/>
      </c>
      <c r="P150" s="79"/>
      <c r="Q150" s="77"/>
      <c r="R150" s="79"/>
      <c r="S150" s="79"/>
      <c r="T150" s="78"/>
      <c r="U150" s="80"/>
      <c r="V150" s="78"/>
      <c r="W150" s="77" t="str">
        <f t="array" ref="W150">IF(D150="","",_xlfn.XLOOKUP(D150,DATA!B:B,DATA!L:L,""))</f>
        <v/>
      </c>
      <c r="X150" s="78" t="str">
        <f t="array" ref="X150">IF(F150="","",_xlfn.XLOOKUP(F150,DATA!B:B,DATA!L:L,""))</f>
        <v/>
      </c>
    </row>
    <row r="151">
      <c r="A151" s="81"/>
      <c r="B151" s="79"/>
      <c r="C151" s="57" t="str">
        <f t="array" ref="C151">iferror(_xlfn.XLOOKUP(D151,DATA!B:B,DATA!A:A),"")</f>
        <v/>
      </c>
      <c r="D151" s="82"/>
      <c r="E151" s="61" t="str">
        <f t="array" ref="E151">iferror(_xlfn.XLOOKUP(F151,DATA!B:B,DATA!A:A),"")</f>
        <v/>
      </c>
      <c r="F151" s="83"/>
      <c r="G151" s="78"/>
      <c r="H151" s="64" t="str">
        <f t="array" ref="H151">_xlfn.XLOOKUP(G151,DATA!D:D,DATA!E:E,"")</f>
        <v/>
      </c>
      <c r="I151" s="84"/>
      <c r="J151" s="23"/>
      <c r="K151" s="23"/>
      <c r="L151" s="66" t="str">
        <f t="shared" si="1"/>
        <v/>
      </c>
      <c r="M151" s="77"/>
      <c r="N151" s="78"/>
      <c r="O151" s="66" t="str">
        <f>IF(M151="","",
 IF(M151="عدم پاسخ","بدون پاسخ",
 IF(L151="","اطلاعات ناقص",
 IF(L151&lt;=DATA!$M$1,"رعایت شده","رعایت نشده"))))</f>
        <v/>
      </c>
      <c r="P151" s="79"/>
      <c r="Q151" s="77"/>
      <c r="R151" s="79"/>
      <c r="S151" s="79"/>
      <c r="T151" s="78"/>
      <c r="U151" s="80"/>
      <c r="V151" s="78"/>
      <c r="W151" s="77" t="str">
        <f t="array" ref="W151">IF(D151="","",_xlfn.XLOOKUP(D151,DATA!B:B,DATA!L:L,""))</f>
        <v/>
      </c>
      <c r="X151" s="78" t="str">
        <f t="array" ref="X151">IF(F151="","",_xlfn.XLOOKUP(F151,DATA!B:B,DATA!L:L,""))</f>
        <v/>
      </c>
    </row>
    <row r="152">
      <c r="A152" s="81"/>
      <c r="B152" s="79"/>
      <c r="C152" s="57" t="str">
        <f t="array" ref="C152">iferror(_xlfn.XLOOKUP(D152,DATA!B:B,DATA!A:A),"")</f>
        <v/>
      </c>
      <c r="D152" s="82"/>
      <c r="E152" s="61" t="str">
        <f t="array" ref="E152">iferror(_xlfn.XLOOKUP(F152,DATA!B:B,DATA!A:A),"")</f>
        <v/>
      </c>
      <c r="F152" s="83"/>
      <c r="G152" s="78"/>
      <c r="H152" s="64" t="str">
        <f t="array" ref="H152">_xlfn.XLOOKUP(G152,DATA!D:D,DATA!E:E,"")</f>
        <v/>
      </c>
      <c r="I152" s="84"/>
      <c r="J152" s="23"/>
      <c r="K152" s="23"/>
      <c r="L152" s="66" t="str">
        <f t="shared" si="1"/>
        <v/>
      </c>
      <c r="M152" s="77"/>
      <c r="N152" s="78"/>
      <c r="O152" s="66" t="str">
        <f>IF(M152="","",
 IF(M152="عدم پاسخ","بدون پاسخ",
 IF(L152="","اطلاعات ناقص",
 IF(L152&lt;=DATA!$M$1,"رعایت شده","رعایت نشده"))))</f>
        <v/>
      </c>
      <c r="P152" s="79"/>
      <c r="Q152" s="77"/>
      <c r="R152" s="79"/>
      <c r="S152" s="79"/>
      <c r="T152" s="78"/>
      <c r="U152" s="80"/>
      <c r="V152" s="78"/>
      <c r="W152" s="77" t="str">
        <f t="array" ref="W152">IF(D152="","",_xlfn.XLOOKUP(D152,DATA!B:B,DATA!L:L,""))</f>
        <v/>
      </c>
      <c r="X152" s="78" t="str">
        <f t="array" ref="X152">IF(F152="","",_xlfn.XLOOKUP(F152,DATA!B:B,DATA!L:L,""))</f>
        <v/>
      </c>
    </row>
    <row r="153">
      <c r="A153" s="81"/>
      <c r="B153" s="79"/>
      <c r="C153" s="57" t="str">
        <f t="array" ref="C153">iferror(_xlfn.XLOOKUP(D153,DATA!B:B,DATA!A:A),"")</f>
        <v/>
      </c>
      <c r="D153" s="82"/>
      <c r="E153" s="61" t="str">
        <f t="array" ref="E153">iferror(_xlfn.XLOOKUP(F153,DATA!B:B,DATA!A:A),"")</f>
        <v/>
      </c>
      <c r="F153" s="83"/>
      <c r="G153" s="78"/>
      <c r="H153" s="64" t="str">
        <f t="array" ref="H153">_xlfn.XLOOKUP(G153,DATA!D:D,DATA!E:E,"")</f>
        <v/>
      </c>
      <c r="I153" s="84"/>
      <c r="J153" s="23"/>
      <c r="K153" s="23"/>
      <c r="L153" s="66" t="str">
        <f t="shared" si="1"/>
        <v/>
      </c>
      <c r="M153" s="77"/>
      <c r="N153" s="78"/>
      <c r="O153" s="66" t="str">
        <f>IF(M153="","",
 IF(M153="عدم پاسخ","بدون پاسخ",
 IF(L153="","اطلاعات ناقص",
 IF(L153&lt;=DATA!$M$1,"رعایت شده","رعایت نشده"))))</f>
        <v/>
      </c>
      <c r="P153" s="79"/>
      <c r="Q153" s="77"/>
      <c r="R153" s="79"/>
      <c r="S153" s="79"/>
      <c r="T153" s="78"/>
      <c r="U153" s="80"/>
      <c r="V153" s="78"/>
      <c r="W153" s="77" t="str">
        <f t="array" ref="W153">IF(D153="","",_xlfn.XLOOKUP(D153,DATA!B:B,DATA!L:L,""))</f>
        <v/>
      </c>
      <c r="X153" s="78" t="str">
        <f t="array" ref="X153">IF(F153="","",_xlfn.XLOOKUP(F153,DATA!B:B,DATA!L:L,""))</f>
        <v/>
      </c>
    </row>
    <row r="154">
      <c r="A154" s="81"/>
      <c r="B154" s="79"/>
      <c r="C154" s="57" t="str">
        <f t="array" ref="C154">iferror(_xlfn.XLOOKUP(D154,DATA!B:B,DATA!A:A),"")</f>
        <v/>
      </c>
      <c r="D154" s="82"/>
      <c r="E154" s="61" t="str">
        <f t="array" ref="E154">iferror(_xlfn.XLOOKUP(F154,DATA!B:B,DATA!A:A),"")</f>
        <v/>
      </c>
      <c r="F154" s="83"/>
      <c r="G154" s="78"/>
      <c r="H154" s="64" t="str">
        <f t="array" ref="H154">_xlfn.XLOOKUP(G154,DATA!D:D,DATA!E:E,"")</f>
        <v/>
      </c>
      <c r="I154" s="84"/>
      <c r="J154" s="23"/>
      <c r="K154" s="23"/>
      <c r="L154" s="66" t="str">
        <f t="shared" si="1"/>
        <v/>
      </c>
      <c r="M154" s="77"/>
      <c r="N154" s="78"/>
      <c r="O154" s="66" t="str">
        <f>IF(M154="","",
 IF(M154="عدم پاسخ","بدون پاسخ",
 IF(L154="","اطلاعات ناقص",
 IF(L154&lt;=DATA!$M$1,"رعایت شده","رعایت نشده"))))</f>
        <v/>
      </c>
      <c r="P154" s="79"/>
      <c r="Q154" s="77"/>
      <c r="R154" s="79"/>
      <c r="S154" s="79"/>
      <c r="T154" s="78"/>
      <c r="U154" s="80"/>
      <c r="V154" s="78"/>
      <c r="W154" s="77" t="str">
        <f t="array" ref="W154">IF(D154="","",_xlfn.XLOOKUP(D154,DATA!B:B,DATA!L:L,""))</f>
        <v/>
      </c>
      <c r="X154" s="78" t="str">
        <f t="array" ref="X154">IF(F154="","",_xlfn.XLOOKUP(F154,DATA!B:B,DATA!L:L,""))</f>
        <v/>
      </c>
    </row>
    <row r="155">
      <c r="A155" s="81"/>
      <c r="B155" s="79"/>
      <c r="C155" s="57" t="str">
        <f t="array" ref="C155">iferror(_xlfn.XLOOKUP(D155,DATA!B:B,DATA!A:A),"")</f>
        <v/>
      </c>
      <c r="D155" s="82"/>
      <c r="E155" s="61" t="str">
        <f t="array" ref="E155">iferror(_xlfn.XLOOKUP(F155,DATA!B:B,DATA!A:A),"")</f>
        <v/>
      </c>
      <c r="F155" s="83"/>
      <c r="G155" s="78"/>
      <c r="H155" s="64" t="str">
        <f t="array" ref="H155">_xlfn.XLOOKUP(G155,DATA!D:D,DATA!E:E,"")</f>
        <v/>
      </c>
      <c r="I155" s="84"/>
      <c r="J155" s="23"/>
      <c r="K155" s="23"/>
      <c r="L155" s="66" t="str">
        <f t="shared" si="1"/>
        <v/>
      </c>
      <c r="M155" s="77"/>
      <c r="N155" s="78"/>
      <c r="O155" s="66" t="str">
        <f>IF(M155="","",
 IF(M155="عدم پاسخ","بدون پاسخ",
 IF(L155="","اطلاعات ناقص",
 IF(L155&lt;=DATA!$M$1,"رعایت شده","رعایت نشده"))))</f>
        <v/>
      </c>
      <c r="P155" s="79"/>
      <c r="Q155" s="77"/>
      <c r="R155" s="79"/>
      <c r="S155" s="79"/>
      <c r="T155" s="78"/>
      <c r="U155" s="80"/>
      <c r="V155" s="78"/>
      <c r="W155" s="77" t="str">
        <f t="array" ref="W155">IF(D155="","",_xlfn.XLOOKUP(D155,DATA!B:B,DATA!L:L,""))</f>
        <v/>
      </c>
      <c r="X155" s="78" t="str">
        <f t="array" ref="X155">IF(F155="","",_xlfn.XLOOKUP(F155,DATA!B:B,DATA!L:L,""))</f>
        <v/>
      </c>
    </row>
    <row r="156">
      <c r="A156" s="81"/>
      <c r="B156" s="79"/>
      <c r="C156" s="57" t="str">
        <f t="array" ref="C156">iferror(_xlfn.XLOOKUP(D156,DATA!B:B,DATA!A:A),"")</f>
        <v/>
      </c>
      <c r="D156" s="82"/>
      <c r="E156" s="61" t="str">
        <f t="array" ref="E156">iferror(_xlfn.XLOOKUP(F156,DATA!B:B,DATA!A:A),"")</f>
        <v/>
      </c>
      <c r="F156" s="83"/>
      <c r="G156" s="78"/>
      <c r="H156" s="64" t="str">
        <f t="array" ref="H156">_xlfn.XLOOKUP(G156,DATA!D:D,DATA!E:E,"")</f>
        <v/>
      </c>
      <c r="I156" s="84"/>
      <c r="J156" s="23"/>
      <c r="K156" s="23"/>
      <c r="L156" s="66" t="str">
        <f t="shared" si="1"/>
        <v/>
      </c>
      <c r="M156" s="77"/>
      <c r="N156" s="78"/>
      <c r="O156" s="66" t="str">
        <f>IF(M156="","",
 IF(M156="عدم پاسخ","بدون پاسخ",
 IF(L156="","اطلاعات ناقص",
 IF(L156&lt;=DATA!$M$1,"رعایت شده","رعایت نشده"))))</f>
        <v/>
      </c>
      <c r="P156" s="79"/>
      <c r="Q156" s="77"/>
      <c r="R156" s="79"/>
      <c r="S156" s="79"/>
      <c r="T156" s="78"/>
      <c r="U156" s="80"/>
      <c r="V156" s="78"/>
      <c r="W156" s="77" t="str">
        <f t="array" ref="W156">IF(D156="","",_xlfn.XLOOKUP(D156,DATA!B:B,DATA!L:L,""))</f>
        <v/>
      </c>
      <c r="X156" s="78" t="str">
        <f t="array" ref="X156">IF(F156="","",_xlfn.XLOOKUP(F156,DATA!B:B,DATA!L:L,""))</f>
        <v/>
      </c>
    </row>
    <row r="157">
      <c r="A157" s="81"/>
      <c r="B157" s="79"/>
      <c r="C157" s="57" t="str">
        <f t="array" ref="C157">iferror(_xlfn.XLOOKUP(D157,DATA!B:B,DATA!A:A),"")</f>
        <v/>
      </c>
      <c r="D157" s="82"/>
      <c r="E157" s="61" t="str">
        <f t="array" ref="E157">iferror(_xlfn.XLOOKUP(F157,DATA!B:B,DATA!A:A),"")</f>
        <v/>
      </c>
      <c r="F157" s="83"/>
      <c r="G157" s="78"/>
      <c r="H157" s="64" t="str">
        <f t="array" ref="H157">_xlfn.XLOOKUP(G157,DATA!D:D,DATA!E:E,"")</f>
        <v/>
      </c>
      <c r="I157" s="84"/>
      <c r="J157" s="23"/>
      <c r="K157" s="23"/>
      <c r="L157" s="66" t="str">
        <f t="shared" si="1"/>
        <v/>
      </c>
      <c r="M157" s="77"/>
      <c r="N157" s="78"/>
      <c r="O157" s="66" t="str">
        <f>IF(M157="","",
 IF(M157="عدم پاسخ","بدون پاسخ",
 IF(L157="","اطلاعات ناقص",
 IF(L157&lt;=DATA!$M$1,"رعایت شده","رعایت نشده"))))</f>
        <v/>
      </c>
      <c r="P157" s="79"/>
      <c r="Q157" s="77"/>
      <c r="R157" s="79"/>
      <c r="S157" s="79"/>
      <c r="T157" s="78"/>
      <c r="U157" s="80"/>
      <c r="V157" s="78"/>
      <c r="W157" s="77" t="str">
        <f t="array" ref="W157">IF(D157="","",_xlfn.XLOOKUP(D157,DATA!B:B,DATA!L:L,""))</f>
        <v/>
      </c>
      <c r="X157" s="78" t="str">
        <f t="array" ref="X157">IF(F157="","",_xlfn.XLOOKUP(F157,DATA!B:B,DATA!L:L,""))</f>
        <v/>
      </c>
    </row>
    <row r="158">
      <c r="A158" s="81"/>
      <c r="B158" s="79"/>
      <c r="C158" s="57" t="str">
        <f t="array" ref="C158">iferror(_xlfn.XLOOKUP(D158,DATA!B:B,DATA!A:A),"")</f>
        <v/>
      </c>
      <c r="D158" s="82"/>
      <c r="E158" s="61" t="str">
        <f t="array" ref="E158">iferror(_xlfn.XLOOKUP(F158,DATA!B:B,DATA!A:A),"")</f>
        <v/>
      </c>
      <c r="F158" s="83"/>
      <c r="G158" s="78"/>
      <c r="H158" s="64" t="str">
        <f t="array" ref="H158">_xlfn.XLOOKUP(G158,DATA!D:D,DATA!E:E,"")</f>
        <v/>
      </c>
      <c r="I158" s="84"/>
      <c r="J158" s="23"/>
      <c r="K158" s="23"/>
      <c r="L158" s="66" t="str">
        <f t="shared" si="1"/>
        <v/>
      </c>
      <c r="M158" s="77"/>
      <c r="N158" s="78"/>
      <c r="O158" s="66" t="str">
        <f>IF(M158="","",
 IF(M158="عدم پاسخ","بدون پاسخ",
 IF(L158="","اطلاعات ناقص",
 IF(L158&lt;=DATA!$M$1,"رعایت شده","رعایت نشده"))))</f>
        <v/>
      </c>
      <c r="P158" s="79"/>
      <c r="Q158" s="77"/>
      <c r="R158" s="79"/>
      <c r="S158" s="79"/>
      <c r="T158" s="78"/>
      <c r="U158" s="80"/>
      <c r="V158" s="78"/>
      <c r="W158" s="77" t="str">
        <f t="array" ref="W158">IF(D158="","",_xlfn.XLOOKUP(D158,DATA!B:B,DATA!L:L,""))</f>
        <v/>
      </c>
      <c r="X158" s="78" t="str">
        <f t="array" ref="X158">IF(F158="","",_xlfn.XLOOKUP(F158,DATA!B:B,DATA!L:L,""))</f>
        <v/>
      </c>
    </row>
    <row r="159">
      <c r="A159" s="81"/>
      <c r="B159" s="79"/>
      <c r="C159" s="57" t="str">
        <f t="array" ref="C159">iferror(_xlfn.XLOOKUP(D159,DATA!B:B,DATA!A:A),"")</f>
        <v/>
      </c>
      <c r="D159" s="82"/>
      <c r="E159" s="61" t="str">
        <f t="array" ref="E159">iferror(_xlfn.XLOOKUP(F159,DATA!B:B,DATA!A:A),"")</f>
        <v/>
      </c>
      <c r="F159" s="83"/>
      <c r="G159" s="78"/>
      <c r="H159" s="64" t="str">
        <f t="array" ref="H159">_xlfn.XLOOKUP(G159,DATA!D:D,DATA!E:E,"")</f>
        <v/>
      </c>
      <c r="I159" s="84"/>
      <c r="J159" s="23"/>
      <c r="K159" s="23"/>
      <c r="L159" s="66" t="str">
        <f t="shared" si="1"/>
        <v/>
      </c>
      <c r="M159" s="77"/>
      <c r="N159" s="78"/>
      <c r="O159" s="66" t="str">
        <f>IF(M159="","",
 IF(M159="عدم پاسخ","بدون پاسخ",
 IF(L159="","اطلاعات ناقص",
 IF(L159&lt;=DATA!$M$1,"رعایت شده","رعایت نشده"))))</f>
        <v/>
      </c>
      <c r="P159" s="79"/>
      <c r="Q159" s="77"/>
      <c r="R159" s="79"/>
      <c r="S159" s="79"/>
      <c r="T159" s="78"/>
      <c r="U159" s="80"/>
      <c r="V159" s="78"/>
      <c r="W159" s="77" t="str">
        <f t="array" ref="W159">IF(D159="","",_xlfn.XLOOKUP(D159,DATA!B:B,DATA!L:L,""))</f>
        <v/>
      </c>
      <c r="X159" s="78" t="str">
        <f t="array" ref="X159">IF(F159="","",_xlfn.XLOOKUP(F159,DATA!B:B,DATA!L:L,""))</f>
        <v/>
      </c>
    </row>
    <row r="160">
      <c r="A160" s="81"/>
      <c r="B160" s="79"/>
      <c r="C160" s="57" t="str">
        <f t="array" ref="C160">iferror(_xlfn.XLOOKUP(D160,DATA!B:B,DATA!A:A),"")</f>
        <v/>
      </c>
      <c r="D160" s="82"/>
      <c r="E160" s="61" t="str">
        <f t="array" ref="E160">iferror(_xlfn.XLOOKUP(F160,DATA!B:B,DATA!A:A),"")</f>
        <v/>
      </c>
      <c r="F160" s="83"/>
      <c r="G160" s="78"/>
      <c r="H160" s="64" t="str">
        <f t="array" ref="H160">_xlfn.XLOOKUP(G160,DATA!D:D,DATA!E:E,"")</f>
        <v/>
      </c>
      <c r="I160" s="84"/>
      <c r="J160" s="23"/>
      <c r="K160" s="23"/>
      <c r="L160" s="66" t="str">
        <f t="shared" si="1"/>
        <v/>
      </c>
      <c r="M160" s="77"/>
      <c r="N160" s="78"/>
      <c r="O160" s="66" t="str">
        <f>IF(M160="","",
 IF(M160="عدم پاسخ","بدون پاسخ",
 IF(L160="","اطلاعات ناقص",
 IF(L160&lt;=DATA!$M$1,"رعایت شده","رعایت نشده"))))</f>
        <v/>
      </c>
      <c r="P160" s="79"/>
      <c r="Q160" s="77"/>
      <c r="R160" s="79"/>
      <c r="S160" s="79"/>
      <c r="T160" s="78"/>
      <c r="U160" s="80"/>
      <c r="V160" s="78"/>
      <c r="W160" s="77" t="str">
        <f t="array" ref="W160">IF(D160="","",_xlfn.XLOOKUP(D160,DATA!B:B,DATA!L:L,""))</f>
        <v/>
      </c>
      <c r="X160" s="78" t="str">
        <f t="array" ref="X160">IF(F160="","",_xlfn.XLOOKUP(F160,DATA!B:B,DATA!L:L,""))</f>
        <v/>
      </c>
    </row>
    <row r="161">
      <c r="A161" s="81"/>
      <c r="B161" s="79"/>
      <c r="C161" s="57" t="str">
        <f t="array" ref="C161">iferror(_xlfn.XLOOKUP(D161,DATA!B:B,DATA!A:A),"")</f>
        <v/>
      </c>
      <c r="D161" s="82"/>
      <c r="E161" s="61" t="str">
        <f t="array" ref="E161">iferror(_xlfn.XLOOKUP(F161,DATA!B:B,DATA!A:A),"")</f>
        <v/>
      </c>
      <c r="F161" s="83"/>
      <c r="G161" s="78"/>
      <c r="H161" s="64" t="str">
        <f t="array" ref="H161">_xlfn.XLOOKUP(G161,DATA!D:D,DATA!E:E,"")</f>
        <v/>
      </c>
      <c r="I161" s="84"/>
      <c r="J161" s="23"/>
      <c r="K161" s="23"/>
      <c r="L161" s="66" t="str">
        <f t="shared" si="1"/>
        <v/>
      </c>
      <c r="M161" s="77"/>
      <c r="N161" s="78"/>
      <c r="O161" s="66" t="str">
        <f>IF(M161="","",
 IF(M161="عدم پاسخ","بدون پاسخ",
 IF(L161="","اطلاعات ناقص",
 IF(L161&lt;=DATA!$M$1,"رعایت شده","رعایت نشده"))))</f>
        <v/>
      </c>
      <c r="P161" s="79"/>
      <c r="Q161" s="77"/>
      <c r="R161" s="79"/>
      <c r="S161" s="79"/>
      <c r="T161" s="78"/>
      <c r="U161" s="80"/>
      <c r="V161" s="78"/>
      <c r="W161" s="77" t="str">
        <f t="array" ref="W161">IF(D161="","",_xlfn.XLOOKUP(D161,DATA!B:B,DATA!L:L,""))</f>
        <v/>
      </c>
      <c r="X161" s="78" t="str">
        <f t="array" ref="X161">IF(F161="","",_xlfn.XLOOKUP(F161,DATA!B:B,DATA!L:L,""))</f>
        <v/>
      </c>
    </row>
    <row r="162">
      <c r="A162" s="81"/>
      <c r="B162" s="79"/>
      <c r="C162" s="57" t="str">
        <f t="array" ref="C162">iferror(_xlfn.XLOOKUP(D162,DATA!B:B,DATA!A:A),"")</f>
        <v/>
      </c>
      <c r="D162" s="82"/>
      <c r="E162" s="61" t="str">
        <f t="array" ref="E162">iferror(_xlfn.XLOOKUP(F162,DATA!B:B,DATA!A:A),"")</f>
        <v/>
      </c>
      <c r="F162" s="83"/>
      <c r="G162" s="78"/>
      <c r="H162" s="64" t="str">
        <f t="array" ref="H162">_xlfn.XLOOKUP(G162,DATA!D:D,DATA!E:E,"")</f>
        <v/>
      </c>
      <c r="I162" s="84"/>
      <c r="J162" s="23"/>
      <c r="K162" s="23"/>
      <c r="L162" s="66" t="str">
        <f t="shared" si="1"/>
        <v/>
      </c>
      <c r="M162" s="77"/>
      <c r="N162" s="78"/>
      <c r="O162" s="66" t="str">
        <f>IF(M162="","",
 IF(M162="عدم پاسخ","بدون پاسخ",
 IF(L162="","اطلاعات ناقص",
 IF(L162&lt;=DATA!$M$1,"رعایت شده","رعایت نشده"))))</f>
        <v/>
      </c>
      <c r="P162" s="79"/>
      <c r="Q162" s="77"/>
      <c r="R162" s="79"/>
      <c r="S162" s="79"/>
      <c r="T162" s="78"/>
      <c r="U162" s="80"/>
      <c r="V162" s="78"/>
      <c r="W162" s="77" t="str">
        <f t="array" ref="W162">IF(D162="","",_xlfn.XLOOKUP(D162,DATA!B:B,DATA!L:L,""))</f>
        <v/>
      </c>
      <c r="X162" s="78" t="str">
        <f t="array" ref="X162">IF(F162="","",_xlfn.XLOOKUP(F162,DATA!B:B,DATA!L:L,""))</f>
        <v/>
      </c>
    </row>
    <row r="163">
      <c r="A163" s="81"/>
      <c r="B163" s="79"/>
      <c r="C163" s="57" t="str">
        <f t="array" ref="C163">iferror(_xlfn.XLOOKUP(D163,DATA!B:B,DATA!A:A),"")</f>
        <v/>
      </c>
      <c r="D163" s="82"/>
      <c r="E163" s="61" t="str">
        <f t="array" ref="E163">iferror(_xlfn.XLOOKUP(F163,DATA!B:B,DATA!A:A),"")</f>
        <v/>
      </c>
      <c r="F163" s="83"/>
      <c r="G163" s="78"/>
      <c r="H163" s="64" t="str">
        <f t="array" ref="H163">_xlfn.XLOOKUP(G163,DATA!D:D,DATA!E:E,"")</f>
        <v/>
      </c>
      <c r="I163" s="84"/>
      <c r="J163" s="23"/>
      <c r="K163" s="23"/>
      <c r="L163" s="66" t="str">
        <f t="shared" si="1"/>
        <v/>
      </c>
      <c r="M163" s="77"/>
      <c r="N163" s="78"/>
      <c r="O163" s="66" t="str">
        <f>IF(M163="","",
 IF(M163="عدم پاسخ","بدون پاسخ",
 IF(L163="","اطلاعات ناقص",
 IF(L163&lt;=DATA!$M$1,"رعایت شده","رعایت نشده"))))</f>
        <v/>
      </c>
      <c r="P163" s="79"/>
      <c r="Q163" s="77"/>
      <c r="R163" s="79"/>
      <c r="S163" s="79"/>
      <c r="T163" s="78"/>
      <c r="U163" s="80"/>
      <c r="V163" s="78"/>
      <c r="W163" s="77" t="str">
        <f t="array" ref="W163">IF(D163="","",_xlfn.XLOOKUP(D163,DATA!B:B,DATA!L:L,""))</f>
        <v/>
      </c>
      <c r="X163" s="78" t="str">
        <f t="array" ref="X163">IF(F163="","",_xlfn.XLOOKUP(F163,DATA!B:B,DATA!L:L,""))</f>
        <v/>
      </c>
    </row>
    <row r="164">
      <c r="A164" s="81"/>
      <c r="B164" s="79"/>
      <c r="C164" s="57" t="str">
        <f t="array" ref="C164">iferror(_xlfn.XLOOKUP(D164,DATA!B:B,DATA!A:A),"")</f>
        <v/>
      </c>
      <c r="D164" s="82"/>
      <c r="E164" s="61" t="str">
        <f t="array" ref="E164">iferror(_xlfn.XLOOKUP(F164,DATA!B:B,DATA!A:A),"")</f>
        <v/>
      </c>
      <c r="F164" s="83"/>
      <c r="G164" s="78"/>
      <c r="H164" s="64" t="str">
        <f t="array" ref="H164">_xlfn.XLOOKUP(G164,DATA!D:D,DATA!E:E,"")</f>
        <v/>
      </c>
      <c r="I164" s="84"/>
      <c r="J164" s="23"/>
      <c r="K164" s="23"/>
      <c r="L164" s="66" t="str">
        <f t="shared" si="1"/>
        <v/>
      </c>
      <c r="M164" s="77"/>
      <c r="N164" s="78"/>
      <c r="O164" s="66" t="str">
        <f>IF(M164="","",
 IF(M164="عدم پاسخ","بدون پاسخ",
 IF(L164="","اطلاعات ناقص",
 IF(L164&lt;=DATA!$M$1,"رعایت شده","رعایت نشده"))))</f>
        <v/>
      </c>
      <c r="P164" s="79"/>
      <c r="Q164" s="77"/>
      <c r="R164" s="79"/>
      <c r="S164" s="79"/>
      <c r="T164" s="78"/>
      <c r="U164" s="80"/>
      <c r="V164" s="78"/>
      <c r="W164" s="77" t="str">
        <f t="array" ref="W164">IF(D164="","",_xlfn.XLOOKUP(D164,DATA!B:B,DATA!L:L,""))</f>
        <v/>
      </c>
      <c r="X164" s="78" t="str">
        <f t="array" ref="X164">IF(F164="","",_xlfn.XLOOKUP(F164,DATA!B:B,DATA!L:L,""))</f>
        <v/>
      </c>
    </row>
    <row r="165">
      <c r="A165" s="81"/>
      <c r="B165" s="79"/>
      <c r="C165" s="57" t="str">
        <f t="array" ref="C165">iferror(_xlfn.XLOOKUP(D165,DATA!B:B,DATA!A:A),"")</f>
        <v/>
      </c>
      <c r="D165" s="82"/>
      <c r="E165" s="61" t="str">
        <f t="array" ref="E165">iferror(_xlfn.XLOOKUP(F165,DATA!B:B,DATA!A:A),"")</f>
        <v/>
      </c>
      <c r="F165" s="83"/>
      <c r="G165" s="78"/>
      <c r="H165" s="64" t="str">
        <f t="array" ref="H165">_xlfn.XLOOKUP(G165,DATA!D:D,DATA!E:E,"")</f>
        <v/>
      </c>
      <c r="I165" s="84"/>
      <c r="J165" s="23"/>
      <c r="K165" s="23"/>
      <c r="L165" s="66" t="str">
        <f t="shared" si="1"/>
        <v/>
      </c>
      <c r="M165" s="77"/>
      <c r="N165" s="78"/>
      <c r="O165" s="66" t="str">
        <f>IF(M165="","",
 IF(M165="عدم پاسخ","بدون پاسخ",
 IF(L165="","اطلاعات ناقص",
 IF(L165&lt;=DATA!$M$1,"رعایت شده","رعایت نشده"))))</f>
        <v/>
      </c>
      <c r="P165" s="79"/>
      <c r="Q165" s="77"/>
      <c r="R165" s="79"/>
      <c r="S165" s="79"/>
      <c r="T165" s="78"/>
      <c r="U165" s="80"/>
      <c r="V165" s="78"/>
      <c r="W165" s="77" t="str">
        <f t="array" ref="W165">IF(D165="","",_xlfn.XLOOKUP(D165,DATA!B:B,DATA!L:L,""))</f>
        <v/>
      </c>
      <c r="X165" s="78" t="str">
        <f t="array" ref="X165">IF(F165="","",_xlfn.XLOOKUP(F165,DATA!B:B,DATA!L:L,""))</f>
        <v/>
      </c>
    </row>
    <row r="166">
      <c r="A166" s="81"/>
      <c r="B166" s="79"/>
      <c r="C166" s="57" t="str">
        <f t="array" ref="C166">iferror(_xlfn.XLOOKUP(D166,DATA!B:B,DATA!A:A),"")</f>
        <v/>
      </c>
      <c r="D166" s="82"/>
      <c r="E166" s="61" t="str">
        <f t="array" ref="E166">iferror(_xlfn.XLOOKUP(F166,DATA!B:B,DATA!A:A),"")</f>
        <v/>
      </c>
      <c r="F166" s="83"/>
      <c r="G166" s="78"/>
      <c r="H166" s="64" t="str">
        <f t="array" ref="H166">_xlfn.XLOOKUP(G166,DATA!D:D,DATA!E:E,"")</f>
        <v/>
      </c>
      <c r="I166" s="84"/>
      <c r="J166" s="23"/>
      <c r="K166" s="23"/>
      <c r="L166" s="66" t="str">
        <f t="shared" si="1"/>
        <v/>
      </c>
      <c r="M166" s="77"/>
      <c r="N166" s="78"/>
      <c r="O166" s="66" t="str">
        <f>IF(M166="","",
 IF(M166="عدم پاسخ","بدون پاسخ",
 IF(L166="","اطلاعات ناقص",
 IF(L166&lt;=DATA!$M$1,"رعایت شده","رعایت نشده"))))</f>
        <v/>
      </c>
      <c r="P166" s="79"/>
      <c r="Q166" s="77"/>
      <c r="R166" s="79"/>
      <c r="S166" s="79"/>
      <c r="T166" s="78"/>
      <c r="U166" s="80"/>
      <c r="V166" s="78"/>
      <c r="W166" s="77" t="str">
        <f t="array" ref="W166">IF(D166="","",_xlfn.XLOOKUP(D166,DATA!B:B,DATA!L:L,""))</f>
        <v/>
      </c>
      <c r="X166" s="78" t="str">
        <f t="array" ref="X166">IF(F166="","",_xlfn.XLOOKUP(F166,DATA!B:B,DATA!L:L,""))</f>
        <v/>
      </c>
    </row>
    <row r="167">
      <c r="A167" s="81"/>
      <c r="B167" s="79"/>
      <c r="C167" s="57" t="str">
        <f t="array" ref="C167">iferror(_xlfn.XLOOKUP(D167,DATA!B:B,DATA!A:A),"")</f>
        <v/>
      </c>
      <c r="D167" s="82"/>
      <c r="E167" s="61" t="str">
        <f t="array" ref="E167">iferror(_xlfn.XLOOKUP(F167,DATA!B:B,DATA!A:A),"")</f>
        <v/>
      </c>
      <c r="F167" s="83"/>
      <c r="G167" s="78"/>
      <c r="H167" s="64" t="str">
        <f t="array" ref="H167">_xlfn.XLOOKUP(G167,DATA!D:D,DATA!E:E,"")</f>
        <v/>
      </c>
      <c r="I167" s="84"/>
      <c r="J167" s="23"/>
      <c r="K167" s="23"/>
      <c r="L167" s="66" t="str">
        <f t="shared" si="1"/>
        <v/>
      </c>
      <c r="M167" s="77"/>
      <c r="N167" s="78"/>
      <c r="O167" s="66" t="str">
        <f>IF(M167="","",
 IF(M167="عدم پاسخ","بدون پاسخ",
 IF(L167="","اطلاعات ناقص",
 IF(L167&lt;=DATA!$M$1,"رعایت شده","رعایت نشده"))))</f>
        <v/>
      </c>
      <c r="P167" s="79"/>
      <c r="Q167" s="77"/>
      <c r="R167" s="79"/>
      <c r="S167" s="79"/>
      <c r="T167" s="78"/>
      <c r="U167" s="80"/>
      <c r="V167" s="78"/>
      <c r="W167" s="77" t="str">
        <f t="array" ref="W167">IF(D167="","",_xlfn.XLOOKUP(D167,DATA!B:B,DATA!L:L,""))</f>
        <v/>
      </c>
      <c r="X167" s="78" t="str">
        <f t="array" ref="X167">IF(F167="","",_xlfn.XLOOKUP(F167,DATA!B:B,DATA!L:L,""))</f>
        <v/>
      </c>
    </row>
    <row r="168">
      <c r="A168" s="81"/>
      <c r="B168" s="79"/>
      <c r="C168" s="57" t="str">
        <f t="array" ref="C168">iferror(_xlfn.XLOOKUP(D168,DATA!B:B,DATA!A:A),"")</f>
        <v/>
      </c>
      <c r="D168" s="82"/>
      <c r="E168" s="61" t="str">
        <f t="array" ref="E168">iferror(_xlfn.XLOOKUP(F168,DATA!B:B,DATA!A:A),"")</f>
        <v/>
      </c>
      <c r="F168" s="83"/>
      <c r="G168" s="78"/>
      <c r="H168" s="64" t="str">
        <f t="array" ref="H168">_xlfn.XLOOKUP(G168,DATA!D:D,DATA!E:E,"")</f>
        <v/>
      </c>
      <c r="I168" s="84"/>
      <c r="J168" s="23"/>
      <c r="K168" s="23"/>
      <c r="L168" s="66" t="str">
        <f t="shared" si="1"/>
        <v/>
      </c>
      <c r="M168" s="77"/>
      <c r="N168" s="78"/>
      <c r="O168" s="66" t="str">
        <f>IF(M168="","",
 IF(M168="عدم پاسخ","بدون پاسخ",
 IF(L168="","اطلاعات ناقص",
 IF(L168&lt;=DATA!$M$1,"رعایت شده","رعایت نشده"))))</f>
        <v/>
      </c>
      <c r="P168" s="79"/>
      <c r="Q168" s="77"/>
      <c r="R168" s="79"/>
      <c r="S168" s="79"/>
      <c r="T168" s="78"/>
      <c r="U168" s="80"/>
      <c r="V168" s="78"/>
      <c r="W168" s="77" t="str">
        <f t="array" ref="W168">IF(D168="","",_xlfn.XLOOKUP(D168,DATA!B:B,DATA!L:L,""))</f>
        <v/>
      </c>
      <c r="X168" s="78" t="str">
        <f t="array" ref="X168">IF(F168="","",_xlfn.XLOOKUP(F168,DATA!B:B,DATA!L:L,""))</f>
        <v/>
      </c>
    </row>
    <row r="169">
      <c r="A169" s="81"/>
      <c r="B169" s="79"/>
      <c r="C169" s="57" t="str">
        <f t="array" ref="C169">iferror(_xlfn.XLOOKUP(D169,DATA!B:B,DATA!A:A),"")</f>
        <v/>
      </c>
      <c r="D169" s="82"/>
      <c r="E169" s="61" t="str">
        <f t="array" ref="E169">iferror(_xlfn.XLOOKUP(F169,DATA!B:B,DATA!A:A),"")</f>
        <v/>
      </c>
      <c r="F169" s="83"/>
      <c r="G169" s="78"/>
      <c r="H169" s="64" t="str">
        <f t="array" ref="H169">_xlfn.XLOOKUP(G169,DATA!D:D,DATA!E:E,"")</f>
        <v/>
      </c>
      <c r="I169" s="84"/>
      <c r="J169" s="23"/>
      <c r="K169" s="23"/>
      <c r="L169" s="66" t="str">
        <f t="shared" si="1"/>
        <v/>
      </c>
      <c r="M169" s="77"/>
      <c r="N169" s="78"/>
      <c r="O169" s="66" t="str">
        <f>IF(M169="","",
 IF(M169="عدم پاسخ","بدون پاسخ",
 IF(L169="","اطلاعات ناقص",
 IF(L169&lt;=DATA!$M$1,"رعایت شده","رعایت نشده"))))</f>
        <v/>
      </c>
      <c r="P169" s="79"/>
      <c r="Q169" s="77"/>
      <c r="R169" s="79"/>
      <c r="S169" s="79"/>
      <c r="T169" s="78"/>
      <c r="U169" s="80"/>
      <c r="V169" s="78"/>
      <c r="W169" s="77" t="str">
        <f t="array" ref="W169">IF(D169="","",_xlfn.XLOOKUP(D169,DATA!B:B,DATA!L:L,""))</f>
        <v/>
      </c>
      <c r="X169" s="78" t="str">
        <f t="array" ref="X169">IF(F169="","",_xlfn.XLOOKUP(F169,DATA!B:B,DATA!L:L,""))</f>
        <v/>
      </c>
    </row>
    <row r="170">
      <c r="A170" s="81"/>
      <c r="B170" s="79"/>
      <c r="C170" s="57" t="str">
        <f t="array" ref="C170">iferror(_xlfn.XLOOKUP(D170,DATA!B:B,DATA!A:A),"")</f>
        <v/>
      </c>
      <c r="D170" s="82"/>
      <c r="E170" s="61" t="str">
        <f t="array" ref="E170">iferror(_xlfn.XLOOKUP(F170,DATA!B:B,DATA!A:A),"")</f>
        <v/>
      </c>
      <c r="F170" s="83"/>
      <c r="G170" s="78"/>
      <c r="H170" s="64" t="str">
        <f t="array" ref="H170">_xlfn.XLOOKUP(G170,DATA!D:D,DATA!E:E,"")</f>
        <v/>
      </c>
      <c r="I170" s="84"/>
      <c r="J170" s="23"/>
      <c r="K170" s="23"/>
      <c r="L170" s="66" t="str">
        <f t="shared" si="1"/>
        <v/>
      </c>
      <c r="M170" s="77"/>
      <c r="N170" s="78"/>
      <c r="O170" s="66" t="str">
        <f>IF(M170="","",
 IF(M170="عدم پاسخ","بدون پاسخ",
 IF(L170="","اطلاعات ناقص",
 IF(L170&lt;=DATA!$M$1,"رعایت شده","رعایت نشده"))))</f>
        <v/>
      </c>
      <c r="P170" s="79"/>
      <c r="Q170" s="77"/>
      <c r="R170" s="79"/>
      <c r="S170" s="79"/>
      <c r="T170" s="78"/>
      <c r="U170" s="80"/>
      <c r="V170" s="78"/>
      <c r="W170" s="77" t="str">
        <f t="array" ref="W170">IF(D170="","",_xlfn.XLOOKUP(D170,DATA!B:B,DATA!L:L,""))</f>
        <v/>
      </c>
      <c r="X170" s="78" t="str">
        <f t="array" ref="X170">IF(F170="","",_xlfn.XLOOKUP(F170,DATA!B:B,DATA!L:L,""))</f>
        <v/>
      </c>
    </row>
    <row r="171">
      <c r="A171" s="81"/>
      <c r="B171" s="79"/>
      <c r="C171" s="57" t="str">
        <f t="array" ref="C171">iferror(_xlfn.XLOOKUP(D171,DATA!B:B,DATA!A:A),"")</f>
        <v/>
      </c>
      <c r="D171" s="82"/>
      <c r="E171" s="61" t="str">
        <f t="array" ref="E171">iferror(_xlfn.XLOOKUP(F171,DATA!B:B,DATA!A:A),"")</f>
        <v/>
      </c>
      <c r="F171" s="83"/>
      <c r="G171" s="78"/>
      <c r="H171" s="64" t="str">
        <f t="array" ref="H171">_xlfn.XLOOKUP(G171,DATA!D:D,DATA!E:E,"")</f>
        <v/>
      </c>
      <c r="I171" s="84"/>
      <c r="J171" s="23"/>
      <c r="K171" s="23"/>
      <c r="L171" s="66" t="str">
        <f t="shared" si="1"/>
        <v/>
      </c>
      <c r="M171" s="77"/>
      <c r="N171" s="78"/>
      <c r="O171" s="66" t="str">
        <f>IF(M171="","",
 IF(M171="عدم پاسخ","بدون پاسخ",
 IF(L171="","اطلاعات ناقص",
 IF(L171&lt;=DATA!$M$1,"رعایت شده","رعایت نشده"))))</f>
        <v/>
      </c>
      <c r="P171" s="79"/>
      <c r="Q171" s="77"/>
      <c r="R171" s="79"/>
      <c r="S171" s="79"/>
      <c r="T171" s="78"/>
      <c r="U171" s="80"/>
      <c r="V171" s="78"/>
      <c r="W171" s="77" t="str">
        <f t="array" ref="W171">IF(D171="","",_xlfn.XLOOKUP(D171,DATA!B:B,DATA!L:L,""))</f>
        <v/>
      </c>
      <c r="X171" s="78" t="str">
        <f t="array" ref="X171">IF(F171="","",_xlfn.XLOOKUP(F171,DATA!B:B,DATA!L:L,""))</f>
        <v/>
      </c>
    </row>
    <row r="172">
      <c r="A172" s="81"/>
      <c r="B172" s="79"/>
      <c r="C172" s="57" t="str">
        <f t="array" ref="C172">iferror(_xlfn.XLOOKUP(D172,DATA!B:B,DATA!A:A),"")</f>
        <v/>
      </c>
      <c r="D172" s="82"/>
      <c r="E172" s="61" t="str">
        <f t="array" ref="E172">iferror(_xlfn.XLOOKUP(F172,DATA!B:B,DATA!A:A),"")</f>
        <v/>
      </c>
      <c r="F172" s="83"/>
      <c r="G172" s="78"/>
      <c r="H172" s="64" t="str">
        <f t="array" ref="H172">_xlfn.XLOOKUP(G172,DATA!D:D,DATA!E:E,"")</f>
        <v/>
      </c>
      <c r="I172" s="84"/>
      <c r="J172" s="23"/>
      <c r="K172" s="23"/>
      <c r="L172" s="66" t="str">
        <f t="shared" si="1"/>
        <v/>
      </c>
      <c r="M172" s="77"/>
      <c r="N172" s="78"/>
      <c r="O172" s="66" t="str">
        <f>IF(M172="","",
 IF(M172="عدم پاسخ","بدون پاسخ",
 IF(L172="","اطلاعات ناقص",
 IF(L172&lt;=DATA!$M$1,"رعایت شده","رعایت نشده"))))</f>
        <v/>
      </c>
      <c r="P172" s="79"/>
      <c r="Q172" s="77"/>
      <c r="R172" s="79"/>
      <c r="S172" s="79"/>
      <c r="T172" s="78"/>
      <c r="U172" s="80"/>
      <c r="V172" s="78"/>
      <c r="W172" s="77" t="str">
        <f t="array" ref="W172">IF(D172="","",_xlfn.XLOOKUP(D172,DATA!B:B,DATA!L:L,""))</f>
        <v/>
      </c>
      <c r="X172" s="78" t="str">
        <f t="array" ref="X172">IF(F172="","",_xlfn.XLOOKUP(F172,DATA!B:B,DATA!L:L,""))</f>
        <v/>
      </c>
    </row>
    <row r="173">
      <c r="A173" s="81"/>
      <c r="B173" s="79"/>
      <c r="C173" s="57" t="str">
        <f t="array" ref="C173">iferror(_xlfn.XLOOKUP(D173,DATA!B:B,DATA!A:A),"")</f>
        <v/>
      </c>
      <c r="D173" s="82"/>
      <c r="E173" s="61" t="str">
        <f t="array" ref="E173">iferror(_xlfn.XLOOKUP(F173,DATA!B:B,DATA!A:A),"")</f>
        <v/>
      </c>
      <c r="F173" s="83"/>
      <c r="G173" s="78"/>
      <c r="H173" s="64" t="str">
        <f t="array" ref="H173">_xlfn.XLOOKUP(G173,DATA!D:D,DATA!E:E,"")</f>
        <v/>
      </c>
      <c r="I173" s="84"/>
      <c r="J173" s="23"/>
      <c r="K173" s="23"/>
      <c r="L173" s="66" t="str">
        <f t="shared" si="1"/>
        <v/>
      </c>
      <c r="M173" s="77"/>
      <c r="N173" s="78"/>
      <c r="O173" s="66" t="str">
        <f>IF(M173="","",
 IF(M173="عدم پاسخ","بدون پاسخ",
 IF(L173="","اطلاعات ناقص",
 IF(L173&lt;=DATA!$M$1,"رعایت شده","رعایت نشده"))))</f>
        <v/>
      </c>
      <c r="P173" s="79"/>
      <c r="Q173" s="77"/>
      <c r="R173" s="79"/>
      <c r="S173" s="79"/>
      <c r="T173" s="78"/>
      <c r="U173" s="80"/>
      <c r="V173" s="78"/>
      <c r="W173" s="77" t="str">
        <f t="array" ref="W173">IF(D173="","",_xlfn.XLOOKUP(D173,DATA!B:B,DATA!L:L,""))</f>
        <v/>
      </c>
      <c r="X173" s="78" t="str">
        <f t="array" ref="X173">IF(F173="","",_xlfn.XLOOKUP(F173,DATA!B:B,DATA!L:L,""))</f>
        <v/>
      </c>
    </row>
    <row r="174">
      <c r="A174" s="81"/>
      <c r="B174" s="79"/>
      <c r="C174" s="57" t="str">
        <f t="array" ref="C174">iferror(_xlfn.XLOOKUP(D174,DATA!B:B,DATA!A:A),"")</f>
        <v/>
      </c>
      <c r="D174" s="82"/>
      <c r="E174" s="61" t="str">
        <f t="array" ref="E174">iferror(_xlfn.XLOOKUP(F174,DATA!B:B,DATA!A:A),"")</f>
        <v/>
      </c>
      <c r="F174" s="83"/>
      <c r="G174" s="78"/>
      <c r="H174" s="64" t="str">
        <f t="array" ref="H174">_xlfn.XLOOKUP(G174,DATA!D:D,DATA!E:E,"")</f>
        <v/>
      </c>
      <c r="I174" s="84"/>
      <c r="J174" s="23"/>
      <c r="K174" s="23"/>
      <c r="L174" s="66" t="str">
        <f t="shared" si="1"/>
        <v/>
      </c>
      <c r="M174" s="77"/>
      <c r="N174" s="78"/>
      <c r="O174" s="66" t="str">
        <f>IF(M174="","",
 IF(M174="عدم پاسخ","بدون پاسخ",
 IF(L174="","اطلاعات ناقص",
 IF(L174&lt;=DATA!$M$1,"رعایت شده","رعایت نشده"))))</f>
        <v/>
      </c>
      <c r="P174" s="79"/>
      <c r="Q174" s="77"/>
      <c r="R174" s="79"/>
      <c r="S174" s="79"/>
      <c r="T174" s="78"/>
      <c r="U174" s="80"/>
      <c r="V174" s="78"/>
      <c r="W174" s="77" t="str">
        <f t="array" ref="W174">IF(D174="","",_xlfn.XLOOKUP(D174,DATA!B:B,DATA!L:L,""))</f>
        <v/>
      </c>
      <c r="X174" s="78" t="str">
        <f t="array" ref="X174">IF(F174="","",_xlfn.XLOOKUP(F174,DATA!B:B,DATA!L:L,""))</f>
        <v/>
      </c>
    </row>
    <row r="175">
      <c r="A175" s="81"/>
      <c r="B175" s="79"/>
      <c r="C175" s="57" t="str">
        <f t="array" ref="C175">iferror(_xlfn.XLOOKUP(D175,DATA!B:B,DATA!A:A),"")</f>
        <v/>
      </c>
      <c r="D175" s="82"/>
      <c r="E175" s="61" t="str">
        <f t="array" ref="E175">iferror(_xlfn.XLOOKUP(F175,DATA!B:B,DATA!A:A),"")</f>
        <v/>
      </c>
      <c r="F175" s="83"/>
      <c r="G175" s="78"/>
      <c r="H175" s="64" t="str">
        <f t="array" ref="H175">_xlfn.XLOOKUP(G175,DATA!D:D,DATA!E:E,"")</f>
        <v/>
      </c>
      <c r="I175" s="84"/>
      <c r="J175" s="23"/>
      <c r="K175" s="23"/>
      <c r="L175" s="66" t="str">
        <f t="shared" si="1"/>
        <v/>
      </c>
      <c r="M175" s="77"/>
      <c r="N175" s="78"/>
      <c r="O175" s="66" t="str">
        <f>IF(M175="","",
 IF(M175="عدم پاسخ","بدون پاسخ",
 IF(L175="","اطلاعات ناقص",
 IF(L175&lt;=DATA!$M$1,"رعایت شده","رعایت نشده"))))</f>
        <v/>
      </c>
      <c r="P175" s="79"/>
      <c r="Q175" s="77"/>
      <c r="R175" s="79"/>
      <c r="S175" s="79"/>
      <c r="T175" s="78"/>
      <c r="U175" s="80"/>
      <c r="V175" s="78"/>
      <c r="W175" s="77" t="str">
        <f t="array" ref="W175">IF(D175="","",_xlfn.XLOOKUP(D175,DATA!B:B,DATA!L:L,""))</f>
        <v/>
      </c>
      <c r="X175" s="78" t="str">
        <f t="array" ref="X175">IF(F175="","",_xlfn.XLOOKUP(F175,DATA!B:B,DATA!L:L,""))</f>
        <v/>
      </c>
    </row>
    <row r="176">
      <c r="A176" s="81"/>
      <c r="B176" s="79"/>
      <c r="C176" s="57" t="str">
        <f t="array" ref="C176">iferror(_xlfn.XLOOKUP(D176,DATA!B:B,DATA!A:A),"")</f>
        <v/>
      </c>
      <c r="D176" s="82"/>
      <c r="E176" s="61" t="str">
        <f t="array" ref="E176">iferror(_xlfn.XLOOKUP(F176,DATA!B:B,DATA!A:A),"")</f>
        <v/>
      </c>
      <c r="F176" s="83"/>
      <c r="G176" s="78"/>
      <c r="H176" s="64" t="str">
        <f t="array" ref="H176">_xlfn.XLOOKUP(G176,DATA!D:D,DATA!E:E,"")</f>
        <v/>
      </c>
      <c r="I176" s="84"/>
      <c r="J176" s="23"/>
      <c r="K176" s="23"/>
      <c r="L176" s="66" t="str">
        <f t="shared" si="1"/>
        <v/>
      </c>
      <c r="M176" s="77"/>
      <c r="N176" s="78"/>
      <c r="O176" s="66" t="str">
        <f>IF(M176="","",
 IF(M176="عدم پاسخ","بدون پاسخ",
 IF(L176="","اطلاعات ناقص",
 IF(L176&lt;=DATA!$M$1,"رعایت شده","رعایت نشده"))))</f>
        <v/>
      </c>
      <c r="P176" s="79"/>
      <c r="Q176" s="77"/>
      <c r="R176" s="79"/>
      <c r="S176" s="79"/>
      <c r="T176" s="78"/>
      <c r="U176" s="80"/>
      <c r="V176" s="78"/>
      <c r="W176" s="77" t="str">
        <f t="array" ref="W176">IF(D176="","",_xlfn.XLOOKUP(D176,DATA!B:B,DATA!L:L,""))</f>
        <v/>
      </c>
      <c r="X176" s="78" t="str">
        <f t="array" ref="X176">IF(F176="","",_xlfn.XLOOKUP(F176,DATA!B:B,DATA!L:L,""))</f>
        <v/>
      </c>
    </row>
    <row r="177">
      <c r="A177" s="81"/>
      <c r="B177" s="79"/>
      <c r="C177" s="57" t="str">
        <f t="array" ref="C177">iferror(_xlfn.XLOOKUP(D177,DATA!B:B,DATA!A:A),"")</f>
        <v/>
      </c>
      <c r="D177" s="82"/>
      <c r="E177" s="61" t="str">
        <f t="array" ref="E177">iferror(_xlfn.XLOOKUP(F177,DATA!B:B,DATA!A:A),"")</f>
        <v/>
      </c>
      <c r="F177" s="83"/>
      <c r="G177" s="78"/>
      <c r="H177" s="64" t="str">
        <f t="array" ref="H177">_xlfn.XLOOKUP(G177,DATA!D:D,DATA!E:E,"")</f>
        <v/>
      </c>
      <c r="I177" s="84"/>
      <c r="J177" s="23"/>
      <c r="K177" s="23"/>
      <c r="L177" s="66" t="str">
        <f t="shared" si="1"/>
        <v/>
      </c>
      <c r="M177" s="77"/>
      <c r="N177" s="78"/>
      <c r="O177" s="66" t="str">
        <f>IF(M177="","",
 IF(M177="عدم پاسخ","بدون پاسخ",
 IF(L177="","اطلاعات ناقص",
 IF(L177&lt;=DATA!$M$1,"رعایت شده","رعایت نشده"))))</f>
        <v/>
      </c>
      <c r="P177" s="79"/>
      <c r="Q177" s="77"/>
      <c r="R177" s="79"/>
      <c r="S177" s="79"/>
      <c r="T177" s="78"/>
      <c r="U177" s="80"/>
      <c r="V177" s="78"/>
      <c r="W177" s="77" t="str">
        <f t="array" ref="W177">IF(D177="","",_xlfn.XLOOKUP(D177,DATA!B:B,DATA!L:L,""))</f>
        <v/>
      </c>
      <c r="X177" s="78" t="str">
        <f t="array" ref="X177">IF(F177="","",_xlfn.XLOOKUP(F177,DATA!B:B,DATA!L:L,""))</f>
        <v/>
      </c>
    </row>
    <row r="178">
      <c r="A178" s="81"/>
      <c r="B178" s="79"/>
      <c r="C178" s="57" t="str">
        <f t="array" ref="C178">iferror(_xlfn.XLOOKUP(D178,DATA!B:B,DATA!A:A),"")</f>
        <v/>
      </c>
      <c r="D178" s="82"/>
      <c r="E178" s="61" t="str">
        <f t="array" ref="E178">iferror(_xlfn.XLOOKUP(F178,DATA!B:B,DATA!A:A),"")</f>
        <v/>
      </c>
      <c r="F178" s="83"/>
      <c r="G178" s="78"/>
      <c r="H178" s="64" t="str">
        <f t="array" ref="H178">_xlfn.XLOOKUP(G178,DATA!D:D,DATA!E:E,"")</f>
        <v/>
      </c>
      <c r="I178" s="84"/>
      <c r="J178" s="23"/>
      <c r="K178" s="23"/>
      <c r="L178" s="66" t="str">
        <f t="shared" si="1"/>
        <v/>
      </c>
      <c r="M178" s="77"/>
      <c r="N178" s="78"/>
      <c r="O178" s="66" t="str">
        <f>IF(M178="","",
 IF(M178="عدم پاسخ","بدون پاسخ",
 IF(L178="","اطلاعات ناقص",
 IF(L178&lt;=DATA!$M$1,"رعایت شده","رعایت نشده"))))</f>
        <v/>
      </c>
      <c r="P178" s="79"/>
      <c r="Q178" s="77"/>
      <c r="R178" s="79"/>
      <c r="S178" s="79"/>
      <c r="T178" s="78"/>
      <c r="U178" s="80"/>
      <c r="V178" s="78"/>
      <c r="W178" s="77" t="str">
        <f t="array" ref="W178">IF(D178="","",_xlfn.XLOOKUP(D178,DATA!B:B,DATA!L:L,""))</f>
        <v/>
      </c>
      <c r="X178" s="78" t="str">
        <f t="array" ref="X178">IF(F178="","",_xlfn.XLOOKUP(F178,DATA!B:B,DATA!L:L,""))</f>
        <v/>
      </c>
    </row>
    <row r="179">
      <c r="A179" s="81"/>
      <c r="B179" s="79"/>
      <c r="C179" s="57" t="str">
        <f t="array" ref="C179">iferror(_xlfn.XLOOKUP(D179,DATA!B:B,DATA!A:A),"")</f>
        <v/>
      </c>
      <c r="D179" s="82"/>
      <c r="E179" s="61" t="str">
        <f t="array" ref="E179">iferror(_xlfn.XLOOKUP(F179,DATA!B:B,DATA!A:A),"")</f>
        <v/>
      </c>
      <c r="F179" s="83"/>
      <c r="G179" s="78"/>
      <c r="H179" s="64" t="str">
        <f t="array" ref="H179">_xlfn.XLOOKUP(G179,DATA!D:D,DATA!E:E,"")</f>
        <v/>
      </c>
      <c r="I179" s="84"/>
      <c r="J179" s="23"/>
      <c r="K179" s="23"/>
      <c r="L179" s="66" t="str">
        <f t="shared" si="1"/>
        <v/>
      </c>
      <c r="M179" s="77"/>
      <c r="N179" s="78"/>
      <c r="O179" s="66" t="str">
        <f>IF(M179="","",
 IF(M179="عدم پاسخ","بدون پاسخ",
 IF(L179="","اطلاعات ناقص",
 IF(L179&lt;=DATA!$M$1,"رعایت شده","رعایت نشده"))))</f>
        <v/>
      </c>
      <c r="P179" s="79"/>
      <c r="Q179" s="77"/>
      <c r="R179" s="79"/>
      <c r="S179" s="79"/>
      <c r="T179" s="78"/>
      <c r="U179" s="80"/>
      <c r="V179" s="78"/>
      <c r="W179" s="77" t="str">
        <f t="array" ref="W179">IF(D179="","",_xlfn.XLOOKUP(D179,DATA!B:B,DATA!L:L,""))</f>
        <v/>
      </c>
      <c r="X179" s="78" t="str">
        <f t="array" ref="X179">IF(F179="","",_xlfn.XLOOKUP(F179,DATA!B:B,DATA!L:L,""))</f>
        <v/>
      </c>
    </row>
    <row r="180">
      <c r="A180" s="81"/>
      <c r="B180" s="79"/>
      <c r="C180" s="57" t="str">
        <f t="array" ref="C180">iferror(_xlfn.XLOOKUP(D180,DATA!B:B,DATA!A:A),"")</f>
        <v/>
      </c>
      <c r="D180" s="82"/>
      <c r="E180" s="61" t="str">
        <f t="array" ref="E180">iferror(_xlfn.XLOOKUP(F180,DATA!B:B,DATA!A:A),"")</f>
        <v/>
      </c>
      <c r="F180" s="83"/>
      <c r="G180" s="78"/>
      <c r="H180" s="64" t="str">
        <f t="array" ref="H180">_xlfn.XLOOKUP(G180,DATA!D:D,DATA!E:E,"")</f>
        <v/>
      </c>
      <c r="I180" s="84"/>
      <c r="J180" s="23"/>
      <c r="K180" s="23"/>
      <c r="L180" s="66" t="str">
        <f t="shared" si="1"/>
        <v/>
      </c>
      <c r="M180" s="77"/>
      <c r="N180" s="78"/>
      <c r="O180" s="66" t="str">
        <f>IF(M180="","",
 IF(M180="عدم پاسخ","بدون پاسخ",
 IF(L180="","اطلاعات ناقص",
 IF(L180&lt;=DATA!$M$1,"رعایت شده","رعایت نشده"))))</f>
        <v/>
      </c>
      <c r="P180" s="79"/>
      <c r="Q180" s="77"/>
      <c r="R180" s="79"/>
      <c r="S180" s="79"/>
      <c r="T180" s="78"/>
      <c r="U180" s="80"/>
      <c r="V180" s="78"/>
      <c r="W180" s="77" t="str">
        <f t="array" ref="W180">IF(D180="","",_xlfn.XLOOKUP(D180,DATA!B:B,DATA!L:L,""))</f>
        <v/>
      </c>
      <c r="X180" s="78" t="str">
        <f t="array" ref="X180">IF(F180="","",_xlfn.XLOOKUP(F180,DATA!B:B,DATA!L:L,""))</f>
        <v/>
      </c>
    </row>
    <row r="181">
      <c r="A181" s="81"/>
      <c r="B181" s="79"/>
      <c r="C181" s="57" t="str">
        <f t="array" ref="C181">iferror(_xlfn.XLOOKUP(D181,DATA!B:B,DATA!A:A),"")</f>
        <v/>
      </c>
      <c r="D181" s="82"/>
      <c r="E181" s="61" t="str">
        <f t="array" ref="E181">iferror(_xlfn.XLOOKUP(F181,DATA!B:B,DATA!A:A),"")</f>
        <v/>
      </c>
      <c r="F181" s="83"/>
      <c r="G181" s="78"/>
      <c r="H181" s="64" t="str">
        <f t="array" ref="H181">_xlfn.XLOOKUP(G181,DATA!D:D,DATA!E:E,"")</f>
        <v/>
      </c>
      <c r="I181" s="84"/>
      <c r="J181" s="23"/>
      <c r="K181" s="23"/>
      <c r="L181" s="66" t="str">
        <f t="shared" si="1"/>
        <v/>
      </c>
      <c r="M181" s="77"/>
      <c r="N181" s="78"/>
      <c r="O181" s="66" t="str">
        <f>IF(M181="","",
 IF(M181="عدم پاسخ","بدون پاسخ",
 IF(L181="","اطلاعات ناقص",
 IF(L181&lt;=DATA!$M$1,"رعایت شده","رعایت نشده"))))</f>
        <v/>
      </c>
      <c r="P181" s="79"/>
      <c r="Q181" s="77"/>
      <c r="R181" s="79"/>
      <c r="S181" s="79"/>
      <c r="T181" s="78"/>
      <c r="U181" s="80"/>
      <c r="V181" s="78"/>
      <c r="W181" s="77" t="str">
        <f t="array" ref="W181">IF(D181="","",_xlfn.XLOOKUP(D181,DATA!B:B,DATA!L:L,""))</f>
        <v/>
      </c>
      <c r="X181" s="78" t="str">
        <f t="array" ref="X181">IF(F181="","",_xlfn.XLOOKUP(F181,DATA!B:B,DATA!L:L,""))</f>
        <v/>
      </c>
    </row>
    <row r="182">
      <c r="A182" s="81"/>
      <c r="B182" s="79"/>
      <c r="C182" s="57" t="str">
        <f t="array" ref="C182">iferror(_xlfn.XLOOKUP(D182,DATA!B:B,DATA!A:A),"")</f>
        <v/>
      </c>
      <c r="D182" s="82"/>
      <c r="E182" s="61" t="str">
        <f t="array" ref="E182">iferror(_xlfn.XLOOKUP(F182,DATA!B:B,DATA!A:A),"")</f>
        <v/>
      </c>
      <c r="F182" s="83"/>
      <c r="G182" s="78"/>
      <c r="H182" s="64" t="str">
        <f t="array" ref="H182">_xlfn.XLOOKUP(G182,DATA!D:D,DATA!E:E,"")</f>
        <v/>
      </c>
      <c r="I182" s="84"/>
      <c r="J182" s="23"/>
      <c r="K182" s="23"/>
      <c r="L182" s="66" t="str">
        <f t="shared" si="1"/>
        <v/>
      </c>
      <c r="M182" s="77"/>
      <c r="N182" s="78"/>
      <c r="O182" s="66" t="str">
        <f>IF(M182="","",
 IF(M182="عدم پاسخ","بدون پاسخ",
 IF(L182="","اطلاعات ناقص",
 IF(L182&lt;=DATA!$M$1,"رعایت شده","رعایت نشده"))))</f>
        <v/>
      </c>
      <c r="P182" s="79"/>
      <c r="Q182" s="77"/>
      <c r="R182" s="79"/>
      <c r="S182" s="79"/>
      <c r="T182" s="78"/>
      <c r="U182" s="80"/>
      <c r="V182" s="78"/>
      <c r="W182" s="77" t="str">
        <f t="array" ref="W182">IF(D182="","",_xlfn.XLOOKUP(D182,DATA!B:B,DATA!L:L,""))</f>
        <v/>
      </c>
      <c r="X182" s="78" t="str">
        <f t="array" ref="X182">IF(F182="","",_xlfn.XLOOKUP(F182,DATA!B:B,DATA!L:L,""))</f>
        <v/>
      </c>
    </row>
    <row r="183">
      <c r="A183" s="81"/>
      <c r="B183" s="79"/>
      <c r="C183" s="57" t="str">
        <f t="array" ref="C183">iferror(_xlfn.XLOOKUP(D183,DATA!B:B,DATA!A:A),"")</f>
        <v/>
      </c>
      <c r="D183" s="82"/>
      <c r="E183" s="61" t="str">
        <f t="array" ref="E183">iferror(_xlfn.XLOOKUP(F183,DATA!B:B,DATA!A:A),"")</f>
        <v/>
      </c>
      <c r="F183" s="83"/>
      <c r="G183" s="78"/>
      <c r="H183" s="64" t="str">
        <f t="array" ref="H183">_xlfn.XLOOKUP(G183,DATA!D:D,DATA!E:E,"")</f>
        <v/>
      </c>
      <c r="I183" s="84"/>
      <c r="J183" s="23"/>
      <c r="K183" s="23"/>
      <c r="L183" s="66" t="str">
        <f t="shared" si="1"/>
        <v/>
      </c>
      <c r="M183" s="77"/>
      <c r="N183" s="78"/>
      <c r="O183" s="66" t="str">
        <f>IF(M183="","",
 IF(M183="عدم پاسخ","بدون پاسخ",
 IF(L183="","اطلاعات ناقص",
 IF(L183&lt;=DATA!$M$1,"رعایت شده","رعایت نشده"))))</f>
        <v/>
      </c>
      <c r="P183" s="79"/>
      <c r="Q183" s="77"/>
      <c r="R183" s="79"/>
      <c r="S183" s="79"/>
      <c r="T183" s="78"/>
      <c r="U183" s="80"/>
      <c r="V183" s="78"/>
      <c r="W183" s="77" t="str">
        <f t="array" ref="W183">IF(D183="","",_xlfn.XLOOKUP(D183,DATA!B:B,DATA!L:L,""))</f>
        <v/>
      </c>
      <c r="X183" s="78" t="str">
        <f t="array" ref="X183">IF(F183="","",_xlfn.XLOOKUP(F183,DATA!B:B,DATA!L:L,""))</f>
        <v/>
      </c>
    </row>
    <row r="184">
      <c r="A184" s="81"/>
      <c r="B184" s="79"/>
      <c r="C184" s="57" t="str">
        <f t="array" ref="C184">iferror(_xlfn.XLOOKUP(D184,DATA!B:B,DATA!A:A),"")</f>
        <v/>
      </c>
      <c r="D184" s="82"/>
      <c r="E184" s="61" t="str">
        <f t="array" ref="E184">iferror(_xlfn.XLOOKUP(F184,DATA!B:B,DATA!A:A),"")</f>
        <v/>
      </c>
      <c r="F184" s="83"/>
      <c r="G184" s="78"/>
      <c r="H184" s="64" t="str">
        <f t="array" ref="H184">_xlfn.XLOOKUP(G184,DATA!D:D,DATA!E:E,"")</f>
        <v/>
      </c>
      <c r="I184" s="84"/>
      <c r="J184" s="23"/>
      <c r="K184" s="23"/>
      <c r="L184" s="66" t="str">
        <f t="shared" si="1"/>
        <v/>
      </c>
      <c r="M184" s="77"/>
      <c r="N184" s="78"/>
      <c r="O184" s="66" t="str">
        <f>IF(M184="","",
 IF(M184="عدم پاسخ","بدون پاسخ",
 IF(L184="","اطلاعات ناقص",
 IF(L184&lt;=DATA!$M$1,"رعایت شده","رعایت نشده"))))</f>
        <v/>
      </c>
      <c r="P184" s="79"/>
      <c r="Q184" s="77"/>
      <c r="R184" s="79"/>
      <c r="S184" s="79"/>
      <c r="T184" s="78"/>
      <c r="U184" s="80"/>
      <c r="V184" s="78"/>
      <c r="W184" s="77" t="str">
        <f t="array" ref="W184">IF(D184="","",_xlfn.XLOOKUP(D184,DATA!B:B,DATA!L:L,""))</f>
        <v/>
      </c>
      <c r="X184" s="78" t="str">
        <f t="array" ref="X184">IF(F184="","",_xlfn.XLOOKUP(F184,DATA!B:B,DATA!L:L,""))</f>
        <v/>
      </c>
    </row>
    <row r="185">
      <c r="A185" s="81"/>
      <c r="B185" s="79"/>
      <c r="C185" s="57" t="str">
        <f t="array" ref="C185">iferror(_xlfn.XLOOKUP(D185,DATA!B:B,DATA!A:A),"")</f>
        <v/>
      </c>
      <c r="D185" s="82"/>
      <c r="E185" s="61" t="str">
        <f t="array" ref="E185">iferror(_xlfn.XLOOKUP(F185,DATA!B:B,DATA!A:A),"")</f>
        <v/>
      </c>
      <c r="F185" s="83"/>
      <c r="G185" s="78"/>
      <c r="H185" s="64" t="str">
        <f t="array" ref="H185">_xlfn.XLOOKUP(G185,DATA!D:D,DATA!E:E,"")</f>
        <v/>
      </c>
      <c r="I185" s="84"/>
      <c r="J185" s="23"/>
      <c r="K185" s="23"/>
      <c r="L185" s="66" t="str">
        <f t="shared" si="1"/>
        <v/>
      </c>
      <c r="M185" s="77"/>
      <c r="N185" s="78"/>
      <c r="O185" s="66" t="str">
        <f>IF(M185="","",
 IF(M185="عدم پاسخ","بدون پاسخ",
 IF(L185="","اطلاعات ناقص",
 IF(L185&lt;=DATA!$M$1,"رعایت شده","رعایت نشده"))))</f>
        <v/>
      </c>
      <c r="P185" s="79"/>
      <c r="Q185" s="77"/>
      <c r="R185" s="79"/>
      <c r="S185" s="79"/>
      <c r="T185" s="78"/>
      <c r="U185" s="80"/>
      <c r="V185" s="78"/>
      <c r="W185" s="77" t="str">
        <f t="array" ref="W185">IF(D185="","",_xlfn.XLOOKUP(D185,DATA!B:B,DATA!L:L,""))</f>
        <v/>
      </c>
      <c r="X185" s="78" t="str">
        <f t="array" ref="X185">IF(F185="","",_xlfn.XLOOKUP(F185,DATA!B:B,DATA!L:L,""))</f>
        <v/>
      </c>
    </row>
    <row r="186">
      <c r="A186" s="81"/>
      <c r="B186" s="79"/>
      <c r="C186" s="57" t="str">
        <f t="array" ref="C186">iferror(_xlfn.XLOOKUP(D186,DATA!B:B,DATA!A:A),"")</f>
        <v/>
      </c>
      <c r="D186" s="82"/>
      <c r="E186" s="61" t="str">
        <f t="array" ref="E186">iferror(_xlfn.XLOOKUP(F186,DATA!B:B,DATA!A:A),"")</f>
        <v/>
      </c>
      <c r="F186" s="83"/>
      <c r="G186" s="78"/>
      <c r="H186" s="64" t="str">
        <f t="array" ref="H186">_xlfn.XLOOKUP(G186,DATA!D:D,DATA!E:E,"")</f>
        <v/>
      </c>
      <c r="I186" s="84"/>
      <c r="J186" s="23"/>
      <c r="K186" s="23"/>
      <c r="L186" s="66" t="str">
        <f t="shared" si="1"/>
        <v/>
      </c>
      <c r="M186" s="77"/>
      <c r="N186" s="78"/>
      <c r="O186" s="66" t="str">
        <f>IF(M186="","",
 IF(M186="عدم پاسخ","بدون پاسخ",
 IF(L186="","اطلاعات ناقص",
 IF(L186&lt;=DATA!$M$1,"رعایت شده","رعایت نشده"))))</f>
        <v/>
      </c>
      <c r="P186" s="79"/>
      <c r="Q186" s="77"/>
      <c r="R186" s="79"/>
      <c r="S186" s="79"/>
      <c r="T186" s="78"/>
      <c r="U186" s="80"/>
      <c r="V186" s="78"/>
      <c r="W186" s="77" t="str">
        <f t="array" ref="W186">IF(D186="","",_xlfn.XLOOKUP(D186,DATA!B:B,DATA!L:L,""))</f>
        <v/>
      </c>
      <c r="X186" s="78" t="str">
        <f t="array" ref="X186">IF(F186="","",_xlfn.XLOOKUP(F186,DATA!B:B,DATA!L:L,""))</f>
        <v/>
      </c>
    </row>
    <row r="187">
      <c r="A187" s="81"/>
      <c r="B187" s="79"/>
      <c r="C187" s="57" t="str">
        <f t="array" ref="C187">iferror(_xlfn.XLOOKUP(D187,DATA!B:B,DATA!A:A),"")</f>
        <v/>
      </c>
      <c r="D187" s="82"/>
      <c r="E187" s="61" t="str">
        <f t="array" ref="E187">iferror(_xlfn.XLOOKUP(F187,DATA!B:B,DATA!A:A),"")</f>
        <v/>
      </c>
      <c r="F187" s="83"/>
      <c r="G187" s="78"/>
      <c r="H187" s="64" t="str">
        <f t="array" ref="H187">_xlfn.XLOOKUP(G187,DATA!D:D,DATA!E:E,"")</f>
        <v/>
      </c>
      <c r="I187" s="84"/>
      <c r="J187" s="23"/>
      <c r="K187" s="23"/>
      <c r="L187" s="66" t="str">
        <f t="shared" si="1"/>
        <v/>
      </c>
      <c r="M187" s="77"/>
      <c r="N187" s="78"/>
      <c r="O187" s="66" t="str">
        <f>IF(M187="","",
 IF(M187="عدم پاسخ","بدون پاسخ",
 IF(L187="","اطلاعات ناقص",
 IF(L187&lt;=DATA!$M$1,"رعایت شده","رعایت نشده"))))</f>
        <v/>
      </c>
      <c r="P187" s="79"/>
      <c r="Q187" s="77"/>
      <c r="R187" s="79"/>
      <c r="S187" s="79"/>
      <c r="T187" s="78"/>
      <c r="U187" s="80"/>
      <c r="V187" s="78"/>
      <c r="W187" s="77" t="str">
        <f t="array" ref="W187">IF(D187="","",_xlfn.XLOOKUP(D187,DATA!B:B,DATA!L:L,""))</f>
        <v/>
      </c>
      <c r="X187" s="78" t="str">
        <f t="array" ref="X187">IF(F187="","",_xlfn.XLOOKUP(F187,DATA!B:B,DATA!L:L,""))</f>
        <v/>
      </c>
    </row>
    <row r="188">
      <c r="A188" s="81"/>
      <c r="B188" s="79"/>
      <c r="C188" s="57" t="str">
        <f t="array" ref="C188">iferror(_xlfn.XLOOKUP(D188,DATA!B:B,DATA!A:A),"")</f>
        <v/>
      </c>
      <c r="D188" s="82"/>
      <c r="E188" s="61" t="str">
        <f t="array" ref="E188">iferror(_xlfn.XLOOKUP(F188,DATA!B:B,DATA!A:A),"")</f>
        <v/>
      </c>
      <c r="F188" s="83"/>
      <c r="G188" s="78"/>
      <c r="H188" s="64" t="str">
        <f t="array" ref="H188">_xlfn.XLOOKUP(G188,DATA!D:D,DATA!E:E,"")</f>
        <v/>
      </c>
      <c r="I188" s="84"/>
      <c r="J188" s="23"/>
      <c r="K188" s="23"/>
      <c r="L188" s="66" t="str">
        <f t="shared" si="1"/>
        <v/>
      </c>
      <c r="M188" s="77"/>
      <c r="N188" s="78"/>
      <c r="O188" s="66" t="str">
        <f>IF(M188="","",
 IF(M188="عدم پاسخ","بدون پاسخ",
 IF(L188="","اطلاعات ناقص",
 IF(L188&lt;=DATA!$M$1,"رعایت شده","رعایت نشده"))))</f>
        <v/>
      </c>
      <c r="P188" s="79"/>
      <c r="Q188" s="77"/>
      <c r="R188" s="79"/>
      <c r="S188" s="79"/>
      <c r="T188" s="78"/>
      <c r="U188" s="80"/>
      <c r="V188" s="78"/>
      <c r="W188" s="77" t="str">
        <f t="array" ref="W188">IF(D188="","",_xlfn.XLOOKUP(D188,DATA!B:B,DATA!L:L,""))</f>
        <v/>
      </c>
      <c r="X188" s="78" t="str">
        <f t="array" ref="X188">IF(F188="","",_xlfn.XLOOKUP(F188,DATA!B:B,DATA!L:L,""))</f>
        <v/>
      </c>
    </row>
    <row r="189">
      <c r="A189" s="81"/>
      <c r="B189" s="79"/>
      <c r="C189" s="57" t="str">
        <f t="array" ref="C189">iferror(_xlfn.XLOOKUP(D189,DATA!B:B,DATA!A:A),"")</f>
        <v/>
      </c>
      <c r="D189" s="82"/>
      <c r="E189" s="61" t="str">
        <f t="array" ref="E189">iferror(_xlfn.XLOOKUP(F189,DATA!B:B,DATA!A:A),"")</f>
        <v/>
      </c>
      <c r="F189" s="83"/>
      <c r="G189" s="78"/>
      <c r="H189" s="64" t="str">
        <f t="array" ref="H189">_xlfn.XLOOKUP(G189,DATA!D:D,DATA!E:E,"")</f>
        <v/>
      </c>
      <c r="I189" s="84"/>
      <c r="J189" s="23"/>
      <c r="K189" s="23"/>
      <c r="L189" s="66" t="str">
        <f t="shared" si="1"/>
        <v/>
      </c>
      <c r="M189" s="77"/>
      <c r="N189" s="78"/>
      <c r="O189" s="66" t="str">
        <f>IF(M189="","",
 IF(M189="عدم پاسخ","بدون پاسخ",
 IF(L189="","اطلاعات ناقص",
 IF(L189&lt;=DATA!$M$1,"رعایت شده","رعایت نشده"))))</f>
        <v/>
      </c>
      <c r="P189" s="79"/>
      <c r="Q189" s="77"/>
      <c r="R189" s="79"/>
      <c r="S189" s="79"/>
      <c r="T189" s="78"/>
      <c r="U189" s="80"/>
      <c r="V189" s="78"/>
      <c r="W189" s="77" t="str">
        <f t="array" ref="W189">IF(D189="","",_xlfn.XLOOKUP(D189,DATA!B:B,DATA!L:L,""))</f>
        <v/>
      </c>
      <c r="X189" s="78" t="str">
        <f t="array" ref="X189">IF(F189="","",_xlfn.XLOOKUP(F189,DATA!B:B,DATA!L:L,""))</f>
        <v/>
      </c>
    </row>
    <row r="190">
      <c r="A190" s="81"/>
      <c r="B190" s="79"/>
      <c r="C190" s="57" t="str">
        <f t="array" ref="C190">iferror(_xlfn.XLOOKUP(D190,DATA!B:B,DATA!A:A),"")</f>
        <v/>
      </c>
      <c r="D190" s="82"/>
      <c r="E190" s="61" t="str">
        <f t="array" ref="E190">iferror(_xlfn.XLOOKUP(F190,DATA!B:B,DATA!A:A),"")</f>
        <v/>
      </c>
      <c r="F190" s="83"/>
      <c r="G190" s="78"/>
      <c r="H190" s="64" t="str">
        <f t="array" ref="H190">_xlfn.XLOOKUP(G190,DATA!D:D,DATA!E:E,"")</f>
        <v/>
      </c>
      <c r="I190" s="84"/>
      <c r="J190" s="23"/>
      <c r="K190" s="23"/>
      <c r="L190" s="66" t="str">
        <f t="shared" si="1"/>
        <v/>
      </c>
      <c r="M190" s="77"/>
      <c r="N190" s="78"/>
      <c r="O190" s="66" t="str">
        <f>IF(M190="","",
 IF(M190="عدم پاسخ","بدون پاسخ",
 IF(L190="","اطلاعات ناقص",
 IF(L190&lt;=DATA!$M$1,"رعایت شده","رعایت نشده"))))</f>
        <v/>
      </c>
      <c r="P190" s="79"/>
      <c r="Q190" s="77"/>
      <c r="R190" s="79"/>
      <c r="S190" s="79"/>
      <c r="T190" s="78"/>
      <c r="U190" s="80"/>
      <c r="V190" s="78"/>
      <c r="W190" s="77" t="str">
        <f t="array" ref="W190">IF(D190="","",_xlfn.XLOOKUP(D190,DATA!B:B,DATA!L:L,""))</f>
        <v/>
      </c>
      <c r="X190" s="78" t="str">
        <f t="array" ref="X190">IF(F190="","",_xlfn.XLOOKUP(F190,DATA!B:B,DATA!L:L,""))</f>
        <v/>
      </c>
    </row>
    <row r="191">
      <c r="A191" s="81"/>
      <c r="B191" s="79"/>
      <c r="C191" s="57" t="str">
        <f t="array" ref="C191">iferror(_xlfn.XLOOKUP(D191,DATA!B:B,DATA!A:A),"")</f>
        <v/>
      </c>
      <c r="D191" s="82"/>
      <c r="E191" s="61" t="str">
        <f t="array" ref="E191">iferror(_xlfn.XLOOKUP(F191,DATA!B:B,DATA!A:A),"")</f>
        <v/>
      </c>
      <c r="F191" s="83"/>
      <c r="G191" s="78"/>
      <c r="H191" s="64" t="str">
        <f t="array" ref="H191">_xlfn.XLOOKUP(G191,DATA!D:D,DATA!E:E,"")</f>
        <v/>
      </c>
      <c r="I191" s="84"/>
      <c r="J191" s="23"/>
      <c r="K191" s="23"/>
      <c r="L191" s="66" t="str">
        <f t="shared" si="1"/>
        <v/>
      </c>
      <c r="M191" s="77"/>
      <c r="N191" s="78"/>
      <c r="O191" s="66" t="str">
        <f>IF(M191="","",
 IF(M191="عدم پاسخ","بدون پاسخ",
 IF(L191="","اطلاعات ناقص",
 IF(L191&lt;=DATA!$M$1,"رعایت شده","رعایت نشده"))))</f>
        <v/>
      </c>
      <c r="P191" s="79"/>
      <c r="Q191" s="77"/>
      <c r="R191" s="79"/>
      <c r="S191" s="79"/>
      <c r="T191" s="78"/>
      <c r="U191" s="80"/>
      <c r="V191" s="78"/>
      <c r="W191" s="77" t="str">
        <f t="array" ref="W191">IF(D191="","",_xlfn.XLOOKUP(D191,DATA!B:B,DATA!L:L,""))</f>
        <v/>
      </c>
      <c r="X191" s="78" t="str">
        <f t="array" ref="X191">IF(F191="","",_xlfn.XLOOKUP(F191,DATA!B:B,DATA!L:L,""))</f>
        <v/>
      </c>
    </row>
    <row r="192">
      <c r="A192" s="81"/>
      <c r="B192" s="79"/>
      <c r="C192" s="57" t="str">
        <f t="array" ref="C192">iferror(_xlfn.XLOOKUP(D192,DATA!B:B,DATA!A:A),"")</f>
        <v/>
      </c>
      <c r="D192" s="82"/>
      <c r="E192" s="61" t="str">
        <f t="array" ref="E192">iferror(_xlfn.XLOOKUP(F192,DATA!B:B,DATA!A:A),"")</f>
        <v/>
      </c>
      <c r="F192" s="83"/>
      <c r="G192" s="78"/>
      <c r="H192" s="64" t="str">
        <f t="array" ref="H192">_xlfn.XLOOKUP(G192,DATA!D:D,DATA!E:E,"")</f>
        <v/>
      </c>
      <c r="I192" s="84"/>
      <c r="J192" s="23"/>
      <c r="K192" s="23"/>
      <c r="L192" s="66" t="str">
        <f t="shared" si="1"/>
        <v/>
      </c>
      <c r="M192" s="77"/>
      <c r="N192" s="78"/>
      <c r="O192" s="66" t="str">
        <f>IF(M192="","",
 IF(M192="عدم پاسخ","بدون پاسخ",
 IF(L192="","اطلاعات ناقص",
 IF(L192&lt;=DATA!$M$1,"رعایت شده","رعایت نشده"))))</f>
        <v/>
      </c>
      <c r="P192" s="79"/>
      <c r="Q192" s="77"/>
      <c r="R192" s="79"/>
      <c r="S192" s="79"/>
      <c r="T192" s="78"/>
      <c r="U192" s="80"/>
      <c r="V192" s="78"/>
      <c r="W192" s="77" t="str">
        <f t="array" ref="W192">IF(D192="","",_xlfn.XLOOKUP(D192,DATA!B:B,DATA!L:L,""))</f>
        <v/>
      </c>
      <c r="X192" s="78" t="str">
        <f t="array" ref="X192">IF(F192="","",_xlfn.XLOOKUP(F192,DATA!B:B,DATA!L:L,""))</f>
        <v/>
      </c>
    </row>
    <row r="193">
      <c r="A193" s="81"/>
      <c r="B193" s="79"/>
      <c r="C193" s="57" t="str">
        <f t="array" ref="C193">iferror(_xlfn.XLOOKUP(D193,DATA!B:B,DATA!A:A),"")</f>
        <v/>
      </c>
      <c r="D193" s="82"/>
      <c r="E193" s="61" t="str">
        <f t="array" ref="E193">iferror(_xlfn.XLOOKUP(F193,DATA!B:B,DATA!A:A),"")</f>
        <v/>
      </c>
      <c r="F193" s="83"/>
      <c r="G193" s="78"/>
      <c r="H193" s="64" t="str">
        <f t="array" ref="H193">_xlfn.XLOOKUP(G193,DATA!D:D,DATA!E:E,"")</f>
        <v/>
      </c>
      <c r="I193" s="84"/>
      <c r="J193" s="23"/>
      <c r="K193" s="23"/>
      <c r="L193" s="66" t="str">
        <f t="shared" si="1"/>
        <v/>
      </c>
      <c r="M193" s="77"/>
      <c r="N193" s="78"/>
      <c r="O193" s="66" t="str">
        <f>IF(M193="","",
 IF(M193="عدم پاسخ","بدون پاسخ",
 IF(L193="","اطلاعات ناقص",
 IF(L193&lt;=DATA!$M$1,"رعایت شده","رعایت نشده"))))</f>
        <v/>
      </c>
      <c r="P193" s="79"/>
      <c r="Q193" s="77"/>
      <c r="R193" s="79"/>
      <c r="S193" s="79"/>
      <c r="T193" s="78"/>
      <c r="U193" s="80"/>
      <c r="V193" s="78"/>
      <c r="W193" s="77" t="str">
        <f t="array" ref="W193">IF(D193="","",_xlfn.XLOOKUP(D193,DATA!B:B,DATA!L:L,""))</f>
        <v/>
      </c>
      <c r="X193" s="78" t="str">
        <f t="array" ref="X193">IF(F193="","",_xlfn.XLOOKUP(F193,DATA!B:B,DATA!L:L,""))</f>
        <v/>
      </c>
    </row>
    <row r="194">
      <c r="A194" s="81"/>
      <c r="B194" s="79"/>
      <c r="C194" s="57" t="str">
        <f t="array" ref="C194">iferror(_xlfn.XLOOKUP(D194,DATA!B:B,DATA!A:A),"")</f>
        <v/>
      </c>
      <c r="D194" s="82"/>
      <c r="E194" s="61" t="str">
        <f t="array" ref="E194">iferror(_xlfn.XLOOKUP(F194,DATA!B:B,DATA!A:A),"")</f>
        <v/>
      </c>
      <c r="F194" s="83"/>
      <c r="G194" s="78"/>
      <c r="H194" s="64" t="str">
        <f t="array" ref="H194">_xlfn.XLOOKUP(G194,DATA!D:D,DATA!E:E,"")</f>
        <v/>
      </c>
      <c r="I194" s="84"/>
      <c r="J194" s="23"/>
      <c r="K194" s="23"/>
      <c r="L194" s="66" t="str">
        <f t="shared" si="1"/>
        <v/>
      </c>
      <c r="M194" s="77"/>
      <c r="N194" s="78"/>
      <c r="O194" s="66" t="str">
        <f>IF(M194="","",
 IF(M194="عدم پاسخ","بدون پاسخ",
 IF(L194="","اطلاعات ناقص",
 IF(L194&lt;=DATA!$M$1,"رعایت شده","رعایت نشده"))))</f>
        <v/>
      </c>
      <c r="P194" s="79"/>
      <c r="Q194" s="77"/>
      <c r="R194" s="79"/>
      <c r="S194" s="79"/>
      <c r="T194" s="78"/>
      <c r="U194" s="80"/>
      <c r="V194" s="78"/>
      <c r="W194" s="77" t="str">
        <f t="array" ref="W194">IF(D194="","",_xlfn.XLOOKUP(D194,DATA!B:B,DATA!L:L,""))</f>
        <v/>
      </c>
      <c r="X194" s="78" t="str">
        <f t="array" ref="X194">IF(F194="","",_xlfn.XLOOKUP(F194,DATA!B:B,DATA!L:L,""))</f>
        <v/>
      </c>
    </row>
    <row r="195">
      <c r="A195" s="81"/>
      <c r="B195" s="79"/>
      <c r="C195" s="57" t="str">
        <f t="array" ref="C195">iferror(_xlfn.XLOOKUP(D195,DATA!B:B,DATA!A:A),"")</f>
        <v/>
      </c>
      <c r="D195" s="82"/>
      <c r="E195" s="61" t="str">
        <f t="array" ref="E195">iferror(_xlfn.XLOOKUP(F195,DATA!B:B,DATA!A:A),"")</f>
        <v/>
      </c>
      <c r="F195" s="83"/>
      <c r="G195" s="78"/>
      <c r="H195" s="64" t="str">
        <f t="array" ref="H195">_xlfn.XLOOKUP(G195,DATA!D:D,DATA!E:E,"")</f>
        <v/>
      </c>
      <c r="I195" s="84"/>
      <c r="J195" s="23"/>
      <c r="K195" s="23"/>
      <c r="L195" s="66" t="str">
        <f t="shared" si="1"/>
        <v/>
      </c>
      <c r="M195" s="77"/>
      <c r="N195" s="78"/>
      <c r="O195" s="66" t="str">
        <f>IF(M195="","",
 IF(M195="عدم پاسخ","بدون پاسخ",
 IF(L195="","اطلاعات ناقص",
 IF(L195&lt;=DATA!$M$1,"رعایت شده","رعایت نشده"))))</f>
        <v/>
      </c>
      <c r="P195" s="79"/>
      <c r="Q195" s="77"/>
      <c r="R195" s="79"/>
      <c r="S195" s="79"/>
      <c r="T195" s="78"/>
      <c r="U195" s="80"/>
      <c r="V195" s="78"/>
      <c r="W195" s="77" t="str">
        <f t="array" ref="W195">IF(D195="","",_xlfn.XLOOKUP(D195,DATA!B:B,DATA!L:L,""))</f>
        <v/>
      </c>
      <c r="X195" s="78" t="str">
        <f t="array" ref="X195">IF(F195="","",_xlfn.XLOOKUP(F195,DATA!B:B,DATA!L:L,""))</f>
        <v/>
      </c>
    </row>
    <row r="196">
      <c r="A196" s="81"/>
      <c r="B196" s="79"/>
      <c r="C196" s="57" t="str">
        <f t="array" ref="C196">iferror(_xlfn.XLOOKUP(D196,DATA!B:B,DATA!A:A),"")</f>
        <v/>
      </c>
      <c r="D196" s="82"/>
      <c r="E196" s="61" t="str">
        <f t="array" ref="E196">iferror(_xlfn.XLOOKUP(F196,DATA!B:B,DATA!A:A),"")</f>
        <v/>
      </c>
      <c r="F196" s="83"/>
      <c r="G196" s="78"/>
      <c r="H196" s="64" t="str">
        <f t="array" ref="H196">_xlfn.XLOOKUP(G196,DATA!D:D,DATA!E:E,"")</f>
        <v/>
      </c>
      <c r="I196" s="84"/>
      <c r="J196" s="23"/>
      <c r="K196" s="23"/>
      <c r="L196" s="66" t="str">
        <f t="shared" si="1"/>
        <v/>
      </c>
      <c r="M196" s="77"/>
      <c r="N196" s="78"/>
      <c r="O196" s="66" t="str">
        <f>IF(M196="","",
 IF(M196="عدم پاسخ","بدون پاسخ",
 IF(L196="","اطلاعات ناقص",
 IF(L196&lt;=DATA!$M$1,"رعایت شده","رعایت نشده"))))</f>
        <v/>
      </c>
      <c r="P196" s="79"/>
      <c r="Q196" s="77"/>
      <c r="R196" s="79"/>
      <c r="S196" s="79"/>
      <c r="T196" s="78"/>
      <c r="U196" s="80"/>
      <c r="V196" s="78"/>
      <c r="W196" s="77" t="str">
        <f t="array" ref="W196">IF(D196="","",_xlfn.XLOOKUP(D196,DATA!B:B,DATA!L:L,""))</f>
        <v/>
      </c>
      <c r="X196" s="78" t="str">
        <f t="array" ref="X196">IF(F196="","",_xlfn.XLOOKUP(F196,DATA!B:B,DATA!L:L,""))</f>
        <v/>
      </c>
    </row>
    <row r="197">
      <c r="A197" s="81"/>
      <c r="B197" s="79"/>
      <c r="C197" s="57" t="str">
        <f t="array" ref="C197">iferror(_xlfn.XLOOKUP(D197,DATA!B:B,DATA!A:A),"")</f>
        <v/>
      </c>
      <c r="D197" s="82"/>
      <c r="E197" s="61" t="str">
        <f t="array" ref="E197">iferror(_xlfn.XLOOKUP(F197,DATA!B:B,DATA!A:A),"")</f>
        <v/>
      </c>
      <c r="F197" s="83"/>
      <c r="G197" s="78"/>
      <c r="H197" s="64" t="str">
        <f t="array" ref="H197">_xlfn.XLOOKUP(G197,DATA!D:D,DATA!E:E,"")</f>
        <v/>
      </c>
      <c r="I197" s="84"/>
      <c r="J197" s="23"/>
      <c r="K197" s="23"/>
      <c r="L197" s="66" t="str">
        <f t="shared" si="1"/>
        <v/>
      </c>
      <c r="M197" s="77"/>
      <c r="N197" s="78"/>
      <c r="O197" s="66" t="str">
        <f>IF(M197="","",
 IF(M197="عدم پاسخ","بدون پاسخ",
 IF(L197="","اطلاعات ناقص",
 IF(L197&lt;=DATA!$M$1,"رعایت شده","رعایت نشده"))))</f>
        <v/>
      </c>
      <c r="P197" s="79"/>
      <c r="Q197" s="77"/>
      <c r="R197" s="79"/>
      <c r="S197" s="79"/>
      <c r="T197" s="78"/>
      <c r="U197" s="80"/>
      <c r="V197" s="78"/>
      <c r="W197" s="77" t="str">
        <f t="array" ref="W197">IF(D197="","",_xlfn.XLOOKUP(D197,DATA!B:B,DATA!L:L,""))</f>
        <v/>
      </c>
      <c r="X197" s="78" t="str">
        <f t="array" ref="X197">IF(F197="","",_xlfn.XLOOKUP(F197,DATA!B:B,DATA!L:L,""))</f>
        <v/>
      </c>
    </row>
    <row r="198">
      <c r="A198" s="81"/>
      <c r="B198" s="79"/>
      <c r="C198" s="57" t="str">
        <f t="array" ref="C198">iferror(_xlfn.XLOOKUP(D198,DATA!B:B,DATA!A:A),"")</f>
        <v/>
      </c>
      <c r="D198" s="82"/>
      <c r="E198" s="61" t="str">
        <f t="array" ref="E198">iferror(_xlfn.XLOOKUP(F198,DATA!B:B,DATA!A:A),"")</f>
        <v/>
      </c>
      <c r="F198" s="83"/>
      <c r="G198" s="78"/>
      <c r="H198" s="64" t="str">
        <f t="array" ref="H198">_xlfn.XLOOKUP(G198,DATA!D:D,DATA!E:E,"")</f>
        <v/>
      </c>
      <c r="I198" s="84"/>
      <c r="J198" s="23"/>
      <c r="K198" s="23"/>
      <c r="L198" s="66" t="str">
        <f t="shared" si="1"/>
        <v/>
      </c>
      <c r="M198" s="77"/>
      <c r="N198" s="78"/>
      <c r="O198" s="66" t="str">
        <f>IF(M198="","",
 IF(M198="عدم پاسخ","بدون پاسخ",
 IF(L198="","اطلاعات ناقص",
 IF(L198&lt;=DATA!$M$1,"رعایت شده","رعایت نشده"))))</f>
        <v/>
      </c>
      <c r="P198" s="79"/>
      <c r="Q198" s="77"/>
      <c r="R198" s="79"/>
      <c r="S198" s="79"/>
      <c r="T198" s="78"/>
      <c r="U198" s="80"/>
      <c r="V198" s="78"/>
      <c r="W198" s="77" t="str">
        <f t="array" ref="W198">IF(D198="","",_xlfn.XLOOKUP(D198,DATA!B:B,DATA!L:L,""))</f>
        <v/>
      </c>
      <c r="X198" s="78" t="str">
        <f t="array" ref="X198">IF(F198="","",_xlfn.XLOOKUP(F198,DATA!B:B,DATA!L:L,""))</f>
        <v/>
      </c>
    </row>
    <row r="199">
      <c r="A199" s="81"/>
      <c r="B199" s="79"/>
      <c r="C199" s="57" t="str">
        <f t="array" ref="C199">iferror(_xlfn.XLOOKUP(D199,DATA!B:B,DATA!A:A),"")</f>
        <v/>
      </c>
      <c r="D199" s="82"/>
      <c r="E199" s="61" t="str">
        <f t="array" ref="E199">iferror(_xlfn.XLOOKUP(F199,DATA!B:B,DATA!A:A),"")</f>
        <v/>
      </c>
      <c r="F199" s="83"/>
      <c r="G199" s="78"/>
      <c r="H199" s="64" t="str">
        <f t="array" ref="H199">_xlfn.XLOOKUP(G199,DATA!D:D,DATA!E:E,"")</f>
        <v/>
      </c>
      <c r="I199" s="84"/>
      <c r="J199" s="23"/>
      <c r="K199" s="23"/>
      <c r="L199" s="66" t="str">
        <f t="shared" si="1"/>
        <v/>
      </c>
      <c r="M199" s="77"/>
      <c r="N199" s="78"/>
      <c r="O199" s="66" t="str">
        <f>IF(M199="","",
 IF(M199="عدم پاسخ","بدون پاسخ",
 IF(L199="","اطلاعات ناقص",
 IF(L199&lt;=DATA!$M$1,"رعایت شده","رعایت نشده"))))</f>
        <v/>
      </c>
      <c r="P199" s="79"/>
      <c r="Q199" s="77"/>
      <c r="R199" s="79"/>
      <c r="S199" s="79"/>
      <c r="T199" s="78"/>
      <c r="U199" s="80"/>
      <c r="V199" s="78"/>
      <c r="W199" s="77" t="str">
        <f t="array" ref="W199">IF(D199="","",_xlfn.XLOOKUP(D199,DATA!B:B,DATA!L:L,""))</f>
        <v/>
      </c>
      <c r="X199" s="78" t="str">
        <f t="array" ref="X199">IF(F199="","",_xlfn.XLOOKUP(F199,DATA!B:B,DATA!L:L,""))</f>
        <v/>
      </c>
    </row>
    <row r="200">
      <c r="A200" s="81"/>
      <c r="B200" s="79"/>
      <c r="C200" s="57" t="str">
        <f t="array" ref="C200">iferror(_xlfn.XLOOKUP(D200,DATA!B:B,DATA!A:A),"")</f>
        <v/>
      </c>
      <c r="D200" s="82"/>
      <c r="E200" s="61" t="str">
        <f t="array" ref="E200">iferror(_xlfn.XLOOKUP(F200,DATA!B:B,DATA!A:A),"")</f>
        <v/>
      </c>
      <c r="F200" s="83"/>
      <c r="G200" s="78"/>
      <c r="H200" s="64" t="str">
        <f t="array" ref="H200">_xlfn.XLOOKUP(G200,DATA!D:D,DATA!E:E,"")</f>
        <v/>
      </c>
      <c r="I200" s="84"/>
      <c r="J200" s="23"/>
      <c r="K200" s="23"/>
      <c r="L200" s="66" t="str">
        <f t="shared" si="1"/>
        <v/>
      </c>
      <c r="M200" s="77"/>
      <c r="N200" s="78"/>
      <c r="O200" s="66" t="str">
        <f>IF(M200="","",
 IF(M200="عدم پاسخ","بدون پاسخ",
 IF(L200="","اطلاعات ناقص",
 IF(L200&lt;=DATA!$M$1,"رعایت شده","رعایت نشده"))))</f>
        <v/>
      </c>
      <c r="P200" s="79"/>
      <c r="Q200" s="77"/>
      <c r="R200" s="79"/>
      <c r="S200" s="79"/>
      <c r="T200" s="78"/>
      <c r="U200" s="80"/>
      <c r="V200" s="78"/>
      <c r="W200" s="77" t="str">
        <f t="array" ref="W200">IF(D200="","",_xlfn.XLOOKUP(D200,DATA!B:B,DATA!L:L,""))</f>
        <v/>
      </c>
      <c r="X200" s="78" t="str">
        <f t="array" ref="X200">IF(F200="","",_xlfn.XLOOKUP(F200,DATA!B:B,DATA!L:L,""))</f>
        <v/>
      </c>
    </row>
    <row r="201">
      <c r="A201" s="81"/>
      <c r="B201" s="79"/>
      <c r="C201" s="57" t="str">
        <f t="array" ref="C201">iferror(_xlfn.XLOOKUP(D201,DATA!B:B,DATA!A:A),"")</f>
        <v/>
      </c>
      <c r="D201" s="82"/>
      <c r="E201" s="61" t="str">
        <f t="array" ref="E201">iferror(_xlfn.XLOOKUP(F201,DATA!B:B,DATA!A:A),"")</f>
        <v/>
      </c>
      <c r="F201" s="83"/>
      <c r="G201" s="78"/>
      <c r="H201" s="64" t="str">
        <f t="array" ref="H201">_xlfn.XLOOKUP(G201,DATA!D:D,DATA!E:E,"")</f>
        <v/>
      </c>
      <c r="I201" s="84"/>
      <c r="J201" s="23"/>
      <c r="K201" s="23"/>
      <c r="L201" s="66" t="str">
        <f t="shared" si="1"/>
        <v/>
      </c>
      <c r="M201" s="77"/>
      <c r="N201" s="78"/>
      <c r="O201" s="66" t="str">
        <f>IF(M201="","",
 IF(M201="عدم پاسخ","بدون پاسخ",
 IF(L201="","اطلاعات ناقص",
 IF(L201&lt;=DATA!$M$1,"رعایت شده","رعایت نشده"))))</f>
        <v/>
      </c>
      <c r="P201" s="79"/>
      <c r="Q201" s="77"/>
      <c r="R201" s="79"/>
      <c r="S201" s="79"/>
      <c r="T201" s="78"/>
      <c r="U201" s="80"/>
      <c r="V201" s="78"/>
      <c r="W201" s="77" t="str">
        <f t="array" ref="W201">IF(D201="","",_xlfn.XLOOKUP(D201,DATA!B:B,DATA!L:L,""))</f>
        <v/>
      </c>
      <c r="X201" s="78" t="str">
        <f t="array" ref="X201">IF(F201="","",_xlfn.XLOOKUP(F201,DATA!B:B,DATA!L:L,""))</f>
        <v/>
      </c>
    </row>
    <row r="202">
      <c r="A202" s="81"/>
      <c r="B202" s="79"/>
      <c r="C202" s="57" t="str">
        <f t="array" ref="C202">iferror(_xlfn.XLOOKUP(D202,DATA!B:B,DATA!A:A),"")</f>
        <v/>
      </c>
      <c r="D202" s="82"/>
      <c r="E202" s="61" t="str">
        <f t="array" ref="E202">iferror(_xlfn.XLOOKUP(F202,DATA!B:B,DATA!A:A),"")</f>
        <v/>
      </c>
      <c r="F202" s="83"/>
      <c r="G202" s="78"/>
      <c r="H202" s="64" t="str">
        <f t="array" ref="H202">_xlfn.XLOOKUP(G202,DATA!D:D,DATA!E:E,"")</f>
        <v/>
      </c>
      <c r="I202" s="84"/>
      <c r="J202" s="23"/>
      <c r="K202" s="23"/>
      <c r="L202" s="66" t="str">
        <f t="shared" si="1"/>
        <v/>
      </c>
      <c r="M202" s="77"/>
      <c r="N202" s="78"/>
      <c r="O202" s="66" t="str">
        <f>IF(M202="","",
 IF(M202="عدم پاسخ","بدون پاسخ",
 IF(L202="","اطلاعات ناقص",
 IF(L202&lt;=DATA!$M$1,"رعایت شده","رعایت نشده"))))</f>
        <v/>
      </c>
      <c r="P202" s="79"/>
      <c r="Q202" s="77"/>
      <c r="R202" s="79"/>
      <c r="S202" s="79"/>
      <c r="T202" s="78"/>
      <c r="U202" s="80"/>
      <c r="V202" s="78"/>
      <c r="W202" s="77" t="str">
        <f t="array" ref="W202">IF(D202="","",_xlfn.XLOOKUP(D202,DATA!B:B,DATA!L:L,""))</f>
        <v/>
      </c>
      <c r="X202" s="78" t="str">
        <f t="array" ref="X202">IF(F202="","",_xlfn.XLOOKUP(F202,DATA!B:B,DATA!L:L,""))</f>
        <v/>
      </c>
    </row>
    <row r="203">
      <c r="A203" s="81"/>
      <c r="B203" s="79"/>
      <c r="C203" s="57" t="str">
        <f t="array" ref="C203">iferror(_xlfn.XLOOKUP(D203,DATA!B:B,DATA!A:A),"")</f>
        <v/>
      </c>
      <c r="D203" s="82"/>
      <c r="E203" s="61" t="str">
        <f t="array" ref="E203">iferror(_xlfn.XLOOKUP(F203,DATA!B:B,DATA!A:A),"")</f>
        <v/>
      </c>
      <c r="F203" s="83"/>
      <c r="G203" s="78"/>
      <c r="H203" s="64" t="str">
        <f t="array" ref="H203">_xlfn.XLOOKUP(G203,DATA!D:D,DATA!E:E,"")</f>
        <v/>
      </c>
      <c r="I203" s="84"/>
      <c r="J203" s="23"/>
      <c r="K203" s="23"/>
      <c r="L203" s="66" t="str">
        <f t="shared" si="1"/>
        <v/>
      </c>
      <c r="M203" s="77"/>
      <c r="N203" s="78"/>
      <c r="O203" s="66" t="str">
        <f>IF(M203="","",
 IF(M203="عدم پاسخ","بدون پاسخ",
 IF(L203="","اطلاعات ناقص",
 IF(L203&lt;=DATA!$M$1,"رعایت شده","رعایت نشده"))))</f>
        <v/>
      </c>
      <c r="P203" s="79"/>
      <c r="Q203" s="77"/>
      <c r="R203" s="79"/>
      <c r="S203" s="79"/>
      <c r="T203" s="78"/>
      <c r="U203" s="80"/>
      <c r="V203" s="78"/>
      <c r="W203" s="77" t="str">
        <f t="array" ref="W203">IF(D203="","",_xlfn.XLOOKUP(D203,DATA!B:B,DATA!L:L,""))</f>
        <v/>
      </c>
      <c r="X203" s="78" t="str">
        <f t="array" ref="X203">IF(F203="","",_xlfn.XLOOKUP(F203,DATA!B:B,DATA!L:L,""))</f>
        <v/>
      </c>
    </row>
    <row r="204">
      <c r="A204" s="81"/>
      <c r="B204" s="79"/>
      <c r="C204" s="57" t="str">
        <f t="array" ref="C204">iferror(_xlfn.XLOOKUP(D204,DATA!B:B,DATA!A:A),"")</f>
        <v/>
      </c>
      <c r="D204" s="82"/>
      <c r="E204" s="61" t="str">
        <f t="array" ref="E204">iferror(_xlfn.XLOOKUP(F204,DATA!B:B,DATA!A:A),"")</f>
        <v/>
      </c>
      <c r="F204" s="83"/>
      <c r="G204" s="78"/>
      <c r="H204" s="64" t="str">
        <f t="array" ref="H204">_xlfn.XLOOKUP(G204,DATA!D:D,DATA!E:E,"")</f>
        <v/>
      </c>
      <c r="I204" s="84"/>
      <c r="J204" s="23"/>
      <c r="K204" s="23"/>
      <c r="L204" s="66" t="str">
        <f t="shared" si="1"/>
        <v/>
      </c>
      <c r="M204" s="77"/>
      <c r="N204" s="78"/>
      <c r="O204" s="66" t="str">
        <f>IF(M204="","",
 IF(M204="عدم پاسخ","بدون پاسخ",
 IF(L204="","اطلاعات ناقص",
 IF(L204&lt;=DATA!$M$1,"رعایت شده","رعایت نشده"))))</f>
        <v/>
      </c>
      <c r="P204" s="79"/>
      <c r="Q204" s="77"/>
      <c r="R204" s="79"/>
      <c r="S204" s="79"/>
      <c r="T204" s="78"/>
      <c r="U204" s="80"/>
      <c r="V204" s="78"/>
      <c r="W204" s="77" t="str">
        <f t="array" ref="W204">IF(D204="","",_xlfn.XLOOKUP(D204,DATA!B:B,DATA!L:L,""))</f>
        <v/>
      </c>
      <c r="X204" s="78" t="str">
        <f t="array" ref="X204">IF(F204="","",_xlfn.XLOOKUP(F204,DATA!B:B,DATA!L:L,""))</f>
        <v/>
      </c>
    </row>
    <row r="205">
      <c r="A205" s="81"/>
      <c r="B205" s="79"/>
      <c r="C205" s="57" t="str">
        <f t="array" ref="C205">iferror(_xlfn.XLOOKUP(D205,DATA!B:B,DATA!A:A),"")</f>
        <v/>
      </c>
      <c r="D205" s="82"/>
      <c r="E205" s="61" t="str">
        <f t="array" ref="E205">iferror(_xlfn.XLOOKUP(F205,DATA!B:B,DATA!A:A),"")</f>
        <v/>
      </c>
      <c r="F205" s="83"/>
      <c r="G205" s="78"/>
      <c r="H205" s="64" t="str">
        <f t="array" ref="H205">_xlfn.XLOOKUP(G205,DATA!D:D,DATA!E:E,"")</f>
        <v/>
      </c>
      <c r="I205" s="84"/>
      <c r="J205" s="23"/>
      <c r="K205" s="23"/>
      <c r="L205" s="66" t="str">
        <f t="shared" si="1"/>
        <v/>
      </c>
      <c r="M205" s="77"/>
      <c r="N205" s="78"/>
      <c r="O205" s="66" t="str">
        <f>IF(M205="","",
 IF(M205="عدم پاسخ","بدون پاسخ",
 IF(L205="","اطلاعات ناقص",
 IF(L205&lt;=DATA!$M$1,"رعایت شده","رعایت نشده"))))</f>
        <v/>
      </c>
      <c r="P205" s="79"/>
      <c r="Q205" s="77"/>
      <c r="R205" s="79"/>
      <c r="S205" s="79"/>
      <c r="T205" s="78"/>
      <c r="U205" s="80"/>
      <c r="V205" s="78"/>
      <c r="W205" s="77" t="str">
        <f t="array" ref="W205">IF(D205="","",_xlfn.XLOOKUP(D205,DATA!B:B,DATA!L:L,""))</f>
        <v/>
      </c>
      <c r="X205" s="78" t="str">
        <f t="array" ref="X205">IF(F205="","",_xlfn.XLOOKUP(F205,DATA!B:B,DATA!L:L,""))</f>
        <v/>
      </c>
    </row>
    <row r="206">
      <c r="A206" s="81"/>
      <c r="B206" s="79"/>
      <c r="C206" s="57" t="str">
        <f t="array" ref="C206">iferror(_xlfn.XLOOKUP(D206,DATA!B:B,DATA!A:A),"")</f>
        <v/>
      </c>
      <c r="D206" s="82"/>
      <c r="E206" s="61" t="str">
        <f t="array" ref="E206">iferror(_xlfn.XLOOKUP(F206,DATA!B:B,DATA!A:A),"")</f>
        <v/>
      </c>
      <c r="F206" s="83"/>
      <c r="G206" s="78"/>
      <c r="H206" s="64" t="str">
        <f t="array" ref="H206">_xlfn.XLOOKUP(G206,DATA!D:D,DATA!E:E,"")</f>
        <v/>
      </c>
      <c r="I206" s="84"/>
      <c r="J206" s="23"/>
      <c r="K206" s="23"/>
      <c r="L206" s="66" t="str">
        <f t="shared" si="1"/>
        <v/>
      </c>
      <c r="M206" s="77"/>
      <c r="N206" s="78"/>
      <c r="O206" s="66" t="str">
        <f>IF(M206="","",
 IF(M206="عدم پاسخ","بدون پاسخ",
 IF(L206="","اطلاعات ناقص",
 IF(L206&lt;=DATA!$M$1,"رعایت شده","رعایت نشده"))))</f>
        <v/>
      </c>
      <c r="P206" s="79"/>
      <c r="Q206" s="77"/>
      <c r="R206" s="79"/>
      <c r="S206" s="79"/>
      <c r="T206" s="78"/>
      <c r="U206" s="80"/>
      <c r="V206" s="78"/>
      <c r="W206" s="77" t="str">
        <f t="array" ref="W206">IF(D206="","",_xlfn.XLOOKUP(D206,DATA!B:B,DATA!L:L,""))</f>
        <v/>
      </c>
      <c r="X206" s="78" t="str">
        <f t="array" ref="X206">IF(F206="","",_xlfn.XLOOKUP(F206,DATA!B:B,DATA!L:L,""))</f>
        <v/>
      </c>
    </row>
    <row r="207">
      <c r="A207" s="81"/>
      <c r="B207" s="79"/>
      <c r="C207" s="57" t="str">
        <f t="array" ref="C207">iferror(_xlfn.XLOOKUP(D207,DATA!B:B,DATA!A:A),"")</f>
        <v/>
      </c>
      <c r="D207" s="82"/>
      <c r="E207" s="61" t="str">
        <f t="array" ref="E207">iferror(_xlfn.XLOOKUP(F207,DATA!B:B,DATA!A:A),"")</f>
        <v/>
      </c>
      <c r="F207" s="83"/>
      <c r="G207" s="78"/>
      <c r="H207" s="64" t="str">
        <f t="array" ref="H207">_xlfn.XLOOKUP(G207,DATA!D:D,DATA!E:E,"")</f>
        <v/>
      </c>
      <c r="I207" s="84"/>
      <c r="J207" s="23"/>
      <c r="K207" s="23"/>
      <c r="L207" s="66" t="str">
        <f t="shared" si="1"/>
        <v/>
      </c>
      <c r="M207" s="77"/>
      <c r="N207" s="78"/>
      <c r="O207" s="66" t="str">
        <f>IF(M207="","",
 IF(M207="عدم پاسخ","بدون پاسخ",
 IF(L207="","اطلاعات ناقص",
 IF(L207&lt;=DATA!$M$1,"رعایت شده","رعایت نشده"))))</f>
        <v/>
      </c>
      <c r="P207" s="79"/>
      <c r="Q207" s="77"/>
      <c r="R207" s="79"/>
      <c r="S207" s="79"/>
      <c r="T207" s="78"/>
      <c r="U207" s="80"/>
      <c r="V207" s="78"/>
      <c r="W207" s="77" t="str">
        <f t="array" ref="W207">IF(D207="","",_xlfn.XLOOKUP(D207,DATA!B:B,DATA!L:L,""))</f>
        <v/>
      </c>
      <c r="X207" s="78" t="str">
        <f t="array" ref="X207">IF(F207="","",_xlfn.XLOOKUP(F207,DATA!B:B,DATA!L:L,""))</f>
        <v/>
      </c>
    </row>
    <row r="208">
      <c r="A208" s="81"/>
      <c r="B208" s="79"/>
      <c r="C208" s="57" t="str">
        <f t="array" ref="C208">iferror(_xlfn.XLOOKUP(D208,DATA!B:B,DATA!A:A),"")</f>
        <v/>
      </c>
      <c r="D208" s="82"/>
      <c r="E208" s="61" t="str">
        <f t="array" ref="E208">iferror(_xlfn.XLOOKUP(F208,DATA!B:B,DATA!A:A),"")</f>
        <v/>
      </c>
      <c r="F208" s="83"/>
      <c r="G208" s="78"/>
      <c r="H208" s="64" t="str">
        <f t="array" ref="H208">_xlfn.XLOOKUP(G208,DATA!D:D,DATA!E:E,"")</f>
        <v/>
      </c>
      <c r="I208" s="84"/>
      <c r="J208" s="23"/>
      <c r="K208" s="23"/>
      <c r="L208" s="66" t="str">
        <f t="shared" si="1"/>
        <v/>
      </c>
      <c r="M208" s="77"/>
      <c r="N208" s="78"/>
      <c r="O208" s="66" t="str">
        <f>IF(M208="","",
 IF(M208="عدم پاسخ","بدون پاسخ",
 IF(L208="","اطلاعات ناقص",
 IF(L208&lt;=DATA!$M$1,"رعایت شده","رعایت نشده"))))</f>
        <v/>
      </c>
      <c r="P208" s="79"/>
      <c r="Q208" s="77"/>
      <c r="R208" s="79"/>
      <c r="S208" s="79"/>
      <c r="T208" s="78"/>
      <c r="U208" s="80"/>
      <c r="V208" s="78"/>
      <c r="W208" s="77" t="str">
        <f t="array" ref="W208">IF(D208="","",_xlfn.XLOOKUP(D208,DATA!B:B,DATA!L:L,""))</f>
        <v/>
      </c>
      <c r="X208" s="78" t="str">
        <f t="array" ref="X208">IF(F208="","",_xlfn.XLOOKUP(F208,DATA!B:B,DATA!L:L,""))</f>
        <v/>
      </c>
    </row>
    <row r="209">
      <c r="A209" s="81"/>
      <c r="B209" s="79"/>
      <c r="C209" s="57" t="str">
        <f t="array" ref="C209">iferror(_xlfn.XLOOKUP(D209,DATA!B:B,DATA!A:A),"")</f>
        <v/>
      </c>
      <c r="D209" s="82"/>
      <c r="E209" s="61" t="str">
        <f t="array" ref="E209">iferror(_xlfn.XLOOKUP(F209,DATA!B:B,DATA!A:A),"")</f>
        <v/>
      </c>
      <c r="F209" s="83"/>
      <c r="G209" s="78"/>
      <c r="H209" s="64" t="str">
        <f t="array" ref="H209">_xlfn.XLOOKUP(G209,DATA!D:D,DATA!E:E,"")</f>
        <v/>
      </c>
      <c r="I209" s="84"/>
      <c r="J209" s="23"/>
      <c r="K209" s="23"/>
      <c r="L209" s="66" t="str">
        <f t="shared" si="1"/>
        <v/>
      </c>
      <c r="M209" s="77"/>
      <c r="N209" s="78"/>
      <c r="O209" s="66" t="str">
        <f>IF(M209="","",
 IF(M209="عدم پاسخ","بدون پاسخ",
 IF(L209="","اطلاعات ناقص",
 IF(L209&lt;=DATA!$M$1,"رعایت شده","رعایت نشده"))))</f>
        <v/>
      </c>
      <c r="P209" s="79"/>
      <c r="Q209" s="77"/>
      <c r="R209" s="79"/>
      <c r="S209" s="79"/>
      <c r="T209" s="78"/>
      <c r="U209" s="80"/>
      <c r="V209" s="78"/>
      <c r="W209" s="77" t="str">
        <f t="array" ref="W209">IF(D209="","",_xlfn.XLOOKUP(D209,DATA!B:B,DATA!L:L,""))</f>
        <v/>
      </c>
      <c r="X209" s="78" t="str">
        <f t="array" ref="X209">IF(F209="","",_xlfn.XLOOKUP(F209,DATA!B:B,DATA!L:L,""))</f>
        <v/>
      </c>
    </row>
    <row r="210">
      <c r="A210" s="81"/>
      <c r="B210" s="79"/>
      <c r="C210" s="57" t="str">
        <f t="array" ref="C210">iferror(_xlfn.XLOOKUP(D210,DATA!B:B,DATA!A:A),"")</f>
        <v/>
      </c>
      <c r="D210" s="82"/>
      <c r="E210" s="61" t="str">
        <f t="array" ref="E210">iferror(_xlfn.XLOOKUP(F210,DATA!B:B,DATA!A:A),"")</f>
        <v/>
      </c>
      <c r="F210" s="83"/>
      <c r="G210" s="78"/>
      <c r="H210" s="64" t="str">
        <f t="array" ref="H210">_xlfn.XLOOKUP(G210,DATA!D:D,DATA!E:E,"")</f>
        <v/>
      </c>
      <c r="I210" s="84"/>
      <c r="J210" s="23"/>
      <c r="K210" s="23"/>
      <c r="L210" s="66" t="str">
        <f t="shared" si="1"/>
        <v/>
      </c>
      <c r="M210" s="77"/>
      <c r="N210" s="78"/>
      <c r="O210" s="66" t="str">
        <f>IF(M210="","",
 IF(M210="عدم پاسخ","بدون پاسخ",
 IF(L210="","اطلاعات ناقص",
 IF(L210&lt;=DATA!$M$1,"رعایت شده","رعایت نشده"))))</f>
        <v/>
      </c>
      <c r="P210" s="79"/>
      <c r="Q210" s="77"/>
      <c r="R210" s="79"/>
      <c r="S210" s="79"/>
      <c r="T210" s="78"/>
      <c r="U210" s="80"/>
      <c r="V210" s="78"/>
      <c r="W210" s="77" t="str">
        <f t="array" ref="W210">IF(D210="","",_xlfn.XLOOKUP(D210,DATA!B:B,DATA!L:L,""))</f>
        <v/>
      </c>
      <c r="X210" s="78" t="str">
        <f t="array" ref="X210">IF(F210="","",_xlfn.XLOOKUP(F210,DATA!B:B,DATA!L:L,""))</f>
        <v/>
      </c>
    </row>
    <row r="211">
      <c r="A211" s="81"/>
      <c r="B211" s="79"/>
      <c r="C211" s="57" t="str">
        <f t="array" ref="C211">iferror(_xlfn.XLOOKUP(D211,DATA!B:B,DATA!A:A),"")</f>
        <v/>
      </c>
      <c r="D211" s="82"/>
      <c r="E211" s="61" t="str">
        <f t="array" ref="E211">iferror(_xlfn.XLOOKUP(F211,DATA!B:B,DATA!A:A),"")</f>
        <v/>
      </c>
      <c r="F211" s="83"/>
      <c r="G211" s="78"/>
      <c r="H211" s="64" t="str">
        <f t="array" ref="H211">_xlfn.XLOOKUP(G211,DATA!D:D,DATA!E:E,"")</f>
        <v/>
      </c>
      <c r="I211" s="84"/>
      <c r="J211" s="23"/>
      <c r="K211" s="23"/>
      <c r="L211" s="66" t="str">
        <f t="shared" si="1"/>
        <v/>
      </c>
      <c r="M211" s="77"/>
      <c r="N211" s="78"/>
      <c r="O211" s="66" t="str">
        <f>IF(M211="","",
 IF(M211="عدم پاسخ","بدون پاسخ",
 IF(L211="","اطلاعات ناقص",
 IF(L211&lt;=DATA!$M$1,"رعایت شده","رعایت نشده"))))</f>
        <v/>
      </c>
      <c r="P211" s="79"/>
      <c r="Q211" s="77"/>
      <c r="R211" s="79"/>
      <c r="S211" s="79"/>
      <c r="T211" s="78"/>
      <c r="U211" s="80"/>
      <c r="V211" s="78"/>
      <c r="W211" s="77" t="str">
        <f t="array" ref="W211">IF(D211="","",_xlfn.XLOOKUP(D211,DATA!B:B,DATA!L:L,""))</f>
        <v/>
      </c>
      <c r="X211" s="78" t="str">
        <f t="array" ref="X211">IF(F211="","",_xlfn.XLOOKUP(F211,DATA!B:B,DATA!L:L,""))</f>
        <v/>
      </c>
    </row>
    <row r="212">
      <c r="A212" s="81"/>
      <c r="B212" s="79"/>
      <c r="C212" s="57" t="str">
        <f t="array" ref="C212">iferror(_xlfn.XLOOKUP(D212,DATA!B:B,DATA!A:A),"")</f>
        <v/>
      </c>
      <c r="D212" s="82"/>
      <c r="E212" s="61" t="str">
        <f t="array" ref="E212">iferror(_xlfn.XLOOKUP(F212,DATA!B:B,DATA!A:A),"")</f>
        <v/>
      </c>
      <c r="F212" s="83"/>
      <c r="G212" s="78"/>
      <c r="H212" s="64" t="str">
        <f t="array" ref="H212">_xlfn.XLOOKUP(G212,DATA!D:D,DATA!E:E,"")</f>
        <v/>
      </c>
      <c r="I212" s="84"/>
      <c r="J212" s="23"/>
      <c r="K212" s="23"/>
      <c r="L212" s="66" t="str">
        <f t="shared" si="1"/>
        <v/>
      </c>
      <c r="M212" s="77"/>
      <c r="N212" s="78"/>
      <c r="O212" s="66" t="str">
        <f>IF(M212="","",
 IF(M212="عدم پاسخ","بدون پاسخ",
 IF(L212="","اطلاعات ناقص",
 IF(L212&lt;=DATA!$M$1,"رعایت شده","رعایت نشده"))))</f>
        <v/>
      </c>
      <c r="P212" s="79"/>
      <c r="Q212" s="77"/>
      <c r="R212" s="79"/>
      <c r="S212" s="79"/>
      <c r="T212" s="78"/>
      <c r="U212" s="80"/>
      <c r="V212" s="78"/>
      <c r="W212" s="77" t="str">
        <f t="array" ref="W212">IF(D212="","",_xlfn.XLOOKUP(D212,DATA!B:B,DATA!L:L,""))</f>
        <v/>
      </c>
      <c r="X212" s="78" t="str">
        <f t="array" ref="X212">IF(F212="","",_xlfn.XLOOKUP(F212,DATA!B:B,DATA!L:L,""))</f>
        <v/>
      </c>
    </row>
    <row r="213">
      <c r="A213" s="81"/>
      <c r="B213" s="79"/>
      <c r="C213" s="57" t="str">
        <f t="array" ref="C213">iferror(_xlfn.XLOOKUP(D213,DATA!B:B,DATA!A:A),"")</f>
        <v/>
      </c>
      <c r="D213" s="82"/>
      <c r="E213" s="61" t="str">
        <f t="array" ref="E213">iferror(_xlfn.XLOOKUP(F213,DATA!B:B,DATA!A:A),"")</f>
        <v/>
      </c>
      <c r="F213" s="83"/>
      <c r="G213" s="78"/>
      <c r="H213" s="64" t="str">
        <f t="array" ref="H213">_xlfn.XLOOKUP(G213,DATA!D:D,DATA!E:E,"")</f>
        <v/>
      </c>
      <c r="I213" s="84"/>
      <c r="J213" s="23"/>
      <c r="K213" s="23"/>
      <c r="L213" s="66" t="str">
        <f t="shared" si="1"/>
        <v/>
      </c>
      <c r="M213" s="77"/>
      <c r="N213" s="78"/>
      <c r="O213" s="66" t="str">
        <f>IF(M213="","",
 IF(M213="عدم پاسخ","بدون پاسخ",
 IF(L213="","اطلاعات ناقص",
 IF(L213&lt;=DATA!$M$1,"رعایت شده","رعایت نشده"))))</f>
        <v/>
      </c>
      <c r="P213" s="79"/>
      <c r="Q213" s="77"/>
      <c r="R213" s="79"/>
      <c r="S213" s="79"/>
      <c r="T213" s="78"/>
      <c r="U213" s="80"/>
      <c r="V213" s="78"/>
      <c r="W213" s="77" t="str">
        <f t="array" ref="W213">IF(D213="","",_xlfn.XLOOKUP(D213,DATA!B:B,DATA!L:L,""))</f>
        <v/>
      </c>
      <c r="X213" s="78" t="str">
        <f t="array" ref="X213">IF(F213="","",_xlfn.XLOOKUP(F213,DATA!B:B,DATA!L:L,""))</f>
        <v/>
      </c>
    </row>
    <row r="214">
      <c r="A214" s="81"/>
      <c r="B214" s="79"/>
      <c r="C214" s="57" t="str">
        <f t="array" ref="C214">iferror(_xlfn.XLOOKUP(D214,DATA!B:B,DATA!A:A),"")</f>
        <v/>
      </c>
      <c r="D214" s="82"/>
      <c r="E214" s="61" t="str">
        <f t="array" ref="E214">iferror(_xlfn.XLOOKUP(F214,DATA!B:B,DATA!A:A),"")</f>
        <v/>
      </c>
      <c r="F214" s="83"/>
      <c r="G214" s="78"/>
      <c r="H214" s="64" t="str">
        <f t="array" ref="H214">_xlfn.XLOOKUP(G214,DATA!D:D,DATA!E:E,"")</f>
        <v/>
      </c>
      <c r="I214" s="84"/>
      <c r="J214" s="23"/>
      <c r="K214" s="23"/>
      <c r="L214" s="66" t="str">
        <f t="shared" si="1"/>
        <v/>
      </c>
      <c r="M214" s="77"/>
      <c r="N214" s="78"/>
      <c r="O214" s="66" t="str">
        <f>IF(M214="","",
 IF(M214="عدم پاسخ","بدون پاسخ",
 IF(L214="","اطلاعات ناقص",
 IF(L214&lt;=DATA!$M$1,"رعایت شده","رعایت نشده"))))</f>
        <v/>
      </c>
      <c r="P214" s="79"/>
      <c r="Q214" s="77"/>
      <c r="R214" s="79"/>
      <c r="S214" s="79"/>
      <c r="T214" s="78"/>
      <c r="U214" s="80"/>
      <c r="V214" s="78"/>
      <c r="W214" s="77" t="str">
        <f t="array" ref="W214">IF(D214="","",_xlfn.XLOOKUP(D214,DATA!B:B,DATA!L:L,""))</f>
        <v/>
      </c>
      <c r="X214" s="78" t="str">
        <f t="array" ref="X214">IF(F214="","",_xlfn.XLOOKUP(F214,DATA!B:B,DATA!L:L,""))</f>
        <v/>
      </c>
    </row>
    <row r="215">
      <c r="A215" s="81"/>
      <c r="B215" s="79"/>
      <c r="C215" s="57" t="str">
        <f t="array" ref="C215">iferror(_xlfn.XLOOKUP(D215,DATA!B:B,DATA!A:A),"")</f>
        <v/>
      </c>
      <c r="D215" s="82"/>
      <c r="E215" s="61" t="str">
        <f t="array" ref="E215">iferror(_xlfn.XLOOKUP(F215,DATA!B:B,DATA!A:A),"")</f>
        <v/>
      </c>
      <c r="F215" s="83"/>
      <c r="G215" s="78"/>
      <c r="H215" s="64" t="str">
        <f t="array" ref="H215">_xlfn.XLOOKUP(G215,DATA!D:D,DATA!E:E,"")</f>
        <v/>
      </c>
      <c r="I215" s="84"/>
      <c r="J215" s="23"/>
      <c r="K215" s="23"/>
      <c r="L215" s="66" t="str">
        <f t="shared" si="1"/>
        <v/>
      </c>
      <c r="M215" s="77"/>
      <c r="N215" s="78"/>
      <c r="O215" s="66" t="str">
        <f>IF(M215="","",
 IF(M215="عدم پاسخ","بدون پاسخ",
 IF(L215="","اطلاعات ناقص",
 IF(L215&lt;=DATA!$M$1,"رعایت شده","رعایت نشده"))))</f>
        <v/>
      </c>
      <c r="P215" s="79"/>
      <c r="Q215" s="77"/>
      <c r="R215" s="79"/>
      <c r="S215" s="79"/>
      <c r="T215" s="78"/>
      <c r="U215" s="80"/>
      <c r="V215" s="78"/>
      <c r="W215" s="77" t="str">
        <f t="array" ref="W215">IF(D215="","",_xlfn.XLOOKUP(D215,DATA!B:B,DATA!L:L,""))</f>
        <v/>
      </c>
      <c r="X215" s="78" t="str">
        <f t="array" ref="X215">IF(F215="","",_xlfn.XLOOKUP(F215,DATA!B:B,DATA!L:L,""))</f>
        <v/>
      </c>
    </row>
    <row r="216">
      <c r="A216" s="81"/>
      <c r="B216" s="79"/>
      <c r="C216" s="57" t="str">
        <f t="array" ref="C216">iferror(_xlfn.XLOOKUP(D216,DATA!B:B,DATA!A:A),"")</f>
        <v/>
      </c>
      <c r="D216" s="82"/>
      <c r="E216" s="61" t="str">
        <f t="array" ref="E216">iferror(_xlfn.XLOOKUP(F216,DATA!B:B,DATA!A:A),"")</f>
        <v/>
      </c>
      <c r="F216" s="83"/>
      <c r="G216" s="78"/>
      <c r="H216" s="64" t="str">
        <f t="array" ref="H216">_xlfn.XLOOKUP(G216,DATA!D:D,DATA!E:E,"")</f>
        <v/>
      </c>
      <c r="I216" s="84"/>
      <c r="J216" s="23"/>
      <c r="K216" s="23"/>
      <c r="L216" s="66" t="str">
        <f t="shared" si="1"/>
        <v/>
      </c>
      <c r="M216" s="77"/>
      <c r="N216" s="78"/>
      <c r="O216" s="66" t="str">
        <f>IF(M216="","",
 IF(M216="عدم پاسخ","بدون پاسخ",
 IF(L216="","اطلاعات ناقص",
 IF(L216&lt;=DATA!$M$1,"رعایت شده","رعایت نشده"))))</f>
        <v/>
      </c>
      <c r="P216" s="79"/>
      <c r="Q216" s="77"/>
      <c r="R216" s="79"/>
      <c r="S216" s="79"/>
      <c r="T216" s="78"/>
      <c r="U216" s="80"/>
      <c r="V216" s="78"/>
      <c r="W216" s="77" t="str">
        <f t="array" ref="W216">IF(D216="","",_xlfn.XLOOKUP(D216,DATA!B:B,DATA!L:L,""))</f>
        <v/>
      </c>
      <c r="X216" s="78" t="str">
        <f t="array" ref="X216">IF(F216="","",_xlfn.XLOOKUP(F216,DATA!B:B,DATA!L:L,""))</f>
        <v/>
      </c>
    </row>
    <row r="217">
      <c r="A217" s="81"/>
      <c r="B217" s="79"/>
      <c r="C217" s="57" t="str">
        <f t="array" ref="C217">iferror(_xlfn.XLOOKUP(D217,DATA!B:B,DATA!A:A),"")</f>
        <v/>
      </c>
      <c r="D217" s="82"/>
      <c r="E217" s="61" t="str">
        <f t="array" ref="E217">iferror(_xlfn.XLOOKUP(F217,DATA!B:B,DATA!A:A),"")</f>
        <v/>
      </c>
      <c r="F217" s="83"/>
      <c r="G217" s="78"/>
      <c r="H217" s="64" t="str">
        <f t="array" ref="H217">_xlfn.XLOOKUP(G217,DATA!D:D,DATA!E:E,"")</f>
        <v/>
      </c>
      <c r="I217" s="84"/>
      <c r="J217" s="23"/>
      <c r="K217" s="23"/>
      <c r="L217" s="66" t="str">
        <f t="shared" si="1"/>
        <v/>
      </c>
      <c r="M217" s="77"/>
      <c r="N217" s="78"/>
      <c r="O217" s="66" t="str">
        <f>IF(M217="","",
 IF(M217="عدم پاسخ","بدون پاسخ",
 IF(L217="","اطلاعات ناقص",
 IF(L217&lt;=DATA!$M$1,"رعایت شده","رعایت نشده"))))</f>
        <v/>
      </c>
      <c r="P217" s="79"/>
      <c r="Q217" s="77"/>
      <c r="R217" s="79"/>
      <c r="S217" s="79"/>
      <c r="T217" s="78"/>
      <c r="U217" s="80"/>
      <c r="V217" s="78"/>
      <c r="W217" s="77" t="str">
        <f t="array" ref="W217">IF(D217="","",_xlfn.XLOOKUP(D217,DATA!B:B,DATA!L:L,""))</f>
        <v/>
      </c>
      <c r="X217" s="78" t="str">
        <f t="array" ref="X217">IF(F217="","",_xlfn.XLOOKUP(F217,DATA!B:B,DATA!L:L,""))</f>
        <v/>
      </c>
    </row>
    <row r="218">
      <c r="A218" s="81"/>
      <c r="B218" s="79"/>
      <c r="C218" s="57" t="str">
        <f t="array" ref="C218">iferror(_xlfn.XLOOKUP(D218,DATA!B:B,DATA!A:A),"")</f>
        <v/>
      </c>
      <c r="D218" s="82"/>
      <c r="E218" s="61" t="str">
        <f t="array" ref="E218">iferror(_xlfn.XLOOKUP(F218,DATA!B:B,DATA!A:A),"")</f>
        <v/>
      </c>
      <c r="F218" s="83"/>
      <c r="G218" s="78"/>
      <c r="H218" s="64" t="str">
        <f t="array" ref="H218">_xlfn.XLOOKUP(G218,DATA!D:D,DATA!E:E,"")</f>
        <v/>
      </c>
      <c r="I218" s="84"/>
      <c r="J218" s="23"/>
      <c r="K218" s="23"/>
      <c r="L218" s="66" t="str">
        <f t="shared" si="1"/>
        <v/>
      </c>
      <c r="M218" s="77"/>
      <c r="N218" s="78"/>
      <c r="O218" s="66" t="str">
        <f>IF(M218="","",
 IF(M218="عدم پاسخ","بدون پاسخ",
 IF(L218="","اطلاعات ناقص",
 IF(L218&lt;=DATA!$M$1,"رعایت شده","رعایت نشده"))))</f>
        <v/>
      </c>
      <c r="P218" s="79"/>
      <c r="Q218" s="77"/>
      <c r="R218" s="79"/>
      <c r="S218" s="79"/>
      <c r="T218" s="78"/>
      <c r="U218" s="80"/>
      <c r="V218" s="78"/>
      <c r="W218" s="77" t="str">
        <f t="array" ref="W218">IF(D218="","",_xlfn.XLOOKUP(D218,DATA!B:B,DATA!L:L,""))</f>
        <v/>
      </c>
      <c r="X218" s="78" t="str">
        <f t="array" ref="X218">IF(F218="","",_xlfn.XLOOKUP(F218,DATA!B:B,DATA!L:L,""))</f>
        <v/>
      </c>
    </row>
    <row r="219">
      <c r="A219" s="81"/>
      <c r="B219" s="79"/>
      <c r="C219" s="57" t="str">
        <f t="array" ref="C219">iferror(_xlfn.XLOOKUP(D219,DATA!B:B,DATA!A:A),"")</f>
        <v/>
      </c>
      <c r="D219" s="82"/>
      <c r="E219" s="61" t="str">
        <f t="array" ref="E219">iferror(_xlfn.XLOOKUP(F219,DATA!B:B,DATA!A:A),"")</f>
        <v/>
      </c>
      <c r="F219" s="83"/>
      <c r="G219" s="78"/>
      <c r="H219" s="64" t="str">
        <f t="array" ref="H219">_xlfn.XLOOKUP(G219,DATA!D:D,DATA!E:E,"")</f>
        <v/>
      </c>
      <c r="I219" s="84"/>
      <c r="J219" s="23"/>
      <c r="K219" s="23"/>
      <c r="L219" s="66" t="str">
        <f t="shared" si="1"/>
        <v/>
      </c>
      <c r="M219" s="77"/>
      <c r="N219" s="78"/>
      <c r="O219" s="66" t="str">
        <f>IF(M219="","",
 IF(M219="عدم پاسخ","بدون پاسخ",
 IF(L219="","اطلاعات ناقص",
 IF(L219&lt;=DATA!$M$1,"رعایت شده","رعایت نشده"))))</f>
        <v/>
      </c>
      <c r="P219" s="79"/>
      <c r="Q219" s="77"/>
      <c r="R219" s="79"/>
      <c r="S219" s="79"/>
      <c r="T219" s="78"/>
      <c r="U219" s="80"/>
      <c r="V219" s="78"/>
      <c r="W219" s="77" t="str">
        <f t="array" ref="W219">IF(D219="","",_xlfn.XLOOKUP(D219,DATA!B:B,DATA!L:L,""))</f>
        <v/>
      </c>
      <c r="X219" s="78" t="str">
        <f t="array" ref="X219">IF(F219="","",_xlfn.XLOOKUP(F219,DATA!B:B,DATA!L:L,""))</f>
        <v/>
      </c>
    </row>
    <row r="220">
      <c r="A220" s="81"/>
      <c r="B220" s="79"/>
      <c r="C220" s="57" t="str">
        <f t="array" ref="C220">iferror(_xlfn.XLOOKUP(D220,DATA!B:B,DATA!A:A),"")</f>
        <v/>
      </c>
      <c r="D220" s="82"/>
      <c r="E220" s="61" t="str">
        <f t="array" ref="E220">iferror(_xlfn.XLOOKUP(F220,DATA!B:B,DATA!A:A),"")</f>
        <v/>
      </c>
      <c r="F220" s="83"/>
      <c r="G220" s="78"/>
      <c r="H220" s="64" t="str">
        <f t="array" ref="H220">_xlfn.XLOOKUP(G220,DATA!D:D,DATA!E:E,"")</f>
        <v/>
      </c>
      <c r="I220" s="84"/>
      <c r="J220" s="23"/>
      <c r="K220" s="23"/>
      <c r="L220" s="66" t="str">
        <f t="shared" si="1"/>
        <v/>
      </c>
      <c r="M220" s="77"/>
      <c r="N220" s="78"/>
      <c r="O220" s="66" t="str">
        <f>IF(M220="","",
 IF(M220="عدم پاسخ","بدون پاسخ",
 IF(L220="","اطلاعات ناقص",
 IF(L220&lt;=DATA!$M$1,"رعایت شده","رعایت نشده"))))</f>
        <v/>
      </c>
      <c r="P220" s="79"/>
      <c r="Q220" s="77"/>
      <c r="R220" s="79"/>
      <c r="S220" s="79"/>
      <c r="T220" s="78"/>
      <c r="U220" s="80"/>
      <c r="V220" s="78"/>
      <c r="W220" s="77" t="str">
        <f t="array" ref="W220">IF(D220="","",_xlfn.XLOOKUP(D220,DATA!B:B,DATA!L:L,""))</f>
        <v/>
      </c>
      <c r="X220" s="78" t="str">
        <f t="array" ref="X220">IF(F220="","",_xlfn.XLOOKUP(F220,DATA!B:B,DATA!L:L,""))</f>
        <v/>
      </c>
    </row>
    <row r="221">
      <c r="A221" s="81"/>
      <c r="B221" s="79"/>
      <c r="C221" s="57" t="str">
        <f t="array" ref="C221">iferror(_xlfn.XLOOKUP(D221,DATA!B:B,DATA!A:A),"")</f>
        <v/>
      </c>
      <c r="D221" s="82"/>
      <c r="E221" s="61" t="str">
        <f t="array" ref="E221">iferror(_xlfn.XLOOKUP(F221,DATA!B:B,DATA!A:A),"")</f>
        <v/>
      </c>
      <c r="F221" s="83"/>
      <c r="G221" s="78"/>
      <c r="H221" s="64" t="str">
        <f t="array" ref="H221">_xlfn.XLOOKUP(G221,DATA!D:D,DATA!E:E,"")</f>
        <v/>
      </c>
      <c r="I221" s="84"/>
      <c r="J221" s="23"/>
      <c r="K221" s="23"/>
      <c r="L221" s="66" t="str">
        <f t="shared" si="1"/>
        <v/>
      </c>
      <c r="M221" s="77"/>
      <c r="N221" s="78"/>
      <c r="O221" s="66" t="str">
        <f>IF(M221="","",
 IF(M221="عدم پاسخ","بدون پاسخ",
 IF(L221="","اطلاعات ناقص",
 IF(L221&lt;=DATA!$M$1,"رعایت شده","رعایت نشده"))))</f>
        <v/>
      </c>
      <c r="P221" s="79"/>
      <c r="Q221" s="77"/>
      <c r="R221" s="79"/>
      <c r="S221" s="79"/>
      <c r="T221" s="78"/>
      <c r="U221" s="80"/>
      <c r="V221" s="78"/>
      <c r="W221" s="77" t="str">
        <f t="array" ref="W221">IF(D221="","",_xlfn.XLOOKUP(D221,DATA!B:B,DATA!L:L,""))</f>
        <v/>
      </c>
      <c r="X221" s="78" t="str">
        <f t="array" ref="X221">IF(F221="","",_xlfn.XLOOKUP(F221,DATA!B:B,DATA!L:L,""))</f>
        <v/>
      </c>
    </row>
    <row r="222">
      <c r="A222" s="81"/>
      <c r="B222" s="79"/>
      <c r="C222" s="57" t="str">
        <f t="array" ref="C222">iferror(_xlfn.XLOOKUP(D222,DATA!B:B,DATA!A:A),"")</f>
        <v/>
      </c>
      <c r="D222" s="82"/>
      <c r="E222" s="61" t="str">
        <f t="array" ref="E222">iferror(_xlfn.XLOOKUP(F222,DATA!B:B,DATA!A:A),"")</f>
        <v/>
      </c>
      <c r="F222" s="83"/>
      <c r="G222" s="78"/>
      <c r="H222" s="64" t="str">
        <f t="array" ref="H222">_xlfn.XLOOKUP(G222,DATA!D:D,DATA!E:E,"")</f>
        <v/>
      </c>
      <c r="I222" s="84"/>
      <c r="J222" s="23"/>
      <c r="K222" s="23"/>
      <c r="L222" s="66" t="str">
        <f t="shared" si="1"/>
        <v/>
      </c>
      <c r="M222" s="77"/>
      <c r="N222" s="78"/>
      <c r="O222" s="66" t="str">
        <f>IF(M222="","",
 IF(M222="عدم پاسخ","بدون پاسخ",
 IF(L222="","اطلاعات ناقص",
 IF(L222&lt;=DATA!$M$1,"رعایت شده","رعایت نشده"))))</f>
        <v/>
      </c>
      <c r="P222" s="79"/>
      <c r="Q222" s="77"/>
      <c r="R222" s="79"/>
      <c r="S222" s="79"/>
      <c r="T222" s="78"/>
      <c r="U222" s="80"/>
      <c r="V222" s="78"/>
      <c r="W222" s="77" t="str">
        <f t="array" ref="W222">IF(D222="","",_xlfn.XLOOKUP(D222,DATA!B:B,DATA!L:L,""))</f>
        <v/>
      </c>
      <c r="X222" s="78" t="str">
        <f t="array" ref="X222">IF(F222="","",_xlfn.XLOOKUP(F222,DATA!B:B,DATA!L:L,""))</f>
        <v/>
      </c>
    </row>
    <row r="223">
      <c r="A223" s="81"/>
      <c r="B223" s="79"/>
      <c r="C223" s="57" t="str">
        <f t="array" ref="C223">iferror(_xlfn.XLOOKUP(D223,DATA!B:B,DATA!A:A),"")</f>
        <v/>
      </c>
      <c r="D223" s="82"/>
      <c r="E223" s="61" t="str">
        <f t="array" ref="E223">iferror(_xlfn.XLOOKUP(F223,DATA!B:B,DATA!A:A),"")</f>
        <v/>
      </c>
      <c r="F223" s="83"/>
      <c r="G223" s="78"/>
      <c r="H223" s="64" t="str">
        <f t="array" ref="H223">_xlfn.XLOOKUP(G223,DATA!D:D,DATA!E:E,"")</f>
        <v/>
      </c>
      <c r="I223" s="84"/>
      <c r="J223" s="23"/>
      <c r="K223" s="23"/>
      <c r="L223" s="66" t="str">
        <f t="shared" si="1"/>
        <v/>
      </c>
      <c r="M223" s="77"/>
      <c r="N223" s="78"/>
      <c r="O223" s="66" t="str">
        <f>IF(M223="","",
 IF(M223="عدم پاسخ","بدون پاسخ",
 IF(L223="","اطلاعات ناقص",
 IF(L223&lt;=DATA!$M$1,"رعایت شده","رعایت نشده"))))</f>
        <v/>
      </c>
      <c r="P223" s="79"/>
      <c r="Q223" s="77"/>
      <c r="R223" s="79"/>
      <c r="S223" s="79"/>
      <c r="T223" s="78"/>
      <c r="U223" s="80"/>
      <c r="V223" s="78"/>
      <c r="W223" s="77" t="str">
        <f t="array" ref="W223">IF(D223="","",_xlfn.XLOOKUP(D223,DATA!B:B,DATA!L:L,""))</f>
        <v/>
      </c>
      <c r="X223" s="78" t="str">
        <f t="array" ref="X223">IF(F223="","",_xlfn.XLOOKUP(F223,DATA!B:B,DATA!L:L,""))</f>
        <v/>
      </c>
    </row>
    <row r="224">
      <c r="A224" s="81"/>
      <c r="B224" s="79"/>
      <c r="C224" s="57" t="str">
        <f t="array" ref="C224">iferror(_xlfn.XLOOKUP(D224,DATA!B:B,DATA!A:A),"")</f>
        <v/>
      </c>
      <c r="D224" s="82"/>
      <c r="E224" s="61" t="str">
        <f t="array" ref="E224">iferror(_xlfn.XLOOKUP(F224,DATA!B:B,DATA!A:A),"")</f>
        <v/>
      </c>
      <c r="F224" s="83"/>
      <c r="G224" s="78"/>
      <c r="H224" s="64" t="str">
        <f t="array" ref="H224">_xlfn.XLOOKUP(G224,DATA!D:D,DATA!E:E,"")</f>
        <v/>
      </c>
      <c r="I224" s="84"/>
      <c r="J224" s="23"/>
      <c r="K224" s="23"/>
      <c r="L224" s="66" t="str">
        <f t="shared" si="1"/>
        <v/>
      </c>
      <c r="M224" s="77"/>
      <c r="N224" s="78"/>
      <c r="O224" s="66" t="str">
        <f>IF(M224="","",
 IF(M224="عدم پاسخ","بدون پاسخ",
 IF(L224="","اطلاعات ناقص",
 IF(L224&lt;=DATA!$M$1,"رعایت شده","رعایت نشده"))))</f>
        <v/>
      </c>
      <c r="P224" s="79"/>
      <c r="Q224" s="77"/>
      <c r="R224" s="79"/>
      <c r="S224" s="79"/>
      <c r="T224" s="78"/>
      <c r="U224" s="80"/>
      <c r="V224" s="78"/>
      <c r="W224" s="77" t="str">
        <f t="array" ref="W224">IF(D224="","",_xlfn.XLOOKUP(D224,DATA!B:B,DATA!L:L,""))</f>
        <v/>
      </c>
      <c r="X224" s="78" t="str">
        <f t="array" ref="X224">IF(F224="","",_xlfn.XLOOKUP(F224,DATA!B:B,DATA!L:L,""))</f>
        <v/>
      </c>
    </row>
    <row r="225">
      <c r="A225" s="81"/>
      <c r="B225" s="79"/>
      <c r="C225" s="57" t="str">
        <f t="array" ref="C225">iferror(_xlfn.XLOOKUP(D225,DATA!B:B,DATA!A:A),"")</f>
        <v/>
      </c>
      <c r="D225" s="82"/>
      <c r="E225" s="61" t="str">
        <f t="array" ref="E225">iferror(_xlfn.XLOOKUP(F225,DATA!B:B,DATA!A:A),"")</f>
        <v/>
      </c>
      <c r="F225" s="83"/>
      <c r="G225" s="78"/>
      <c r="H225" s="64" t="str">
        <f t="array" ref="H225">_xlfn.XLOOKUP(G225,DATA!D:D,DATA!E:E,"")</f>
        <v/>
      </c>
      <c r="I225" s="84"/>
      <c r="J225" s="23"/>
      <c r="K225" s="23"/>
      <c r="L225" s="66" t="str">
        <f t="shared" si="1"/>
        <v/>
      </c>
      <c r="M225" s="77"/>
      <c r="N225" s="78"/>
      <c r="O225" s="66" t="str">
        <f>IF(M225="","",
 IF(M225="عدم پاسخ","بدون پاسخ",
 IF(L225="","اطلاعات ناقص",
 IF(L225&lt;=DATA!$M$1,"رعایت شده","رعایت نشده"))))</f>
        <v/>
      </c>
      <c r="P225" s="79"/>
      <c r="Q225" s="77"/>
      <c r="R225" s="79"/>
      <c r="S225" s="79"/>
      <c r="T225" s="78"/>
      <c r="U225" s="80"/>
      <c r="V225" s="78"/>
      <c r="W225" s="77" t="str">
        <f t="array" ref="W225">IF(D225="","",_xlfn.XLOOKUP(D225,DATA!B:B,DATA!L:L,""))</f>
        <v/>
      </c>
      <c r="X225" s="78" t="str">
        <f t="array" ref="X225">IF(F225="","",_xlfn.XLOOKUP(F225,DATA!B:B,DATA!L:L,""))</f>
        <v/>
      </c>
    </row>
    <row r="226">
      <c r="A226" s="81"/>
      <c r="B226" s="79"/>
      <c r="C226" s="57" t="str">
        <f t="array" ref="C226">iferror(_xlfn.XLOOKUP(D226,DATA!B:B,DATA!A:A),"")</f>
        <v/>
      </c>
      <c r="D226" s="82"/>
      <c r="E226" s="61" t="str">
        <f t="array" ref="E226">iferror(_xlfn.XLOOKUP(F226,DATA!B:B,DATA!A:A),"")</f>
        <v/>
      </c>
      <c r="F226" s="83"/>
      <c r="G226" s="78"/>
      <c r="H226" s="64" t="str">
        <f t="array" ref="H226">_xlfn.XLOOKUP(G226,DATA!D:D,DATA!E:E,"")</f>
        <v/>
      </c>
      <c r="I226" s="84"/>
      <c r="J226" s="23"/>
      <c r="K226" s="23"/>
      <c r="L226" s="66" t="str">
        <f t="shared" si="1"/>
        <v/>
      </c>
      <c r="M226" s="77"/>
      <c r="N226" s="78"/>
      <c r="O226" s="66" t="str">
        <f>IF(M226="","",
 IF(M226="عدم پاسخ","بدون پاسخ",
 IF(L226="","اطلاعات ناقص",
 IF(L226&lt;=DATA!$M$1,"رعایت شده","رعایت نشده"))))</f>
        <v/>
      </c>
      <c r="P226" s="79"/>
      <c r="Q226" s="77"/>
      <c r="R226" s="79"/>
      <c r="S226" s="79"/>
      <c r="T226" s="78"/>
      <c r="U226" s="80"/>
      <c r="V226" s="78"/>
      <c r="W226" s="77" t="str">
        <f t="array" ref="W226">IF(D226="","",_xlfn.XLOOKUP(D226,DATA!B:B,DATA!L:L,""))</f>
        <v/>
      </c>
      <c r="X226" s="78" t="str">
        <f t="array" ref="X226">IF(F226="","",_xlfn.XLOOKUP(F226,DATA!B:B,DATA!L:L,""))</f>
        <v/>
      </c>
    </row>
    <row r="227">
      <c r="A227" s="81"/>
      <c r="B227" s="79"/>
      <c r="C227" s="57" t="str">
        <f t="array" ref="C227">iferror(_xlfn.XLOOKUP(D227,DATA!B:B,DATA!A:A),"")</f>
        <v/>
      </c>
      <c r="D227" s="82"/>
      <c r="E227" s="61" t="str">
        <f t="array" ref="E227">iferror(_xlfn.XLOOKUP(F227,DATA!B:B,DATA!A:A),"")</f>
        <v/>
      </c>
      <c r="F227" s="83"/>
      <c r="G227" s="78"/>
      <c r="H227" s="64" t="str">
        <f t="array" ref="H227">_xlfn.XLOOKUP(G227,DATA!D:D,DATA!E:E,"")</f>
        <v/>
      </c>
      <c r="I227" s="84"/>
      <c r="J227" s="23"/>
      <c r="K227" s="23"/>
      <c r="L227" s="66" t="str">
        <f t="shared" si="1"/>
        <v/>
      </c>
      <c r="M227" s="77"/>
      <c r="N227" s="78"/>
      <c r="O227" s="66" t="str">
        <f>IF(M227="","",
 IF(M227="عدم پاسخ","بدون پاسخ",
 IF(L227="","اطلاعات ناقص",
 IF(L227&lt;=DATA!$M$1,"رعایت شده","رعایت نشده"))))</f>
        <v/>
      </c>
      <c r="P227" s="79"/>
      <c r="Q227" s="77"/>
      <c r="R227" s="79"/>
      <c r="S227" s="79"/>
      <c r="T227" s="78"/>
      <c r="U227" s="80"/>
      <c r="V227" s="78"/>
      <c r="W227" s="77" t="str">
        <f t="array" ref="W227">IF(D227="","",_xlfn.XLOOKUP(D227,DATA!B:B,DATA!L:L,""))</f>
        <v/>
      </c>
      <c r="X227" s="78" t="str">
        <f t="array" ref="X227">IF(F227="","",_xlfn.XLOOKUP(F227,DATA!B:B,DATA!L:L,""))</f>
        <v/>
      </c>
    </row>
    <row r="228">
      <c r="A228" s="81"/>
      <c r="B228" s="79"/>
      <c r="C228" s="57" t="str">
        <f t="array" ref="C228">iferror(_xlfn.XLOOKUP(D228,DATA!B:B,DATA!A:A),"")</f>
        <v/>
      </c>
      <c r="D228" s="82"/>
      <c r="E228" s="61" t="str">
        <f t="array" ref="E228">iferror(_xlfn.XLOOKUP(F228,DATA!B:B,DATA!A:A),"")</f>
        <v/>
      </c>
      <c r="F228" s="83"/>
      <c r="G228" s="78"/>
      <c r="H228" s="64" t="str">
        <f t="array" ref="H228">_xlfn.XLOOKUP(G228,DATA!D:D,DATA!E:E,"")</f>
        <v/>
      </c>
      <c r="I228" s="84"/>
      <c r="J228" s="23"/>
      <c r="K228" s="23"/>
      <c r="L228" s="66" t="str">
        <f t="shared" si="1"/>
        <v/>
      </c>
      <c r="M228" s="77"/>
      <c r="N228" s="78"/>
      <c r="O228" s="66" t="str">
        <f>IF(M228="","",
 IF(M228="عدم پاسخ","بدون پاسخ",
 IF(L228="","اطلاعات ناقص",
 IF(L228&lt;=DATA!$M$1,"رعایت شده","رعایت نشده"))))</f>
        <v/>
      </c>
      <c r="P228" s="79"/>
      <c r="Q228" s="77"/>
      <c r="R228" s="79"/>
      <c r="S228" s="79"/>
      <c r="T228" s="78"/>
      <c r="U228" s="80"/>
      <c r="V228" s="78"/>
      <c r="W228" s="77" t="str">
        <f t="array" ref="W228">IF(D228="","",_xlfn.XLOOKUP(D228,DATA!B:B,DATA!L:L,""))</f>
        <v/>
      </c>
      <c r="X228" s="78" t="str">
        <f t="array" ref="X228">IF(F228="","",_xlfn.XLOOKUP(F228,DATA!B:B,DATA!L:L,""))</f>
        <v/>
      </c>
    </row>
    <row r="229">
      <c r="A229" s="81"/>
      <c r="B229" s="79"/>
      <c r="C229" s="57" t="str">
        <f t="array" ref="C229">iferror(_xlfn.XLOOKUP(D229,DATA!B:B,DATA!A:A),"")</f>
        <v/>
      </c>
      <c r="D229" s="82"/>
      <c r="E229" s="61" t="str">
        <f t="array" ref="E229">iferror(_xlfn.XLOOKUP(F229,DATA!B:B,DATA!A:A),"")</f>
        <v/>
      </c>
      <c r="F229" s="83"/>
      <c r="G229" s="78"/>
      <c r="H229" s="64" t="str">
        <f t="array" ref="H229">_xlfn.XLOOKUP(G229,DATA!D:D,DATA!E:E,"")</f>
        <v/>
      </c>
      <c r="I229" s="84"/>
      <c r="J229" s="23"/>
      <c r="K229" s="23"/>
      <c r="L229" s="66" t="str">
        <f t="shared" si="1"/>
        <v/>
      </c>
      <c r="M229" s="77"/>
      <c r="N229" s="78"/>
      <c r="O229" s="66" t="str">
        <f>IF(M229="","",
 IF(M229="عدم پاسخ","بدون پاسخ",
 IF(L229="","اطلاعات ناقص",
 IF(L229&lt;=DATA!$M$1,"رعایت شده","رعایت نشده"))))</f>
        <v/>
      </c>
      <c r="P229" s="79"/>
      <c r="Q229" s="77"/>
      <c r="R229" s="79"/>
      <c r="S229" s="79"/>
      <c r="T229" s="78"/>
      <c r="U229" s="80"/>
      <c r="V229" s="78"/>
      <c r="W229" s="77" t="str">
        <f t="array" ref="W229">IF(D229="","",_xlfn.XLOOKUP(D229,DATA!B:B,DATA!L:L,""))</f>
        <v/>
      </c>
      <c r="X229" s="78" t="str">
        <f t="array" ref="X229">IF(F229="","",_xlfn.XLOOKUP(F229,DATA!B:B,DATA!L:L,""))</f>
        <v/>
      </c>
    </row>
    <row r="230">
      <c r="A230" s="81"/>
      <c r="B230" s="79"/>
      <c r="C230" s="57" t="str">
        <f t="array" ref="C230">iferror(_xlfn.XLOOKUP(D230,DATA!B:B,DATA!A:A),"")</f>
        <v/>
      </c>
      <c r="D230" s="82"/>
      <c r="E230" s="61" t="str">
        <f t="array" ref="E230">iferror(_xlfn.XLOOKUP(F230,DATA!B:B,DATA!A:A),"")</f>
        <v/>
      </c>
      <c r="F230" s="83"/>
      <c r="G230" s="78"/>
      <c r="H230" s="64" t="str">
        <f t="array" ref="H230">_xlfn.XLOOKUP(G230,DATA!D:D,DATA!E:E,"")</f>
        <v/>
      </c>
      <c r="I230" s="84"/>
      <c r="J230" s="23"/>
      <c r="K230" s="23"/>
      <c r="L230" s="66" t="str">
        <f t="shared" si="1"/>
        <v/>
      </c>
      <c r="M230" s="77"/>
      <c r="N230" s="78"/>
      <c r="O230" s="66" t="str">
        <f>IF(M230="","",
 IF(M230="عدم پاسخ","بدون پاسخ",
 IF(L230="","اطلاعات ناقص",
 IF(L230&lt;=DATA!$M$1,"رعایت شده","رعایت نشده"))))</f>
        <v/>
      </c>
      <c r="P230" s="79"/>
      <c r="Q230" s="77"/>
      <c r="R230" s="79"/>
      <c r="S230" s="79"/>
      <c r="T230" s="78"/>
      <c r="U230" s="80"/>
      <c r="V230" s="78"/>
      <c r="W230" s="77" t="str">
        <f t="array" ref="W230">IF(D230="","",_xlfn.XLOOKUP(D230,DATA!B:B,DATA!L:L,""))</f>
        <v/>
      </c>
      <c r="X230" s="78" t="str">
        <f t="array" ref="X230">IF(F230="","",_xlfn.XLOOKUP(F230,DATA!B:B,DATA!L:L,""))</f>
        <v/>
      </c>
    </row>
    <row r="231">
      <c r="A231" s="81"/>
      <c r="B231" s="79"/>
      <c r="C231" s="57" t="str">
        <f t="array" ref="C231">iferror(_xlfn.XLOOKUP(D231,DATA!B:B,DATA!A:A),"")</f>
        <v/>
      </c>
      <c r="D231" s="82"/>
      <c r="E231" s="61" t="str">
        <f t="array" ref="E231">iferror(_xlfn.XLOOKUP(F231,DATA!B:B,DATA!A:A),"")</f>
        <v/>
      </c>
      <c r="F231" s="83"/>
      <c r="G231" s="78"/>
      <c r="H231" s="64" t="str">
        <f t="array" ref="H231">_xlfn.XLOOKUP(G231,DATA!D:D,DATA!E:E,"")</f>
        <v/>
      </c>
      <c r="I231" s="84"/>
      <c r="J231" s="23"/>
      <c r="K231" s="23"/>
      <c r="L231" s="66" t="str">
        <f t="shared" si="1"/>
        <v/>
      </c>
      <c r="M231" s="77"/>
      <c r="N231" s="78"/>
      <c r="O231" s="66" t="str">
        <f>IF(M231="","",
 IF(M231="عدم پاسخ","بدون پاسخ",
 IF(L231="","اطلاعات ناقص",
 IF(L231&lt;=DATA!$M$1,"رعایت شده","رعایت نشده"))))</f>
        <v/>
      </c>
      <c r="P231" s="79"/>
      <c r="Q231" s="77"/>
      <c r="R231" s="79"/>
      <c r="S231" s="79"/>
      <c r="T231" s="78"/>
      <c r="U231" s="80"/>
      <c r="V231" s="78"/>
      <c r="W231" s="77" t="str">
        <f t="array" ref="W231">IF(D231="","",_xlfn.XLOOKUP(D231,DATA!B:B,DATA!L:L,""))</f>
        <v/>
      </c>
      <c r="X231" s="78" t="str">
        <f t="array" ref="X231">IF(F231="","",_xlfn.XLOOKUP(F231,DATA!B:B,DATA!L:L,""))</f>
        <v/>
      </c>
    </row>
    <row r="232">
      <c r="A232" s="81"/>
      <c r="B232" s="79"/>
      <c r="C232" s="57" t="str">
        <f t="array" ref="C232">iferror(_xlfn.XLOOKUP(D232,DATA!B:B,DATA!A:A),"")</f>
        <v/>
      </c>
      <c r="D232" s="82"/>
      <c r="E232" s="61" t="str">
        <f t="array" ref="E232">iferror(_xlfn.XLOOKUP(F232,DATA!B:B,DATA!A:A),"")</f>
        <v/>
      </c>
      <c r="F232" s="83"/>
      <c r="G232" s="78"/>
      <c r="H232" s="64" t="str">
        <f t="array" ref="H232">_xlfn.XLOOKUP(G232,DATA!D:D,DATA!E:E,"")</f>
        <v/>
      </c>
      <c r="I232" s="84"/>
      <c r="J232" s="23"/>
      <c r="K232" s="23"/>
      <c r="L232" s="66" t="str">
        <f t="shared" si="1"/>
        <v/>
      </c>
      <c r="M232" s="77"/>
      <c r="N232" s="78"/>
      <c r="O232" s="66" t="str">
        <f>IF(M232="","",
 IF(M232="عدم پاسخ","بدون پاسخ",
 IF(L232="","اطلاعات ناقص",
 IF(L232&lt;=DATA!$M$1,"رعایت شده","رعایت نشده"))))</f>
        <v/>
      </c>
      <c r="P232" s="79"/>
      <c r="Q232" s="77"/>
      <c r="R232" s="79"/>
      <c r="S232" s="79"/>
      <c r="T232" s="78"/>
      <c r="U232" s="80"/>
      <c r="V232" s="78"/>
      <c r="W232" s="77" t="str">
        <f t="array" ref="W232">IF(D232="","",_xlfn.XLOOKUP(D232,DATA!B:B,DATA!L:L,""))</f>
        <v/>
      </c>
      <c r="X232" s="78" t="str">
        <f t="array" ref="X232">IF(F232="","",_xlfn.XLOOKUP(F232,DATA!B:B,DATA!L:L,""))</f>
        <v/>
      </c>
    </row>
    <row r="233">
      <c r="A233" s="81"/>
      <c r="B233" s="79"/>
      <c r="C233" s="57" t="str">
        <f t="array" ref="C233">iferror(_xlfn.XLOOKUP(D233,DATA!B:B,DATA!A:A),"")</f>
        <v/>
      </c>
      <c r="D233" s="82"/>
      <c r="E233" s="61" t="str">
        <f t="array" ref="E233">iferror(_xlfn.XLOOKUP(F233,DATA!B:B,DATA!A:A),"")</f>
        <v/>
      </c>
      <c r="F233" s="83"/>
      <c r="G233" s="78"/>
      <c r="H233" s="64" t="str">
        <f t="array" ref="H233">_xlfn.XLOOKUP(G233,DATA!D:D,DATA!E:E,"")</f>
        <v/>
      </c>
      <c r="I233" s="84"/>
      <c r="J233" s="23"/>
      <c r="K233" s="23"/>
      <c r="L233" s="66" t="str">
        <f t="shared" si="1"/>
        <v/>
      </c>
      <c r="M233" s="77"/>
      <c r="N233" s="78"/>
      <c r="O233" s="66" t="str">
        <f>IF(M233="","",
 IF(M233="عدم پاسخ","بدون پاسخ",
 IF(L233="","اطلاعات ناقص",
 IF(L233&lt;=DATA!$M$1,"رعایت شده","رعایت نشده"))))</f>
        <v/>
      </c>
      <c r="P233" s="79"/>
      <c r="Q233" s="77"/>
      <c r="R233" s="79"/>
      <c r="S233" s="79"/>
      <c r="T233" s="78"/>
      <c r="U233" s="80"/>
      <c r="V233" s="78"/>
      <c r="W233" s="77" t="str">
        <f t="array" ref="W233">IF(D233="","",_xlfn.XLOOKUP(D233,DATA!B:B,DATA!L:L,""))</f>
        <v/>
      </c>
      <c r="X233" s="78" t="str">
        <f t="array" ref="X233">IF(F233="","",_xlfn.XLOOKUP(F233,DATA!B:B,DATA!L:L,""))</f>
        <v/>
      </c>
    </row>
    <row r="234">
      <c r="A234" s="81"/>
      <c r="B234" s="79"/>
      <c r="C234" s="57" t="str">
        <f t="array" ref="C234">iferror(_xlfn.XLOOKUP(D234,DATA!B:B,DATA!A:A),"")</f>
        <v/>
      </c>
      <c r="D234" s="82"/>
      <c r="E234" s="61" t="str">
        <f t="array" ref="E234">iferror(_xlfn.XLOOKUP(F234,DATA!B:B,DATA!A:A),"")</f>
        <v/>
      </c>
      <c r="F234" s="83"/>
      <c r="G234" s="78"/>
      <c r="H234" s="64" t="str">
        <f t="array" ref="H234">_xlfn.XLOOKUP(G234,DATA!D:D,DATA!E:E,"")</f>
        <v/>
      </c>
      <c r="I234" s="84"/>
      <c r="J234" s="23"/>
      <c r="K234" s="23"/>
      <c r="L234" s="66" t="str">
        <f t="shared" si="1"/>
        <v/>
      </c>
      <c r="M234" s="77"/>
      <c r="N234" s="78"/>
      <c r="O234" s="66" t="str">
        <f>IF(M234="","",
 IF(M234="عدم پاسخ","بدون پاسخ",
 IF(L234="","اطلاعات ناقص",
 IF(L234&lt;=DATA!$M$1,"رعایت شده","رعایت نشده"))))</f>
        <v/>
      </c>
      <c r="P234" s="79"/>
      <c r="Q234" s="77"/>
      <c r="R234" s="79"/>
      <c r="S234" s="79"/>
      <c r="T234" s="78"/>
      <c r="U234" s="80"/>
      <c r="V234" s="78"/>
      <c r="W234" s="77" t="str">
        <f t="array" ref="W234">IF(D234="","",_xlfn.XLOOKUP(D234,DATA!B:B,DATA!L:L,""))</f>
        <v/>
      </c>
      <c r="X234" s="78" t="str">
        <f t="array" ref="X234">IF(F234="","",_xlfn.XLOOKUP(F234,DATA!B:B,DATA!L:L,""))</f>
        <v/>
      </c>
    </row>
    <row r="235">
      <c r="A235" s="81"/>
      <c r="B235" s="79"/>
      <c r="C235" s="57" t="str">
        <f t="array" ref="C235">iferror(_xlfn.XLOOKUP(D235,DATA!B:B,DATA!A:A),"")</f>
        <v/>
      </c>
      <c r="D235" s="82"/>
      <c r="E235" s="61" t="str">
        <f t="array" ref="E235">iferror(_xlfn.XLOOKUP(F235,DATA!B:B,DATA!A:A),"")</f>
        <v/>
      </c>
      <c r="F235" s="83"/>
      <c r="G235" s="78"/>
      <c r="H235" s="64" t="str">
        <f t="array" ref="H235">_xlfn.XLOOKUP(G235,DATA!D:D,DATA!E:E,"")</f>
        <v/>
      </c>
      <c r="I235" s="84"/>
      <c r="J235" s="23"/>
      <c r="K235" s="23"/>
      <c r="L235" s="66" t="str">
        <f t="shared" si="1"/>
        <v/>
      </c>
      <c r="M235" s="77"/>
      <c r="N235" s="78"/>
      <c r="O235" s="66" t="str">
        <f>IF(M235="","",
 IF(M235="عدم پاسخ","بدون پاسخ",
 IF(L235="","اطلاعات ناقص",
 IF(L235&lt;=DATA!$M$1,"رعایت شده","رعایت نشده"))))</f>
        <v/>
      </c>
      <c r="P235" s="79"/>
      <c r="Q235" s="77"/>
      <c r="R235" s="79"/>
      <c r="S235" s="79"/>
      <c r="T235" s="78"/>
      <c r="U235" s="80"/>
      <c r="V235" s="78"/>
      <c r="W235" s="77" t="str">
        <f t="array" ref="W235">IF(D235="","",_xlfn.XLOOKUP(D235,DATA!B:B,DATA!L:L,""))</f>
        <v/>
      </c>
      <c r="X235" s="78" t="str">
        <f t="array" ref="X235">IF(F235="","",_xlfn.XLOOKUP(F235,DATA!B:B,DATA!L:L,""))</f>
        <v/>
      </c>
    </row>
    <row r="236">
      <c r="A236" s="81"/>
      <c r="B236" s="79"/>
      <c r="C236" s="57" t="str">
        <f t="array" ref="C236">iferror(_xlfn.XLOOKUP(D236,DATA!B:B,DATA!A:A),"")</f>
        <v/>
      </c>
      <c r="D236" s="82"/>
      <c r="E236" s="61" t="str">
        <f t="array" ref="E236">iferror(_xlfn.XLOOKUP(F236,DATA!B:B,DATA!A:A),"")</f>
        <v/>
      </c>
      <c r="F236" s="83"/>
      <c r="G236" s="78"/>
      <c r="H236" s="64" t="str">
        <f t="array" ref="H236">_xlfn.XLOOKUP(G236,DATA!D:D,DATA!E:E,"")</f>
        <v/>
      </c>
      <c r="I236" s="84"/>
      <c r="J236" s="23"/>
      <c r="K236" s="23"/>
      <c r="L236" s="66" t="str">
        <f t="shared" si="1"/>
        <v/>
      </c>
      <c r="M236" s="77"/>
      <c r="N236" s="78"/>
      <c r="O236" s="66" t="str">
        <f>IF(M236="","",
 IF(M236="عدم پاسخ","بدون پاسخ",
 IF(L236="","اطلاعات ناقص",
 IF(L236&lt;=DATA!$M$1,"رعایت شده","رعایت نشده"))))</f>
        <v/>
      </c>
      <c r="P236" s="79"/>
      <c r="Q236" s="77"/>
      <c r="R236" s="79"/>
      <c r="S236" s="79"/>
      <c r="T236" s="78"/>
      <c r="U236" s="80"/>
      <c r="V236" s="78"/>
      <c r="W236" s="77" t="str">
        <f t="array" ref="W236">IF(D236="","",_xlfn.XLOOKUP(D236,DATA!B:B,DATA!L:L,""))</f>
        <v/>
      </c>
      <c r="X236" s="78" t="str">
        <f t="array" ref="X236">IF(F236="","",_xlfn.XLOOKUP(F236,DATA!B:B,DATA!L:L,""))</f>
        <v/>
      </c>
    </row>
    <row r="237">
      <c r="A237" s="81"/>
      <c r="B237" s="79"/>
      <c r="C237" s="57" t="str">
        <f t="array" ref="C237">iferror(_xlfn.XLOOKUP(D237,DATA!B:B,DATA!A:A),"")</f>
        <v/>
      </c>
      <c r="D237" s="82"/>
      <c r="E237" s="61" t="str">
        <f t="array" ref="E237">iferror(_xlfn.XLOOKUP(F237,DATA!B:B,DATA!A:A),"")</f>
        <v/>
      </c>
      <c r="F237" s="83"/>
      <c r="G237" s="78"/>
      <c r="H237" s="64" t="str">
        <f t="array" ref="H237">_xlfn.XLOOKUP(G237,DATA!D:D,DATA!E:E,"")</f>
        <v/>
      </c>
      <c r="I237" s="84"/>
      <c r="J237" s="23"/>
      <c r="K237" s="23"/>
      <c r="L237" s="66" t="str">
        <f t="shared" si="1"/>
        <v/>
      </c>
      <c r="M237" s="77"/>
      <c r="N237" s="78"/>
      <c r="O237" s="66" t="str">
        <f>IF(M237="","",
 IF(M237="عدم پاسخ","بدون پاسخ",
 IF(L237="","اطلاعات ناقص",
 IF(L237&lt;=DATA!$M$1,"رعایت شده","رعایت نشده"))))</f>
        <v/>
      </c>
      <c r="P237" s="79"/>
      <c r="Q237" s="77"/>
      <c r="R237" s="79"/>
      <c r="S237" s="79"/>
      <c r="T237" s="78"/>
      <c r="U237" s="80"/>
      <c r="V237" s="78"/>
      <c r="W237" s="77" t="str">
        <f t="array" ref="W237">IF(D237="","",_xlfn.XLOOKUP(D237,DATA!B:B,DATA!L:L,""))</f>
        <v/>
      </c>
      <c r="X237" s="78" t="str">
        <f t="array" ref="X237">IF(F237="","",_xlfn.XLOOKUP(F237,DATA!B:B,DATA!L:L,""))</f>
        <v/>
      </c>
    </row>
    <row r="238">
      <c r="A238" s="81"/>
      <c r="B238" s="79"/>
      <c r="C238" s="57" t="str">
        <f t="array" ref="C238">iferror(_xlfn.XLOOKUP(D238,DATA!B:B,DATA!A:A),"")</f>
        <v/>
      </c>
      <c r="D238" s="82"/>
      <c r="E238" s="61" t="str">
        <f t="array" ref="E238">iferror(_xlfn.XLOOKUP(F238,DATA!B:B,DATA!A:A),"")</f>
        <v/>
      </c>
      <c r="F238" s="83"/>
      <c r="G238" s="78"/>
      <c r="H238" s="64" t="str">
        <f t="array" ref="H238">_xlfn.XLOOKUP(G238,DATA!D:D,DATA!E:E,"")</f>
        <v/>
      </c>
      <c r="I238" s="84"/>
      <c r="J238" s="23"/>
      <c r="K238" s="23"/>
      <c r="L238" s="66" t="str">
        <f t="shared" si="1"/>
        <v/>
      </c>
      <c r="M238" s="77"/>
      <c r="N238" s="78"/>
      <c r="O238" s="66" t="str">
        <f>IF(M238="","",
 IF(M238="عدم پاسخ","بدون پاسخ",
 IF(L238="","اطلاعات ناقص",
 IF(L238&lt;=DATA!$M$1,"رعایت شده","رعایت نشده"))))</f>
        <v/>
      </c>
      <c r="P238" s="79"/>
      <c r="Q238" s="77"/>
      <c r="R238" s="79"/>
      <c r="S238" s="79"/>
      <c r="T238" s="78"/>
      <c r="U238" s="80"/>
      <c r="V238" s="78"/>
      <c r="W238" s="77" t="str">
        <f t="array" ref="W238">IF(D238="","",_xlfn.XLOOKUP(D238,DATA!B:B,DATA!L:L,""))</f>
        <v/>
      </c>
      <c r="X238" s="78" t="str">
        <f t="array" ref="X238">IF(F238="","",_xlfn.XLOOKUP(F238,DATA!B:B,DATA!L:L,""))</f>
        <v/>
      </c>
    </row>
    <row r="239">
      <c r="A239" s="81"/>
      <c r="B239" s="79"/>
      <c r="C239" s="57" t="str">
        <f t="array" ref="C239">iferror(_xlfn.XLOOKUP(D239,DATA!B:B,DATA!A:A),"")</f>
        <v/>
      </c>
      <c r="D239" s="82"/>
      <c r="E239" s="61" t="str">
        <f t="array" ref="E239">iferror(_xlfn.XLOOKUP(F239,DATA!B:B,DATA!A:A),"")</f>
        <v/>
      </c>
      <c r="F239" s="83"/>
      <c r="G239" s="78"/>
      <c r="H239" s="64" t="str">
        <f t="array" ref="H239">_xlfn.XLOOKUP(G239,DATA!D:D,DATA!E:E,"")</f>
        <v/>
      </c>
      <c r="I239" s="84"/>
      <c r="J239" s="23"/>
      <c r="K239" s="23"/>
      <c r="L239" s="66" t="str">
        <f t="shared" si="1"/>
        <v/>
      </c>
      <c r="M239" s="77"/>
      <c r="N239" s="78"/>
      <c r="O239" s="66" t="str">
        <f>IF(M239="","",
 IF(M239="عدم پاسخ","بدون پاسخ",
 IF(L239="","اطلاعات ناقص",
 IF(L239&lt;=DATA!$M$1,"رعایت شده","رعایت نشده"))))</f>
        <v/>
      </c>
      <c r="P239" s="79"/>
      <c r="Q239" s="77"/>
      <c r="R239" s="79"/>
      <c r="S239" s="79"/>
      <c r="T239" s="78"/>
      <c r="U239" s="80"/>
      <c r="V239" s="78"/>
      <c r="W239" s="77" t="str">
        <f t="array" ref="W239">IF(D239="","",_xlfn.XLOOKUP(D239,DATA!B:B,DATA!L:L,""))</f>
        <v/>
      </c>
      <c r="X239" s="78" t="str">
        <f t="array" ref="X239">IF(F239="","",_xlfn.XLOOKUP(F239,DATA!B:B,DATA!L:L,""))</f>
        <v/>
      </c>
    </row>
    <row r="240">
      <c r="A240" s="81"/>
      <c r="B240" s="79"/>
      <c r="C240" s="57" t="str">
        <f t="array" ref="C240">iferror(_xlfn.XLOOKUP(D240,DATA!B:B,DATA!A:A),"")</f>
        <v/>
      </c>
      <c r="D240" s="82"/>
      <c r="E240" s="61" t="str">
        <f t="array" ref="E240">iferror(_xlfn.XLOOKUP(F240,DATA!B:B,DATA!A:A),"")</f>
        <v/>
      </c>
      <c r="F240" s="83"/>
      <c r="G240" s="78"/>
      <c r="H240" s="64" t="str">
        <f t="array" ref="H240">_xlfn.XLOOKUP(G240,DATA!D:D,DATA!E:E,"")</f>
        <v/>
      </c>
      <c r="I240" s="84"/>
      <c r="J240" s="23"/>
      <c r="K240" s="23"/>
      <c r="L240" s="66" t="str">
        <f t="shared" si="1"/>
        <v/>
      </c>
      <c r="M240" s="77"/>
      <c r="N240" s="78"/>
      <c r="O240" s="66" t="str">
        <f>IF(M240="","",
 IF(M240="عدم پاسخ","بدون پاسخ",
 IF(L240="","اطلاعات ناقص",
 IF(L240&lt;=DATA!$M$1,"رعایت شده","رعایت نشده"))))</f>
        <v/>
      </c>
      <c r="P240" s="79"/>
      <c r="Q240" s="77"/>
      <c r="R240" s="79"/>
      <c r="S240" s="79"/>
      <c r="T240" s="78"/>
      <c r="U240" s="80"/>
      <c r="V240" s="78"/>
      <c r="W240" s="77" t="str">
        <f t="array" ref="W240">IF(D240="","",_xlfn.XLOOKUP(D240,DATA!B:B,DATA!L:L,""))</f>
        <v/>
      </c>
      <c r="X240" s="78" t="str">
        <f t="array" ref="X240">IF(F240="","",_xlfn.XLOOKUP(F240,DATA!B:B,DATA!L:L,""))</f>
        <v/>
      </c>
    </row>
    <row r="241">
      <c r="A241" s="81"/>
      <c r="B241" s="79"/>
      <c r="C241" s="57" t="str">
        <f t="array" ref="C241">iferror(_xlfn.XLOOKUP(D241,DATA!B:B,DATA!A:A),"")</f>
        <v/>
      </c>
      <c r="D241" s="82"/>
      <c r="E241" s="61" t="str">
        <f t="array" ref="E241">iferror(_xlfn.XLOOKUP(F241,DATA!B:B,DATA!A:A),"")</f>
        <v/>
      </c>
      <c r="F241" s="83"/>
      <c r="G241" s="78"/>
      <c r="H241" s="64" t="str">
        <f t="array" ref="H241">_xlfn.XLOOKUP(G241,DATA!D:D,DATA!E:E,"")</f>
        <v/>
      </c>
      <c r="I241" s="84"/>
      <c r="J241" s="23"/>
      <c r="K241" s="23"/>
      <c r="L241" s="66" t="str">
        <f t="shared" si="1"/>
        <v/>
      </c>
      <c r="M241" s="77"/>
      <c r="N241" s="78"/>
      <c r="O241" s="66" t="str">
        <f>IF(M241="","",
 IF(M241="عدم پاسخ","بدون پاسخ",
 IF(L241="","اطلاعات ناقص",
 IF(L241&lt;=DATA!$M$1,"رعایت شده","رعایت نشده"))))</f>
        <v/>
      </c>
      <c r="P241" s="79"/>
      <c r="Q241" s="77"/>
      <c r="R241" s="79"/>
      <c r="S241" s="79"/>
      <c r="T241" s="78"/>
      <c r="U241" s="80"/>
      <c r="V241" s="78"/>
      <c r="W241" s="77" t="str">
        <f t="array" ref="W241">IF(D241="","",_xlfn.XLOOKUP(D241,DATA!B:B,DATA!L:L,""))</f>
        <v/>
      </c>
      <c r="X241" s="78" t="str">
        <f t="array" ref="X241">IF(F241="","",_xlfn.XLOOKUP(F241,DATA!B:B,DATA!L:L,""))</f>
        <v/>
      </c>
    </row>
    <row r="242">
      <c r="A242" s="81"/>
      <c r="B242" s="79"/>
      <c r="C242" s="57" t="str">
        <f t="array" ref="C242">iferror(_xlfn.XLOOKUP(D242,DATA!B:B,DATA!A:A),"")</f>
        <v/>
      </c>
      <c r="D242" s="82"/>
      <c r="E242" s="61" t="str">
        <f t="array" ref="E242">iferror(_xlfn.XLOOKUP(F242,DATA!B:B,DATA!A:A),"")</f>
        <v/>
      </c>
      <c r="F242" s="83"/>
      <c r="G242" s="78"/>
      <c r="H242" s="64" t="str">
        <f t="array" ref="H242">_xlfn.XLOOKUP(G242,DATA!D:D,DATA!E:E,"")</f>
        <v/>
      </c>
      <c r="I242" s="84"/>
      <c r="J242" s="23"/>
      <c r="K242" s="23"/>
      <c r="L242" s="66" t="str">
        <f t="shared" si="1"/>
        <v/>
      </c>
      <c r="M242" s="77"/>
      <c r="N242" s="78"/>
      <c r="O242" s="66" t="str">
        <f>IF(M242="","",
 IF(M242="عدم پاسخ","بدون پاسخ",
 IF(L242="","اطلاعات ناقص",
 IF(L242&lt;=DATA!$M$1,"رعایت شده","رعایت نشده"))))</f>
        <v/>
      </c>
      <c r="P242" s="79"/>
      <c r="Q242" s="77"/>
      <c r="R242" s="79"/>
      <c r="S242" s="79"/>
      <c r="T242" s="78"/>
      <c r="U242" s="80"/>
      <c r="V242" s="78"/>
      <c r="W242" s="77" t="str">
        <f t="array" ref="W242">IF(D242="","",_xlfn.XLOOKUP(D242,DATA!B:B,DATA!L:L,""))</f>
        <v/>
      </c>
      <c r="X242" s="78" t="str">
        <f t="array" ref="X242">IF(F242="","",_xlfn.XLOOKUP(F242,DATA!B:B,DATA!L:L,""))</f>
        <v/>
      </c>
    </row>
    <row r="243">
      <c r="A243" s="81"/>
      <c r="B243" s="79"/>
      <c r="C243" s="57" t="str">
        <f t="array" ref="C243">iferror(_xlfn.XLOOKUP(D243,DATA!B:B,DATA!A:A),"")</f>
        <v/>
      </c>
      <c r="D243" s="82"/>
      <c r="E243" s="61" t="str">
        <f t="array" ref="E243">iferror(_xlfn.XLOOKUP(F243,DATA!B:B,DATA!A:A),"")</f>
        <v/>
      </c>
      <c r="F243" s="83"/>
      <c r="G243" s="78"/>
      <c r="H243" s="64" t="str">
        <f t="array" ref="H243">_xlfn.XLOOKUP(G243,DATA!D:D,DATA!E:E,"")</f>
        <v/>
      </c>
      <c r="I243" s="84"/>
      <c r="J243" s="23"/>
      <c r="K243" s="23"/>
      <c r="L243" s="66" t="str">
        <f t="shared" si="1"/>
        <v/>
      </c>
      <c r="M243" s="77"/>
      <c r="N243" s="78"/>
      <c r="O243" s="66" t="str">
        <f>IF(M243="","",
 IF(M243="عدم پاسخ","بدون پاسخ",
 IF(L243="","اطلاعات ناقص",
 IF(L243&lt;=DATA!$M$1,"رعایت شده","رعایت نشده"))))</f>
        <v/>
      </c>
      <c r="P243" s="79"/>
      <c r="Q243" s="77"/>
      <c r="R243" s="79"/>
      <c r="S243" s="79"/>
      <c r="T243" s="78"/>
      <c r="U243" s="80"/>
      <c r="V243" s="78"/>
      <c r="W243" s="77" t="str">
        <f t="array" ref="W243">IF(D243="","",_xlfn.XLOOKUP(D243,DATA!B:B,DATA!L:L,""))</f>
        <v/>
      </c>
      <c r="X243" s="78" t="str">
        <f t="array" ref="X243">IF(F243="","",_xlfn.XLOOKUP(F243,DATA!B:B,DATA!L:L,""))</f>
        <v/>
      </c>
    </row>
    <row r="244">
      <c r="A244" s="81"/>
      <c r="B244" s="79"/>
      <c r="C244" s="57" t="str">
        <f t="array" ref="C244">iferror(_xlfn.XLOOKUP(D244,DATA!B:B,DATA!A:A),"")</f>
        <v/>
      </c>
      <c r="D244" s="82"/>
      <c r="E244" s="61" t="str">
        <f t="array" ref="E244">iferror(_xlfn.XLOOKUP(F244,DATA!B:B,DATA!A:A),"")</f>
        <v/>
      </c>
      <c r="F244" s="83"/>
      <c r="G244" s="78"/>
      <c r="H244" s="64" t="str">
        <f t="array" ref="H244">_xlfn.XLOOKUP(G244,DATA!D:D,DATA!E:E,"")</f>
        <v/>
      </c>
      <c r="I244" s="84"/>
      <c r="J244" s="23"/>
      <c r="K244" s="23"/>
      <c r="L244" s="66" t="str">
        <f t="shared" si="1"/>
        <v/>
      </c>
      <c r="M244" s="77"/>
      <c r="N244" s="78"/>
      <c r="O244" s="66" t="str">
        <f>IF(M244="","",
 IF(M244="عدم پاسخ","بدون پاسخ",
 IF(L244="","اطلاعات ناقص",
 IF(L244&lt;=DATA!$M$1,"رعایت شده","رعایت نشده"))))</f>
        <v/>
      </c>
      <c r="P244" s="79"/>
      <c r="Q244" s="77"/>
      <c r="R244" s="79"/>
      <c r="S244" s="79"/>
      <c r="T244" s="78"/>
      <c r="U244" s="80"/>
      <c r="V244" s="78"/>
      <c r="W244" s="77" t="str">
        <f t="array" ref="W244">IF(D244="","",_xlfn.XLOOKUP(D244,DATA!B:B,DATA!L:L,""))</f>
        <v/>
      </c>
      <c r="X244" s="78" t="str">
        <f t="array" ref="X244">IF(F244="","",_xlfn.XLOOKUP(F244,DATA!B:B,DATA!L:L,""))</f>
        <v/>
      </c>
    </row>
    <row r="245">
      <c r="A245" s="81"/>
      <c r="B245" s="79"/>
      <c r="C245" s="57" t="str">
        <f t="array" ref="C245">iferror(_xlfn.XLOOKUP(D245,DATA!B:B,DATA!A:A),"")</f>
        <v/>
      </c>
      <c r="D245" s="82"/>
      <c r="E245" s="61" t="str">
        <f t="array" ref="E245">iferror(_xlfn.XLOOKUP(F245,DATA!B:B,DATA!A:A),"")</f>
        <v/>
      </c>
      <c r="F245" s="83"/>
      <c r="G245" s="78"/>
      <c r="H245" s="64" t="str">
        <f t="array" ref="H245">_xlfn.XLOOKUP(G245,DATA!D:D,DATA!E:E,"")</f>
        <v/>
      </c>
      <c r="I245" s="84"/>
      <c r="J245" s="23"/>
      <c r="K245" s="23"/>
      <c r="L245" s="66" t="str">
        <f t="shared" si="1"/>
        <v/>
      </c>
      <c r="M245" s="77"/>
      <c r="N245" s="78"/>
      <c r="O245" s="66" t="str">
        <f>IF(M245="","",
 IF(M245="عدم پاسخ","بدون پاسخ",
 IF(L245="","اطلاعات ناقص",
 IF(L245&lt;=DATA!$M$1,"رعایت شده","رعایت نشده"))))</f>
        <v/>
      </c>
      <c r="P245" s="79"/>
      <c r="Q245" s="77"/>
      <c r="R245" s="79"/>
      <c r="S245" s="79"/>
      <c r="T245" s="78"/>
      <c r="U245" s="80"/>
      <c r="V245" s="78"/>
      <c r="W245" s="77" t="str">
        <f t="array" ref="W245">IF(D245="","",_xlfn.XLOOKUP(D245,DATA!B:B,DATA!L:L,""))</f>
        <v/>
      </c>
      <c r="X245" s="78" t="str">
        <f t="array" ref="X245">IF(F245="","",_xlfn.XLOOKUP(F245,DATA!B:B,DATA!L:L,""))</f>
        <v/>
      </c>
    </row>
    <row r="246">
      <c r="A246" s="81"/>
      <c r="B246" s="79"/>
      <c r="C246" s="57" t="str">
        <f t="array" ref="C246">iferror(_xlfn.XLOOKUP(D246,DATA!B:B,DATA!A:A),"")</f>
        <v/>
      </c>
      <c r="D246" s="82"/>
      <c r="E246" s="61" t="str">
        <f t="array" ref="E246">iferror(_xlfn.XLOOKUP(F246,DATA!B:B,DATA!A:A),"")</f>
        <v/>
      </c>
      <c r="F246" s="83"/>
      <c r="G246" s="78"/>
      <c r="H246" s="64" t="str">
        <f t="array" ref="H246">_xlfn.XLOOKUP(G246,DATA!D:D,DATA!E:E,"")</f>
        <v/>
      </c>
      <c r="I246" s="84"/>
      <c r="J246" s="23"/>
      <c r="K246" s="23"/>
      <c r="L246" s="66" t="str">
        <f t="shared" si="1"/>
        <v/>
      </c>
      <c r="M246" s="77"/>
      <c r="N246" s="78"/>
      <c r="O246" s="66" t="str">
        <f>IF(M246="","",
 IF(M246="عدم پاسخ","بدون پاسخ",
 IF(L246="","اطلاعات ناقص",
 IF(L246&lt;=DATA!$M$1,"رعایت شده","رعایت نشده"))))</f>
        <v/>
      </c>
      <c r="P246" s="79"/>
      <c r="Q246" s="77"/>
      <c r="R246" s="79"/>
      <c r="S246" s="79"/>
      <c r="T246" s="78"/>
      <c r="U246" s="80"/>
      <c r="V246" s="78"/>
      <c r="W246" s="77" t="str">
        <f t="array" ref="W246">IF(D246="","",_xlfn.XLOOKUP(D246,DATA!B:B,DATA!L:L,""))</f>
        <v/>
      </c>
      <c r="X246" s="78" t="str">
        <f t="array" ref="X246">IF(F246="","",_xlfn.XLOOKUP(F246,DATA!B:B,DATA!L:L,""))</f>
        <v/>
      </c>
    </row>
    <row r="247">
      <c r="A247" s="81"/>
      <c r="B247" s="79"/>
      <c r="C247" s="57" t="str">
        <f t="array" ref="C247">iferror(_xlfn.XLOOKUP(D247,DATA!B:B,DATA!A:A),"")</f>
        <v/>
      </c>
      <c r="D247" s="82"/>
      <c r="E247" s="61" t="str">
        <f t="array" ref="E247">iferror(_xlfn.XLOOKUP(F247,DATA!B:B,DATA!A:A),"")</f>
        <v/>
      </c>
      <c r="F247" s="83"/>
      <c r="G247" s="78"/>
      <c r="H247" s="64" t="str">
        <f t="array" ref="H247">_xlfn.XLOOKUP(G247,DATA!D:D,DATA!E:E,"")</f>
        <v/>
      </c>
      <c r="I247" s="84"/>
      <c r="J247" s="23"/>
      <c r="K247" s="23"/>
      <c r="L247" s="66" t="str">
        <f t="shared" si="1"/>
        <v/>
      </c>
      <c r="M247" s="77"/>
      <c r="N247" s="78"/>
      <c r="O247" s="66" t="str">
        <f>IF(M247="","",
 IF(M247="عدم پاسخ","بدون پاسخ",
 IF(L247="","اطلاعات ناقص",
 IF(L247&lt;=DATA!$M$1,"رعایت شده","رعایت نشده"))))</f>
        <v/>
      </c>
      <c r="P247" s="79"/>
      <c r="Q247" s="77"/>
      <c r="R247" s="79"/>
      <c r="S247" s="79"/>
      <c r="T247" s="78"/>
      <c r="U247" s="80"/>
      <c r="V247" s="78"/>
      <c r="W247" s="77" t="str">
        <f t="array" ref="W247">IF(D247="","",_xlfn.XLOOKUP(D247,DATA!B:B,DATA!L:L,""))</f>
        <v/>
      </c>
      <c r="X247" s="78" t="str">
        <f t="array" ref="X247">IF(F247="","",_xlfn.XLOOKUP(F247,DATA!B:B,DATA!L:L,""))</f>
        <v/>
      </c>
    </row>
    <row r="248">
      <c r="A248" s="81"/>
      <c r="B248" s="79"/>
      <c r="C248" s="57" t="str">
        <f t="array" ref="C248">iferror(_xlfn.XLOOKUP(D248,DATA!B:B,DATA!A:A),"")</f>
        <v/>
      </c>
      <c r="D248" s="82"/>
      <c r="E248" s="61" t="str">
        <f t="array" ref="E248">iferror(_xlfn.XLOOKUP(F248,DATA!B:B,DATA!A:A),"")</f>
        <v/>
      </c>
      <c r="F248" s="83"/>
      <c r="G248" s="78"/>
      <c r="H248" s="64" t="str">
        <f t="array" ref="H248">_xlfn.XLOOKUP(G248,DATA!D:D,DATA!E:E,"")</f>
        <v/>
      </c>
      <c r="I248" s="84"/>
      <c r="J248" s="23"/>
      <c r="K248" s="23"/>
      <c r="L248" s="66" t="str">
        <f t="shared" si="1"/>
        <v/>
      </c>
      <c r="M248" s="77"/>
      <c r="N248" s="78"/>
      <c r="O248" s="66" t="str">
        <f>IF(M248="","",
 IF(M248="عدم پاسخ","بدون پاسخ",
 IF(L248="","اطلاعات ناقص",
 IF(L248&lt;=DATA!$M$1,"رعایت شده","رعایت نشده"))))</f>
        <v/>
      </c>
      <c r="P248" s="79"/>
      <c r="Q248" s="77"/>
      <c r="R248" s="79"/>
      <c r="S248" s="79"/>
      <c r="T248" s="78"/>
      <c r="U248" s="80"/>
      <c r="V248" s="78"/>
      <c r="W248" s="77" t="str">
        <f t="array" ref="W248">IF(D248="","",_xlfn.XLOOKUP(D248,DATA!B:B,DATA!L:L,""))</f>
        <v/>
      </c>
      <c r="X248" s="78" t="str">
        <f t="array" ref="X248">IF(F248="","",_xlfn.XLOOKUP(F248,DATA!B:B,DATA!L:L,""))</f>
        <v/>
      </c>
    </row>
    <row r="249">
      <c r="A249" s="81"/>
      <c r="B249" s="79"/>
      <c r="C249" s="57" t="str">
        <f t="array" ref="C249">iferror(_xlfn.XLOOKUP(D249,DATA!B:B,DATA!A:A),"")</f>
        <v/>
      </c>
      <c r="D249" s="82"/>
      <c r="E249" s="61" t="str">
        <f t="array" ref="E249">iferror(_xlfn.XLOOKUP(F249,DATA!B:B,DATA!A:A),"")</f>
        <v/>
      </c>
      <c r="F249" s="83"/>
      <c r="G249" s="78"/>
      <c r="H249" s="64" t="str">
        <f t="array" ref="H249">_xlfn.XLOOKUP(G249,DATA!D:D,DATA!E:E,"")</f>
        <v/>
      </c>
      <c r="I249" s="84"/>
      <c r="J249" s="23"/>
      <c r="K249" s="23"/>
      <c r="L249" s="66" t="str">
        <f t="shared" si="1"/>
        <v/>
      </c>
      <c r="M249" s="77"/>
      <c r="N249" s="78"/>
      <c r="O249" s="66" t="str">
        <f>IF(M249="","",
 IF(M249="عدم پاسخ","بدون پاسخ",
 IF(L249="","اطلاعات ناقص",
 IF(L249&lt;=DATA!$M$1,"رعایت شده","رعایت نشده"))))</f>
        <v/>
      </c>
      <c r="P249" s="79"/>
      <c r="Q249" s="77"/>
      <c r="R249" s="79"/>
      <c r="S249" s="79"/>
      <c r="T249" s="78"/>
      <c r="U249" s="80"/>
      <c r="V249" s="78"/>
      <c r="W249" s="77" t="str">
        <f t="array" ref="W249">IF(D249="","",_xlfn.XLOOKUP(D249,DATA!B:B,DATA!L:L,""))</f>
        <v/>
      </c>
      <c r="X249" s="78" t="str">
        <f t="array" ref="X249">IF(F249="","",_xlfn.XLOOKUP(F249,DATA!B:B,DATA!L:L,""))</f>
        <v/>
      </c>
    </row>
    <row r="250">
      <c r="A250" s="81"/>
      <c r="B250" s="79"/>
      <c r="C250" s="57" t="str">
        <f t="array" ref="C250">iferror(_xlfn.XLOOKUP(D250,DATA!B:B,DATA!A:A),"")</f>
        <v/>
      </c>
      <c r="D250" s="82"/>
      <c r="E250" s="61" t="str">
        <f t="array" ref="E250">iferror(_xlfn.XLOOKUP(F250,DATA!B:B,DATA!A:A),"")</f>
        <v/>
      </c>
      <c r="F250" s="83"/>
      <c r="G250" s="78"/>
      <c r="H250" s="64" t="str">
        <f t="array" ref="H250">_xlfn.XLOOKUP(G250,DATA!D:D,DATA!E:E,"")</f>
        <v/>
      </c>
      <c r="I250" s="84"/>
      <c r="J250" s="23"/>
      <c r="K250" s="23"/>
      <c r="L250" s="66" t="str">
        <f t="shared" si="1"/>
        <v/>
      </c>
      <c r="M250" s="77"/>
      <c r="N250" s="78"/>
      <c r="O250" s="66" t="str">
        <f>IF(M250="","",
 IF(M250="عدم پاسخ","بدون پاسخ",
 IF(L250="","اطلاعات ناقص",
 IF(L250&lt;=DATA!$M$1,"رعایت شده","رعایت نشده"))))</f>
        <v/>
      </c>
      <c r="P250" s="79"/>
      <c r="Q250" s="77"/>
      <c r="R250" s="79"/>
      <c r="S250" s="79"/>
      <c r="T250" s="78"/>
      <c r="U250" s="80"/>
      <c r="V250" s="78"/>
      <c r="W250" s="77" t="str">
        <f t="array" ref="W250">IF(D250="","",_xlfn.XLOOKUP(D250,DATA!B:B,DATA!L:L,""))</f>
        <v/>
      </c>
      <c r="X250" s="78" t="str">
        <f t="array" ref="X250">IF(F250="","",_xlfn.XLOOKUP(F250,DATA!B:B,DATA!L:L,""))</f>
        <v/>
      </c>
    </row>
    <row r="251">
      <c r="A251" s="81"/>
      <c r="B251" s="79"/>
      <c r="C251" s="57" t="str">
        <f t="array" ref="C251">iferror(_xlfn.XLOOKUP(D251,DATA!B:B,DATA!A:A),"")</f>
        <v/>
      </c>
      <c r="D251" s="82"/>
      <c r="E251" s="61" t="str">
        <f t="array" ref="E251">iferror(_xlfn.XLOOKUP(F251,DATA!B:B,DATA!A:A),"")</f>
        <v/>
      </c>
      <c r="F251" s="83"/>
      <c r="G251" s="78"/>
      <c r="H251" s="64" t="str">
        <f t="array" ref="H251">_xlfn.XLOOKUP(G251,DATA!D:D,DATA!E:E,"")</f>
        <v/>
      </c>
      <c r="I251" s="84"/>
      <c r="J251" s="23"/>
      <c r="K251" s="23"/>
      <c r="L251" s="66" t="str">
        <f t="shared" si="1"/>
        <v/>
      </c>
      <c r="M251" s="77"/>
      <c r="N251" s="78"/>
      <c r="O251" s="66" t="str">
        <f>IF(M251="","",
 IF(M251="عدم پاسخ","بدون پاسخ",
 IF(L251="","اطلاعات ناقص",
 IF(L251&lt;=DATA!$M$1,"رعایت شده","رعایت نشده"))))</f>
        <v/>
      </c>
      <c r="P251" s="79"/>
      <c r="Q251" s="77"/>
      <c r="R251" s="79"/>
      <c r="S251" s="79"/>
      <c r="T251" s="78"/>
      <c r="U251" s="80"/>
      <c r="V251" s="78"/>
      <c r="W251" s="77" t="str">
        <f t="array" ref="W251">IF(D251="","",_xlfn.XLOOKUP(D251,DATA!B:B,DATA!L:L,""))</f>
        <v/>
      </c>
      <c r="X251" s="78" t="str">
        <f t="array" ref="X251">IF(F251="","",_xlfn.XLOOKUP(F251,DATA!B:B,DATA!L:L,""))</f>
        <v/>
      </c>
    </row>
    <row r="252">
      <c r="A252" s="81"/>
      <c r="B252" s="79"/>
      <c r="C252" s="57" t="str">
        <f t="array" ref="C252">iferror(_xlfn.XLOOKUP(D252,DATA!B:B,DATA!A:A),"")</f>
        <v/>
      </c>
      <c r="D252" s="82"/>
      <c r="E252" s="61" t="str">
        <f t="array" ref="E252">iferror(_xlfn.XLOOKUP(F252,DATA!B:B,DATA!A:A),"")</f>
        <v/>
      </c>
      <c r="F252" s="83"/>
      <c r="G252" s="78"/>
      <c r="H252" s="64" t="str">
        <f t="array" ref="H252">_xlfn.XLOOKUP(G252,DATA!D:D,DATA!E:E,"")</f>
        <v/>
      </c>
      <c r="I252" s="84"/>
      <c r="J252" s="23"/>
      <c r="K252" s="23"/>
      <c r="L252" s="66" t="str">
        <f t="shared" si="1"/>
        <v/>
      </c>
      <c r="M252" s="77"/>
      <c r="N252" s="78"/>
      <c r="O252" s="66" t="str">
        <f>IF(M252="","",
 IF(M252="عدم پاسخ","بدون پاسخ",
 IF(L252="","اطلاعات ناقص",
 IF(L252&lt;=DATA!$M$1,"رعایت شده","رعایت نشده"))))</f>
        <v/>
      </c>
      <c r="P252" s="79"/>
      <c r="Q252" s="77"/>
      <c r="R252" s="79"/>
      <c r="S252" s="79"/>
      <c r="T252" s="78"/>
      <c r="U252" s="80"/>
      <c r="V252" s="78"/>
      <c r="W252" s="77" t="str">
        <f t="array" ref="W252">IF(D252="","",_xlfn.XLOOKUP(D252,DATA!B:B,DATA!L:L,""))</f>
        <v/>
      </c>
      <c r="X252" s="78" t="str">
        <f t="array" ref="X252">IF(F252="","",_xlfn.XLOOKUP(F252,DATA!B:B,DATA!L:L,""))</f>
        <v/>
      </c>
    </row>
    <row r="253">
      <c r="A253" s="81"/>
      <c r="B253" s="79"/>
      <c r="C253" s="57" t="str">
        <f t="array" ref="C253">iferror(_xlfn.XLOOKUP(D253,DATA!B:B,DATA!A:A),"")</f>
        <v/>
      </c>
      <c r="D253" s="82"/>
      <c r="E253" s="61" t="str">
        <f t="array" ref="E253">iferror(_xlfn.XLOOKUP(F253,DATA!B:B,DATA!A:A),"")</f>
        <v/>
      </c>
      <c r="F253" s="83"/>
      <c r="G253" s="78"/>
      <c r="H253" s="64" t="str">
        <f t="array" ref="H253">_xlfn.XLOOKUP(G253,DATA!D:D,DATA!E:E,"")</f>
        <v/>
      </c>
      <c r="I253" s="84"/>
      <c r="J253" s="23"/>
      <c r="K253" s="23"/>
      <c r="L253" s="66" t="str">
        <f t="shared" si="1"/>
        <v/>
      </c>
      <c r="M253" s="77"/>
      <c r="N253" s="78"/>
      <c r="O253" s="66" t="str">
        <f>IF(M253="","",
 IF(M253="عدم پاسخ","بدون پاسخ",
 IF(L253="","اطلاعات ناقص",
 IF(L253&lt;=DATA!$M$1,"رعایت شده","رعایت نشده"))))</f>
        <v/>
      </c>
      <c r="P253" s="79"/>
      <c r="Q253" s="77"/>
      <c r="R253" s="79"/>
      <c r="S253" s="79"/>
      <c r="T253" s="78"/>
      <c r="U253" s="80"/>
      <c r="V253" s="78"/>
      <c r="W253" s="77" t="str">
        <f t="array" ref="W253">IF(D253="","",_xlfn.XLOOKUP(D253,DATA!B:B,DATA!L:L,""))</f>
        <v/>
      </c>
      <c r="X253" s="78" t="str">
        <f t="array" ref="X253">IF(F253="","",_xlfn.XLOOKUP(F253,DATA!B:B,DATA!L:L,""))</f>
        <v/>
      </c>
    </row>
    <row r="254">
      <c r="A254" s="81"/>
      <c r="B254" s="79"/>
      <c r="C254" s="57" t="str">
        <f t="array" ref="C254">iferror(_xlfn.XLOOKUP(D254,DATA!B:B,DATA!A:A),"")</f>
        <v/>
      </c>
      <c r="D254" s="82"/>
      <c r="E254" s="61" t="str">
        <f t="array" ref="E254">iferror(_xlfn.XLOOKUP(F254,DATA!B:B,DATA!A:A),"")</f>
        <v/>
      </c>
      <c r="F254" s="83"/>
      <c r="G254" s="78"/>
      <c r="H254" s="64" t="str">
        <f t="array" ref="H254">_xlfn.XLOOKUP(G254,DATA!D:D,DATA!E:E,"")</f>
        <v/>
      </c>
      <c r="I254" s="84"/>
      <c r="J254" s="23"/>
      <c r="K254" s="23"/>
      <c r="L254" s="66" t="str">
        <f t="shared" si="1"/>
        <v/>
      </c>
      <c r="M254" s="77"/>
      <c r="N254" s="78"/>
      <c r="O254" s="66" t="str">
        <f>IF(M254="","",
 IF(M254="عدم پاسخ","بدون پاسخ",
 IF(L254="","اطلاعات ناقص",
 IF(L254&lt;=DATA!$M$1,"رعایت شده","رعایت نشده"))))</f>
        <v/>
      </c>
      <c r="P254" s="79"/>
      <c r="Q254" s="77"/>
      <c r="R254" s="79"/>
      <c r="S254" s="79"/>
      <c r="T254" s="78"/>
      <c r="U254" s="80"/>
      <c r="V254" s="78"/>
      <c r="W254" s="77" t="str">
        <f t="array" ref="W254">IF(D254="","",_xlfn.XLOOKUP(D254,DATA!B:B,DATA!L:L,""))</f>
        <v/>
      </c>
      <c r="X254" s="78" t="str">
        <f t="array" ref="X254">IF(F254="","",_xlfn.XLOOKUP(F254,DATA!B:B,DATA!L:L,""))</f>
        <v/>
      </c>
    </row>
    <row r="255">
      <c r="A255" s="81"/>
      <c r="B255" s="79"/>
      <c r="C255" s="57" t="str">
        <f t="array" ref="C255">iferror(_xlfn.XLOOKUP(D255,DATA!B:B,DATA!A:A),"")</f>
        <v/>
      </c>
      <c r="D255" s="82"/>
      <c r="E255" s="61" t="str">
        <f t="array" ref="E255">iferror(_xlfn.XLOOKUP(F255,DATA!B:B,DATA!A:A),"")</f>
        <v/>
      </c>
      <c r="F255" s="83"/>
      <c r="G255" s="78"/>
      <c r="H255" s="64" t="str">
        <f t="array" ref="H255">_xlfn.XLOOKUP(G255,DATA!D:D,DATA!E:E,"")</f>
        <v/>
      </c>
      <c r="I255" s="84"/>
      <c r="J255" s="23"/>
      <c r="K255" s="23"/>
      <c r="L255" s="66" t="str">
        <f t="shared" si="1"/>
        <v/>
      </c>
      <c r="M255" s="77"/>
      <c r="N255" s="78"/>
      <c r="O255" s="66" t="str">
        <f>IF(M255="","",
 IF(M255="عدم پاسخ","بدون پاسخ",
 IF(L255="","اطلاعات ناقص",
 IF(L255&lt;=DATA!$M$1,"رعایت شده","رعایت نشده"))))</f>
        <v/>
      </c>
      <c r="P255" s="79"/>
      <c r="Q255" s="77"/>
      <c r="R255" s="79"/>
      <c r="S255" s="79"/>
      <c r="T255" s="78"/>
      <c r="U255" s="80"/>
      <c r="V255" s="78"/>
      <c r="W255" s="77" t="str">
        <f t="array" ref="W255">IF(D255="","",_xlfn.XLOOKUP(D255,DATA!B:B,DATA!L:L,""))</f>
        <v/>
      </c>
      <c r="X255" s="78" t="str">
        <f t="array" ref="X255">IF(F255="","",_xlfn.XLOOKUP(F255,DATA!B:B,DATA!L:L,""))</f>
        <v/>
      </c>
    </row>
    <row r="256">
      <c r="A256" s="81"/>
      <c r="B256" s="79"/>
      <c r="C256" s="57" t="str">
        <f t="array" ref="C256">iferror(_xlfn.XLOOKUP(D256,DATA!B:B,DATA!A:A),"")</f>
        <v/>
      </c>
      <c r="D256" s="82"/>
      <c r="E256" s="61" t="str">
        <f t="array" ref="E256">iferror(_xlfn.XLOOKUP(F256,DATA!B:B,DATA!A:A),"")</f>
        <v/>
      </c>
      <c r="F256" s="83"/>
      <c r="G256" s="78"/>
      <c r="H256" s="64" t="str">
        <f t="array" ref="H256">_xlfn.XLOOKUP(G256,DATA!D:D,DATA!E:E,"")</f>
        <v/>
      </c>
      <c r="I256" s="84"/>
      <c r="J256" s="23"/>
      <c r="K256" s="23"/>
      <c r="L256" s="66" t="str">
        <f t="shared" si="1"/>
        <v/>
      </c>
      <c r="M256" s="77"/>
      <c r="N256" s="78"/>
      <c r="O256" s="66" t="str">
        <f>IF(M256="","",
 IF(M256="عدم پاسخ","بدون پاسخ",
 IF(L256="","اطلاعات ناقص",
 IF(L256&lt;=DATA!$M$1,"رعایت شده","رعایت نشده"))))</f>
        <v/>
      </c>
      <c r="P256" s="79"/>
      <c r="Q256" s="77"/>
      <c r="R256" s="79"/>
      <c r="S256" s="79"/>
      <c r="T256" s="78"/>
      <c r="U256" s="80"/>
      <c r="V256" s="78"/>
      <c r="W256" s="77" t="str">
        <f t="array" ref="W256">IF(D256="","",_xlfn.XLOOKUP(D256,DATA!B:B,DATA!L:L,""))</f>
        <v/>
      </c>
      <c r="X256" s="78" t="str">
        <f t="array" ref="X256">IF(F256="","",_xlfn.XLOOKUP(F256,DATA!B:B,DATA!L:L,""))</f>
        <v/>
      </c>
    </row>
    <row r="257">
      <c r="A257" s="81"/>
      <c r="B257" s="79"/>
      <c r="C257" s="57" t="str">
        <f t="array" ref="C257">iferror(_xlfn.XLOOKUP(D257,DATA!B:B,DATA!A:A),"")</f>
        <v/>
      </c>
      <c r="D257" s="82"/>
      <c r="E257" s="61" t="str">
        <f t="array" ref="E257">iferror(_xlfn.XLOOKUP(F257,DATA!B:B,DATA!A:A),"")</f>
        <v/>
      </c>
      <c r="F257" s="83"/>
      <c r="G257" s="78"/>
      <c r="H257" s="64" t="str">
        <f t="array" ref="H257">_xlfn.XLOOKUP(G257,DATA!D:D,DATA!E:E,"")</f>
        <v/>
      </c>
      <c r="I257" s="84"/>
      <c r="J257" s="23"/>
      <c r="K257" s="23"/>
      <c r="L257" s="66" t="str">
        <f t="shared" si="1"/>
        <v/>
      </c>
      <c r="M257" s="77"/>
      <c r="N257" s="78"/>
      <c r="O257" s="66" t="str">
        <f>IF(M257="","",
 IF(M257="عدم پاسخ","بدون پاسخ",
 IF(L257="","اطلاعات ناقص",
 IF(L257&lt;=DATA!$M$1,"رعایت شده","رعایت نشده"))))</f>
        <v/>
      </c>
      <c r="P257" s="79"/>
      <c r="Q257" s="77"/>
      <c r="R257" s="79"/>
      <c r="S257" s="79"/>
      <c r="T257" s="78"/>
      <c r="U257" s="80"/>
      <c r="V257" s="78"/>
      <c r="W257" s="77" t="str">
        <f t="array" ref="W257">IF(D257="","",_xlfn.XLOOKUP(D257,DATA!B:B,DATA!L:L,""))</f>
        <v/>
      </c>
      <c r="X257" s="78" t="str">
        <f t="array" ref="X257">IF(F257="","",_xlfn.XLOOKUP(F257,DATA!B:B,DATA!L:L,""))</f>
        <v/>
      </c>
    </row>
    <row r="258">
      <c r="A258" s="81"/>
      <c r="B258" s="79"/>
      <c r="C258" s="57" t="str">
        <f t="array" ref="C258">iferror(_xlfn.XLOOKUP(D258,DATA!B:B,DATA!A:A),"")</f>
        <v/>
      </c>
      <c r="D258" s="82"/>
      <c r="E258" s="61" t="str">
        <f t="array" ref="E258">iferror(_xlfn.XLOOKUP(F258,DATA!B:B,DATA!A:A),"")</f>
        <v/>
      </c>
      <c r="F258" s="83"/>
      <c r="G258" s="78"/>
      <c r="H258" s="64" t="str">
        <f t="array" ref="H258">_xlfn.XLOOKUP(G258,DATA!D:D,DATA!E:E,"")</f>
        <v/>
      </c>
      <c r="I258" s="84"/>
      <c r="J258" s="23"/>
      <c r="K258" s="23"/>
      <c r="L258" s="66" t="str">
        <f t="shared" si="1"/>
        <v/>
      </c>
      <c r="M258" s="77"/>
      <c r="N258" s="78"/>
      <c r="O258" s="66" t="str">
        <f>IF(M258="","",
 IF(M258="عدم پاسخ","بدون پاسخ",
 IF(L258="","اطلاعات ناقص",
 IF(L258&lt;=DATA!$M$1,"رعایت شده","رعایت نشده"))))</f>
        <v/>
      </c>
      <c r="P258" s="79"/>
      <c r="Q258" s="77"/>
      <c r="R258" s="79"/>
      <c r="S258" s="79"/>
      <c r="T258" s="78"/>
      <c r="U258" s="80"/>
      <c r="V258" s="78"/>
      <c r="W258" s="77" t="str">
        <f t="array" ref="W258">IF(D258="","",_xlfn.XLOOKUP(D258,DATA!B:B,DATA!L:L,""))</f>
        <v/>
      </c>
      <c r="X258" s="78" t="str">
        <f t="array" ref="X258">IF(F258="","",_xlfn.XLOOKUP(F258,DATA!B:B,DATA!L:L,""))</f>
        <v/>
      </c>
    </row>
    <row r="259">
      <c r="A259" s="81"/>
      <c r="B259" s="79"/>
      <c r="C259" s="57" t="str">
        <f t="array" ref="C259">iferror(_xlfn.XLOOKUP(D259,DATA!B:B,DATA!A:A),"")</f>
        <v/>
      </c>
      <c r="D259" s="82"/>
      <c r="E259" s="61" t="str">
        <f t="array" ref="E259">iferror(_xlfn.XLOOKUP(F259,DATA!B:B,DATA!A:A),"")</f>
        <v/>
      </c>
      <c r="F259" s="83"/>
      <c r="G259" s="78"/>
      <c r="H259" s="64" t="str">
        <f t="array" ref="H259">_xlfn.XLOOKUP(G259,DATA!D:D,DATA!E:E,"")</f>
        <v/>
      </c>
      <c r="I259" s="84"/>
      <c r="J259" s="23"/>
      <c r="K259" s="23"/>
      <c r="L259" s="66" t="str">
        <f t="shared" si="1"/>
        <v/>
      </c>
      <c r="M259" s="77"/>
      <c r="N259" s="78"/>
      <c r="O259" s="66" t="str">
        <f>IF(M259="","",
 IF(M259="عدم پاسخ","بدون پاسخ",
 IF(L259="","اطلاعات ناقص",
 IF(L259&lt;=DATA!$M$1,"رعایت شده","رعایت نشده"))))</f>
        <v/>
      </c>
      <c r="P259" s="79"/>
      <c r="Q259" s="77"/>
      <c r="R259" s="79"/>
      <c r="S259" s="79"/>
      <c r="T259" s="78"/>
      <c r="U259" s="80"/>
      <c r="V259" s="78"/>
      <c r="W259" s="77" t="str">
        <f t="array" ref="W259">IF(D259="","",_xlfn.XLOOKUP(D259,DATA!B:B,DATA!L:L,""))</f>
        <v/>
      </c>
      <c r="X259" s="78" t="str">
        <f t="array" ref="X259">IF(F259="","",_xlfn.XLOOKUP(F259,DATA!B:B,DATA!L:L,""))</f>
        <v/>
      </c>
    </row>
    <row r="260">
      <c r="A260" s="81"/>
      <c r="B260" s="79"/>
      <c r="C260" s="57" t="str">
        <f t="array" ref="C260">iferror(_xlfn.XLOOKUP(D260,DATA!B:B,DATA!A:A),"")</f>
        <v/>
      </c>
      <c r="D260" s="82"/>
      <c r="E260" s="89"/>
      <c r="F260" s="83"/>
      <c r="G260" s="78"/>
      <c r="H260" s="64" t="str">
        <f t="array" ref="H260">_xlfn.XLOOKUP(G260,DATA!D:D,DATA!E:E,"")</f>
        <v/>
      </c>
      <c r="I260" s="84"/>
      <c r="J260" s="23"/>
      <c r="K260" s="23"/>
      <c r="L260" s="66" t="str">
        <f t="shared" si="1"/>
        <v/>
      </c>
      <c r="M260" s="77"/>
      <c r="N260" s="78"/>
      <c r="O260" s="66" t="str">
        <f>IF(M260="","",
 IF(M260="عدم پاسخ","بدون پاسخ",
 IF(L260="","اطلاعات ناقص",
 IF(L260&lt;=DATA!$M$1,"رعایت شده","رعایت نشده"))))</f>
        <v/>
      </c>
      <c r="P260" s="79"/>
      <c r="Q260" s="77"/>
      <c r="R260" s="79"/>
      <c r="S260" s="79"/>
      <c r="T260" s="78"/>
      <c r="U260" s="80"/>
      <c r="V260" s="78"/>
      <c r="W260" s="77" t="str">
        <f t="array" ref="W260">IF(D260="","",_xlfn.XLOOKUP(D260,DATA!B:B,DATA!L:L,""))</f>
        <v/>
      </c>
      <c r="X260" s="78" t="str">
        <f t="array" ref="X260">IF(F260="","",_xlfn.XLOOKUP(F260,DATA!B:B,DATA!L:L,""))</f>
        <v/>
      </c>
    </row>
    <row r="261">
      <c r="A261" s="81"/>
      <c r="B261" s="79"/>
      <c r="C261" s="57" t="str">
        <f t="array" ref="C261">iferror(_xlfn.XLOOKUP(D261,DATA!B:B,DATA!A:A),"")</f>
        <v/>
      </c>
      <c r="D261" s="82"/>
      <c r="E261" s="89"/>
      <c r="F261" s="83"/>
      <c r="G261" s="78"/>
      <c r="H261" s="64" t="str">
        <f t="array" ref="H261">_xlfn.XLOOKUP(G261,DATA!D:D,DATA!E:E,"")</f>
        <v/>
      </c>
      <c r="I261" s="84"/>
      <c r="J261" s="23"/>
      <c r="K261" s="23"/>
      <c r="L261" s="66" t="str">
        <f t="shared" si="1"/>
        <v/>
      </c>
      <c r="M261" s="77"/>
      <c r="N261" s="78"/>
      <c r="O261" s="66" t="str">
        <f>IF(M261="","",
 IF(M261="عدم پاسخ","بدون پاسخ",
 IF(L261="","اطلاعات ناقص",
 IF(L261&lt;=DATA!$M$1,"رعایت شده","رعایت نشده"))))</f>
        <v/>
      </c>
      <c r="P261" s="79"/>
      <c r="Q261" s="77"/>
      <c r="R261" s="79"/>
      <c r="S261" s="79"/>
      <c r="T261" s="78"/>
      <c r="U261" s="80"/>
      <c r="V261" s="78"/>
      <c r="W261" s="77" t="str">
        <f t="array" ref="W261">IF(D261="","",_xlfn.XLOOKUP(D261,DATA!B:B,DATA!L:L,""))</f>
        <v/>
      </c>
      <c r="X261" s="78" t="str">
        <f t="array" ref="X261">IF(F261="","",_xlfn.XLOOKUP(F261,DATA!B:B,DATA!L:L,""))</f>
        <v/>
      </c>
    </row>
    <row r="262">
      <c r="A262" s="81"/>
      <c r="B262" s="79"/>
      <c r="C262" s="57" t="str">
        <f t="array" ref="C262">iferror(_xlfn.XLOOKUP(D262,DATA!B:B,DATA!A:A),"")</f>
        <v/>
      </c>
      <c r="D262" s="82"/>
      <c r="E262" s="89"/>
      <c r="F262" s="83"/>
      <c r="G262" s="78"/>
      <c r="H262" s="64" t="str">
        <f t="array" ref="H262">_xlfn.XLOOKUP(G262,DATA!D:D,DATA!E:E,"")</f>
        <v/>
      </c>
      <c r="I262" s="84"/>
      <c r="J262" s="23"/>
      <c r="K262" s="23"/>
      <c r="L262" s="66" t="str">
        <f t="shared" si="1"/>
        <v/>
      </c>
      <c r="M262" s="77"/>
      <c r="N262" s="78"/>
      <c r="O262" s="66" t="str">
        <f>IF(M262="","",
 IF(M262="عدم پاسخ","بدون پاسخ",
 IF(L262="","اطلاعات ناقص",
 IF(L262&lt;=DATA!$M$1,"رعایت شده","رعایت نشده"))))</f>
        <v/>
      </c>
      <c r="P262" s="79"/>
      <c r="Q262" s="77"/>
      <c r="R262" s="79"/>
      <c r="S262" s="79"/>
      <c r="T262" s="78"/>
      <c r="U262" s="80"/>
      <c r="V262" s="78"/>
      <c r="W262" s="77" t="str">
        <f t="array" ref="W262">IF(D262="","",_xlfn.XLOOKUP(D262,DATA!B:B,DATA!L:L,""))</f>
        <v/>
      </c>
      <c r="X262" s="78" t="str">
        <f t="array" ref="X262">IF(F262="","",_xlfn.XLOOKUP(F262,DATA!B:B,DATA!L:L,""))</f>
        <v/>
      </c>
    </row>
    <row r="263">
      <c r="A263" s="81"/>
      <c r="B263" s="79"/>
      <c r="C263" s="57" t="str">
        <f t="array" ref="C263">iferror(_xlfn.XLOOKUP(D263,DATA!B:B,DATA!A:A),"")</f>
        <v/>
      </c>
      <c r="D263" s="82"/>
      <c r="E263" s="89"/>
      <c r="F263" s="83"/>
      <c r="G263" s="78"/>
      <c r="H263" s="64" t="str">
        <f t="array" ref="H263">_xlfn.XLOOKUP(G263,DATA!D:D,DATA!E:E,"")</f>
        <v/>
      </c>
      <c r="I263" s="84"/>
      <c r="J263" s="23"/>
      <c r="K263" s="23"/>
      <c r="L263" s="66" t="str">
        <f t="shared" si="1"/>
        <v/>
      </c>
      <c r="M263" s="77"/>
      <c r="N263" s="78"/>
      <c r="O263" s="66" t="str">
        <f>IF(M263="","",
 IF(M263="عدم پاسخ","بدون پاسخ",
 IF(L263="","اطلاعات ناقص",
 IF(L263&lt;=DATA!$M$1,"رعایت شده","رعایت نشده"))))</f>
        <v/>
      </c>
      <c r="P263" s="79"/>
      <c r="Q263" s="77"/>
      <c r="R263" s="79"/>
      <c r="S263" s="79"/>
      <c r="T263" s="78"/>
      <c r="U263" s="80"/>
      <c r="V263" s="78"/>
      <c r="W263" s="77" t="str">
        <f t="array" ref="W263">IF(D263="","",_xlfn.XLOOKUP(D263,DATA!B:B,DATA!L:L,""))</f>
        <v/>
      </c>
      <c r="X263" s="78" t="str">
        <f t="array" ref="X263">IF(F263="","",_xlfn.XLOOKUP(F263,DATA!B:B,DATA!L:L,""))</f>
        <v/>
      </c>
    </row>
    <row r="264">
      <c r="A264" s="81"/>
      <c r="B264" s="79"/>
      <c r="C264" s="57" t="str">
        <f t="array" ref="C264">iferror(_xlfn.XLOOKUP(D264,DATA!B:B,DATA!A:A),"")</f>
        <v/>
      </c>
      <c r="D264" s="82"/>
      <c r="E264" s="89"/>
      <c r="F264" s="83"/>
      <c r="G264" s="78"/>
      <c r="H264" s="64" t="str">
        <f t="array" ref="H264">_xlfn.XLOOKUP(G264,DATA!D:D,DATA!E:E,"")</f>
        <v/>
      </c>
      <c r="I264" s="84"/>
      <c r="J264" s="23"/>
      <c r="K264" s="23"/>
      <c r="L264" s="66" t="str">
        <f t="shared" si="1"/>
        <v/>
      </c>
      <c r="M264" s="77"/>
      <c r="N264" s="78"/>
      <c r="O264" s="66" t="str">
        <f>IF(M264="","",
 IF(M264="عدم پاسخ","بدون پاسخ",
 IF(L264="","اطلاعات ناقص",
 IF(L264&lt;=DATA!$M$1,"رعایت شده","رعایت نشده"))))</f>
        <v/>
      </c>
      <c r="P264" s="79"/>
      <c r="Q264" s="77"/>
      <c r="R264" s="79"/>
      <c r="S264" s="79"/>
      <c r="T264" s="78"/>
      <c r="U264" s="80"/>
      <c r="V264" s="78"/>
      <c r="W264" s="77" t="str">
        <f t="array" ref="W264">IF(D264="","",_xlfn.XLOOKUP(D264,DATA!B:B,DATA!L:L,""))</f>
        <v/>
      </c>
      <c r="X264" s="78" t="str">
        <f t="array" ref="X264">IF(F264="","",_xlfn.XLOOKUP(F264,DATA!B:B,DATA!L:L,""))</f>
        <v/>
      </c>
    </row>
    <row r="265">
      <c r="A265" s="81"/>
      <c r="B265" s="79"/>
      <c r="C265" s="57" t="str">
        <f t="array" ref="C265">iferror(_xlfn.XLOOKUP(D265,DATA!B:B,DATA!A:A),"")</f>
        <v/>
      </c>
      <c r="D265" s="82"/>
      <c r="E265" s="89"/>
      <c r="F265" s="83"/>
      <c r="G265" s="78"/>
      <c r="H265" s="64" t="str">
        <f t="array" ref="H265">_xlfn.XLOOKUP(G265,DATA!D:D,DATA!E:E,"")</f>
        <v/>
      </c>
      <c r="I265" s="84"/>
      <c r="J265" s="23"/>
      <c r="K265" s="23"/>
      <c r="L265" s="66" t="str">
        <f t="shared" si="1"/>
        <v/>
      </c>
      <c r="M265" s="77"/>
      <c r="N265" s="78"/>
      <c r="O265" s="66" t="str">
        <f>IF(M265="","",
 IF(M265="عدم پاسخ","بدون پاسخ",
 IF(L265="","اطلاعات ناقص",
 IF(L265&lt;=DATA!$M$1,"رعایت شده","رعایت نشده"))))</f>
        <v/>
      </c>
      <c r="P265" s="79"/>
      <c r="Q265" s="77"/>
      <c r="R265" s="79"/>
      <c r="S265" s="79"/>
      <c r="T265" s="78"/>
      <c r="U265" s="80"/>
      <c r="V265" s="78"/>
      <c r="W265" s="77" t="str">
        <f t="array" ref="W265">IF(D265="","",_xlfn.XLOOKUP(D265,DATA!B:B,DATA!L:L,""))</f>
        <v/>
      </c>
      <c r="X265" s="78" t="str">
        <f t="array" ref="X265">IF(F265="","",_xlfn.XLOOKUP(F265,DATA!B:B,DATA!L:L,""))</f>
        <v/>
      </c>
    </row>
    <row r="266">
      <c r="A266" s="81"/>
      <c r="B266" s="79"/>
      <c r="C266" s="57" t="str">
        <f t="array" ref="C266">iferror(_xlfn.XLOOKUP(D266,DATA!B:B,DATA!A:A),"")</f>
        <v/>
      </c>
      <c r="D266" s="82"/>
      <c r="E266" s="89"/>
      <c r="F266" s="83"/>
      <c r="G266" s="78"/>
      <c r="H266" s="64" t="str">
        <f t="array" ref="H266">_xlfn.XLOOKUP(G266,DATA!D:D,DATA!E:E,"")</f>
        <v/>
      </c>
      <c r="I266" s="84"/>
      <c r="J266" s="23"/>
      <c r="K266" s="23"/>
      <c r="L266" s="66" t="str">
        <f t="shared" si="1"/>
        <v/>
      </c>
      <c r="M266" s="77"/>
      <c r="N266" s="78"/>
      <c r="O266" s="66" t="str">
        <f>IF(M266="","",
 IF(M266="عدم پاسخ","بدون پاسخ",
 IF(L266="","اطلاعات ناقص",
 IF(L266&lt;=DATA!$M$1,"رعایت شده","رعایت نشده"))))</f>
        <v/>
      </c>
      <c r="P266" s="79"/>
      <c r="Q266" s="77"/>
      <c r="R266" s="79"/>
      <c r="S266" s="79"/>
      <c r="T266" s="78"/>
      <c r="U266" s="80"/>
      <c r="V266" s="78"/>
      <c r="W266" s="77" t="str">
        <f t="array" ref="W266">IF(D266="","",_xlfn.XLOOKUP(D266,DATA!B:B,DATA!L:L,""))</f>
        <v/>
      </c>
      <c r="X266" s="78" t="str">
        <f t="array" ref="X266">IF(F266="","",_xlfn.XLOOKUP(F266,DATA!B:B,DATA!L:L,""))</f>
        <v/>
      </c>
    </row>
    <row r="267">
      <c r="A267" s="81"/>
      <c r="B267" s="79"/>
      <c r="C267" s="57" t="str">
        <f t="array" ref="C267">iferror(_xlfn.XLOOKUP(D267,DATA!B:B,DATA!A:A),"")</f>
        <v/>
      </c>
      <c r="D267" s="82"/>
      <c r="E267" s="89"/>
      <c r="F267" s="83"/>
      <c r="G267" s="78"/>
      <c r="H267" s="64" t="str">
        <f t="array" ref="H267">_xlfn.XLOOKUP(G267,DATA!D:D,DATA!E:E,"")</f>
        <v/>
      </c>
      <c r="I267" s="84"/>
      <c r="J267" s="23"/>
      <c r="K267" s="23"/>
      <c r="L267" s="66" t="str">
        <f t="shared" si="1"/>
        <v/>
      </c>
      <c r="M267" s="77"/>
      <c r="N267" s="78"/>
      <c r="O267" s="66" t="str">
        <f>IF(M267="","",
 IF(M267="عدم پاسخ","بدون پاسخ",
 IF(L267="","اطلاعات ناقص",
 IF(L267&lt;=DATA!$M$1,"رعایت شده","رعایت نشده"))))</f>
        <v/>
      </c>
      <c r="P267" s="79"/>
      <c r="Q267" s="77"/>
      <c r="R267" s="79"/>
      <c r="S267" s="79"/>
      <c r="T267" s="78"/>
      <c r="U267" s="80"/>
      <c r="V267" s="78"/>
      <c r="W267" s="77" t="str">
        <f t="array" ref="W267">IF(D267="","",_xlfn.XLOOKUP(D267,DATA!B:B,DATA!L:L,""))</f>
        <v/>
      </c>
      <c r="X267" s="78" t="str">
        <f t="array" ref="X267">IF(F267="","",_xlfn.XLOOKUP(F267,DATA!B:B,DATA!L:L,""))</f>
        <v/>
      </c>
    </row>
    <row r="268">
      <c r="A268" s="81"/>
      <c r="B268" s="79"/>
      <c r="C268" s="57" t="str">
        <f t="array" ref="C268">iferror(_xlfn.XLOOKUP(D268,DATA!B:B,DATA!A:A),"")</f>
        <v/>
      </c>
      <c r="D268" s="82"/>
      <c r="E268" s="89"/>
      <c r="F268" s="83"/>
      <c r="G268" s="78"/>
      <c r="H268" s="64" t="str">
        <f t="array" ref="H268">_xlfn.XLOOKUP(G268,DATA!D:D,DATA!E:E,"")</f>
        <v/>
      </c>
      <c r="I268" s="84"/>
      <c r="J268" s="23"/>
      <c r="K268" s="23"/>
      <c r="L268" s="66" t="str">
        <f t="shared" si="1"/>
        <v/>
      </c>
      <c r="M268" s="77"/>
      <c r="N268" s="78"/>
      <c r="O268" s="66" t="str">
        <f>IF(M268="","",
 IF(M268="عدم پاسخ","بدون پاسخ",
 IF(L268="","اطلاعات ناقص",
 IF(L268&lt;=DATA!$M$1,"رعایت شده","رعایت نشده"))))</f>
        <v/>
      </c>
      <c r="P268" s="79"/>
      <c r="Q268" s="77"/>
      <c r="R268" s="79"/>
      <c r="S268" s="79"/>
      <c r="T268" s="78"/>
      <c r="U268" s="80"/>
      <c r="V268" s="78"/>
      <c r="W268" s="77" t="str">
        <f t="array" ref="W268">IF(D268="","",_xlfn.XLOOKUP(D268,DATA!B:B,DATA!L:L,""))</f>
        <v/>
      </c>
      <c r="X268" s="78" t="str">
        <f t="array" ref="X268">IF(F268="","",_xlfn.XLOOKUP(F268,DATA!B:B,DATA!L:L,""))</f>
        <v/>
      </c>
    </row>
    <row r="269">
      <c r="A269" s="81"/>
      <c r="B269" s="79"/>
      <c r="C269" s="57" t="str">
        <f t="array" ref="C269">iferror(_xlfn.XLOOKUP(D269,DATA!B:B,DATA!A:A),"")</f>
        <v/>
      </c>
      <c r="D269" s="82"/>
      <c r="E269" s="89"/>
      <c r="F269" s="83"/>
      <c r="G269" s="78"/>
      <c r="H269" s="64" t="str">
        <f t="array" ref="H269">_xlfn.XLOOKUP(G269,DATA!D:D,DATA!E:E,"")</f>
        <v/>
      </c>
      <c r="I269" s="84"/>
      <c r="J269" s="23"/>
      <c r="K269" s="23"/>
      <c r="L269" s="66" t="str">
        <f t="shared" si="1"/>
        <v/>
      </c>
      <c r="M269" s="77"/>
      <c r="N269" s="78"/>
      <c r="O269" s="66" t="str">
        <f>IF(M269="","",
 IF(M269="عدم پاسخ","بدون پاسخ",
 IF(L269="","اطلاعات ناقص",
 IF(L269&lt;=DATA!$M$1,"رعایت شده","رعایت نشده"))))</f>
        <v/>
      </c>
      <c r="P269" s="79"/>
      <c r="Q269" s="77"/>
      <c r="R269" s="79"/>
      <c r="S269" s="79"/>
      <c r="T269" s="78"/>
      <c r="U269" s="80"/>
      <c r="V269" s="78"/>
      <c r="W269" s="77" t="str">
        <f t="array" ref="W269">IF(D269="","",_xlfn.XLOOKUP(D269,DATA!B:B,DATA!L:L,""))</f>
        <v/>
      </c>
      <c r="X269" s="78" t="str">
        <f t="array" ref="X269">IF(F269="","",_xlfn.XLOOKUP(F269,DATA!B:B,DATA!L:L,""))</f>
        <v/>
      </c>
    </row>
    <row r="270">
      <c r="A270" s="81"/>
      <c r="B270" s="79"/>
      <c r="C270" s="57" t="str">
        <f t="array" ref="C270">iferror(_xlfn.XLOOKUP(D270,DATA!B:B,DATA!A:A),"")</f>
        <v/>
      </c>
      <c r="D270" s="82"/>
      <c r="E270" s="89"/>
      <c r="F270" s="83"/>
      <c r="G270" s="78"/>
      <c r="H270" s="64" t="str">
        <f t="array" ref="H270">_xlfn.XLOOKUP(G270,DATA!D:D,DATA!E:E,"")</f>
        <v/>
      </c>
      <c r="I270" s="84"/>
      <c r="J270" s="23"/>
      <c r="K270" s="23"/>
      <c r="L270" s="66" t="str">
        <f t="shared" si="1"/>
        <v/>
      </c>
      <c r="M270" s="77"/>
      <c r="N270" s="78"/>
      <c r="O270" s="66" t="str">
        <f>IF(M270="","",
 IF(M270="عدم پاسخ","بدون پاسخ",
 IF(L270="","اطلاعات ناقص",
 IF(L270&lt;=DATA!$M$1,"رعایت شده","رعایت نشده"))))</f>
        <v/>
      </c>
      <c r="P270" s="79"/>
      <c r="Q270" s="77"/>
      <c r="R270" s="79"/>
      <c r="S270" s="79"/>
      <c r="T270" s="78"/>
      <c r="U270" s="80"/>
      <c r="V270" s="78"/>
      <c r="W270" s="77" t="str">
        <f t="array" ref="W270">IF(D270="","",_xlfn.XLOOKUP(D270,DATA!B:B,DATA!L:L,""))</f>
        <v/>
      </c>
      <c r="X270" s="78" t="str">
        <f t="array" ref="X270">IF(F270="","",_xlfn.XLOOKUP(F270,DATA!B:B,DATA!L:L,""))</f>
        <v/>
      </c>
    </row>
    <row r="271">
      <c r="A271" s="81"/>
      <c r="B271" s="79"/>
      <c r="C271" s="57" t="str">
        <f t="array" ref="C271">iferror(_xlfn.XLOOKUP(D271,DATA!B:B,DATA!A:A),"")</f>
        <v/>
      </c>
      <c r="D271" s="82"/>
      <c r="E271" s="89"/>
      <c r="F271" s="83"/>
      <c r="G271" s="78"/>
      <c r="H271" s="64" t="str">
        <f t="array" ref="H271">_xlfn.XLOOKUP(G271,DATA!D:D,DATA!E:E,"")</f>
        <v/>
      </c>
      <c r="I271" s="84"/>
      <c r="J271" s="23"/>
      <c r="K271" s="23"/>
      <c r="L271" s="66" t="str">
        <f t="shared" si="1"/>
        <v/>
      </c>
      <c r="M271" s="77"/>
      <c r="N271" s="78"/>
      <c r="O271" s="66" t="str">
        <f>IF(M271="","",
 IF(M271="عدم پاسخ","بدون پاسخ",
 IF(L271="","اطلاعات ناقص",
 IF(L271&lt;=DATA!$M$1,"رعایت شده","رعایت نشده"))))</f>
        <v/>
      </c>
      <c r="P271" s="79"/>
      <c r="Q271" s="77"/>
      <c r="R271" s="79"/>
      <c r="S271" s="79"/>
      <c r="T271" s="78"/>
      <c r="U271" s="80"/>
      <c r="V271" s="78"/>
      <c r="W271" s="77" t="str">
        <f t="array" ref="W271">IF(D271="","",_xlfn.XLOOKUP(D271,DATA!B:B,DATA!L:L,""))</f>
        <v/>
      </c>
      <c r="X271" s="78" t="str">
        <f t="array" ref="X271">IF(F271="","",_xlfn.XLOOKUP(F271,DATA!B:B,DATA!L:L,""))</f>
        <v/>
      </c>
    </row>
    <row r="272">
      <c r="A272" s="81"/>
      <c r="B272" s="79"/>
      <c r="C272" s="57" t="str">
        <f t="array" ref="C272">iferror(_xlfn.XLOOKUP(D272,DATA!B:B,DATA!A:A),"")</f>
        <v/>
      </c>
      <c r="D272" s="82"/>
      <c r="E272" s="89"/>
      <c r="F272" s="83"/>
      <c r="G272" s="78"/>
      <c r="H272" s="64" t="str">
        <f t="array" ref="H272">_xlfn.XLOOKUP(G272,DATA!D:D,DATA!E:E,"")</f>
        <v/>
      </c>
      <c r="I272" s="84"/>
      <c r="J272" s="23"/>
      <c r="K272" s="23"/>
      <c r="L272" s="66" t="str">
        <f t="shared" si="1"/>
        <v/>
      </c>
      <c r="M272" s="77"/>
      <c r="N272" s="78"/>
      <c r="O272" s="66" t="str">
        <f>IF(M272="","",
 IF(M272="عدم پاسخ","بدون پاسخ",
 IF(L272="","اطلاعات ناقص",
 IF(L272&lt;=DATA!$M$1,"رعایت شده","رعایت نشده"))))</f>
        <v/>
      </c>
      <c r="P272" s="79"/>
      <c r="Q272" s="77"/>
      <c r="R272" s="79"/>
      <c r="S272" s="79"/>
      <c r="T272" s="78"/>
      <c r="U272" s="80"/>
      <c r="V272" s="78"/>
      <c r="W272" s="77" t="str">
        <f t="array" ref="W272">IF(D272="","",_xlfn.XLOOKUP(D272,DATA!B:B,DATA!L:L,""))</f>
        <v/>
      </c>
      <c r="X272" s="78" t="str">
        <f t="array" ref="X272">IF(F272="","",_xlfn.XLOOKUP(F272,DATA!B:B,DATA!L:L,""))</f>
        <v/>
      </c>
    </row>
    <row r="273">
      <c r="A273" s="81"/>
      <c r="B273" s="79"/>
      <c r="C273" s="57" t="str">
        <f t="array" ref="C273">iferror(_xlfn.XLOOKUP(D273,DATA!B:B,DATA!A:A),"")</f>
        <v/>
      </c>
      <c r="D273" s="82"/>
      <c r="E273" s="89"/>
      <c r="F273" s="83"/>
      <c r="G273" s="78"/>
      <c r="H273" s="64" t="str">
        <f t="array" ref="H273">_xlfn.XLOOKUP(G273,DATA!D:D,DATA!E:E,"")</f>
        <v/>
      </c>
      <c r="I273" s="84"/>
      <c r="J273" s="23"/>
      <c r="K273" s="23"/>
      <c r="L273" s="66" t="str">
        <f t="shared" si="1"/>
        <v/>
      </c>
      <c r="M273" s="77"/>
      <c r="N273" s="78"/>
      <c r="O273" s="66" t="str">
        <f>IF(M273="","",
 IF(M273="عدم پاسخ","بدون پاسخ",
 IF(L273="","اطلاعات ناقص",
 IF(L273&lt;=DATA!$M$1,"رعایت شده","رعایت نشده"))))</f>
        <v/>
      </c>
      <c r="P273" s="79"/>
      <c r="Q273" s="77"/>
      <c r="R273" s="79"/>
      <c r="S273" s="79"/>
      <c r="T273" s="78"/>
      <c r="U273" s="80"/>
      <c r="V273" s="78"/>
      <c r="W273" s="77" t="str">
        <f t="array" ref="W273">IF(D273="","",_xlfn.XLOOKUP(D273,DATA!B:B,DATA!L:L,""))</f>
        <v/>
      </c>
      <c r="X273" s="78" t="str">
        <f t="array" ref="X273">IF(F273="","",_xlfn.XLOOKUP(F273,DATA!B:B,DATA!L:L,""))</f>
        <v/>
      </c>
    </row>
    <row r="274">
      <c r="A274" s="81"/>
      <c r="B274" s="79"/>
      <c r="C274" s="57" t="str">
        <f t="array" ref="C274">iferror(_xlfn.XLOOKUP(D274,DATA!B:B,DATA!A:A),"")</f>
        <v/>
      </c>
      <c r="D274" s="82"/>
      <c r="E274" s="89"/>
      <c r="F274" s="83"/>
      <c r="G274" s="78"/>
      <c r="H274" s="64" t="str">
        <f t="array" ref="H274">_xlfn.XLOOKUP(G274,DATA!D:D,DATA!E:E,"")</f>
        <v/>
      </c>
      <c r="I274" s="84"/>
      <c r="J274" s="23"/>
      <c r="K274" s="23"/>
      <c r="L274" s="66" t="str">
        <f t="shared" si="1"/>
        <v/>
      </c>
      <c r="M274" s="77"/>
      <c r="N274" s="78"/>
      <c r="O274" s="66" t="str">
        <f>IF(M274="","",
 IF(M274="عدم پاسخ","بدون پاسخ",
 IF(L274="","اطلاعات ناقص",
 IF(L274&lt;=DATA!$M$1,"رعایت شده","رعایت نشده"))))</f>
        <v/>
      </c>
      <c r="P274" s="79"/>
      <c r="Q274" s="77"/>
      <c r="R274" s="79"/>
      <c r="S274" s="79"/>
      <c r="T274" s="78"/>
      <c r="U274" s="80"/>
      <c r="V274" s="78"/>
      <c r="W274" s="77" t="str">
        <f t="array" ref="W274">IF(D274="","",_xlfn.XLOOKUP(D274,DATA!B:B,DATA!L:L,""))</f>
        <v/>
      </c>
      <c r="X274" s="78" t="str">
        <f t="array" ref="X274">IF(F274="","",_xlfn.XLOOKUP(F274,DATA!B:B,DATA!L:L,""))</f>
        <v/>
      </c>
    </row>
    <row r="275">
      <c r="A275" s="81"/>
      <c r="B275" s="79"/>
      <c r="C275" s="57" t="str">
        <f t="array" ref="C275">iferror(_xlfn.XLOOKUP(D275,DATA!B:B,DATA!A:A),"")</f>
        <v/>
      </c>
      <c r="D275" s="82"/>
      <c r="E275" s="89"/>
      <c r="F275" s="83"/>
      <c r="G275" s="78"/>
      <c r="H275" s="64" t="str">
        <f t="array" ref="H275">_xlfn.XLOOKUP(G275,DATA!D:D,DATA!E:E,"")</f>
        <v/>
      </c>
      <c r="I275" s="84"/>
      <c r="J275" s="23"/>
      <c r="K275" s="23"/>
      <c r="L275" s="66" t="str">
        <f t="shared" si="1"/>
        <v/>
      </c>
      <c r="M275" s="77"/>
      <c r="N275" s="78"/>
      <c r="O275" s="66" t="str">
        <f>IF(M275="","",
 IF(M275="عدم پاسخ","بدون پاسخ",
 IF(L275="","اطلاعات ناقص",
 IF(L275&lt;=DATA!$M$1,"رعایت شده","رعایت نشده"))))</f>
        <v/>
      </c>
      <c r="P275" s="79"/>
      <c r="Q275" s="77"/>
      <c r="R275" s="79"/>
      <c r="S275" s="79"/>
      <c r="T275" s="78"/>
      <c r="U275" s="80"/>
      <c r="V275" s="78"/>
      <c r="W275" s="77" t="str">
        <f t="array" ref="W275">IF(D275="","",_xlfn.XLOOKUP(D275,DATA!B:B,DATA!L:L,""))</f>
        <v/>
      </c>
      <c r="X275" s="78" t="str">
        <f t="array" ref="X275">IF(F275="","",_xlfn.XLOOKUP(F275,DATA!B:B,DATA!L:L,""))</f>
        <v/>
      </c>
    </row>
    <row r="276">
      <c r="A276" s="81"/>
      <c r="B276" s="79"/>
      <c r="C276" s="57" t="str">
        <f t="array" ref="C276">iferror(_xlfn.XLOOKUP(D276,DATA!B:B,DATA!A:A),"")</f>
        <v/>
      </c>
      <c r="D276" s="82"/>
      <c r="E276" s="89"/>
      <c r="F276" s="83"/>
      <c r="G276" s="78"/>
      <c r="H276" s="64" t="str">
        <f t="array" ref="H276">_xlfn.XLOOKUP(G276,DATA!D:D,DATA!E:E,"")</f>
        <v/>
      </c>
      <c r="I276" s="84"/>
      <c r="J276" s="23"/>
      <c r="K276" s="23"/>
      <c r="L276" s="66" t="str">
        <f t="shared" si="1"/>
        <v/>
      </c>
      <c r="M276" s="77"/>
      <c r="N276" s="78"/>
      <c r="O276" s="66" t="str">
        <f>IF(M276="","",
 IF(M276="عدم پاسخ","بدون پاسخ",
 IF(L276="","اطلاعات ناقص",
 IF(L276&lt;=DATA!$M$1,"رعایت شده","رعایت نشده"))))</f>
        <v/>
      </c>
      <c r="P276" s="79"/>
      <c r="Q276" s="77"/>
      <c r="R276" s="79"/>
      <c r="S276" s="79"/>
      <c r="T276" s="78"/>
      <c r="U276" s="80"/>
      <c r="V276" s="78"/>
      <c r="W276" s="77" t="str">
        <f t="array" ref="W276">IF(D276="","",_xlfn.XLOOKUP(D276,DATA!B:B,DATA!L:L,""))</f>
        <v/>
      </c>
      <c r="X276" s="78" t="str">
        <f t="array" ref="X276">IF(F276="","",_xlfn.XLOOKUP(F276,DATA!B:B,DATA!L:L,""))</f>
        <v/>
      </c>
    </row>
    <row r="277">
      <c r="A277" s="81"/>
      <c r="B277" s="79"/>
      <c r="C277" s="57" t="str">
        <f t="array" ref="C277">iferror(_xlfn.XLOOKUP(D277,DATA!B:B,DATA!A:A),"")</f>
        <v/>
      </c>
      <c r="D277" s="82"/>
      <c r="E277" s="89"/>
      <c r="F277" s="83"/>
      <c r="G277" s="78"/>
      <c r="H277" s="64" t="str">
        <f t="array" ref="H277">_xlfn.XLOOKUP(G277,DATA!D:D,DATA!E:E,"")</f>
        <v/>
      </c>
      <c r="I277" s="84"/>
      <c r="J277" s="23"/>
      <c r="K277" s="23"/>
      <c r="L277" s="66" t="str">
        <f t="shared" si="1"/>
        <v/>
      </c>
      <c r="M277" s="77"/>
      <c r="N277" s="78"/>
      <c r="O277" s="66" t="str">
        <f>IF(M277="","",
 IF(M277="عدم پاسخ","بدون پاسخ",
 IF(L277="","اطلاعات ناقص",
 IF(L277&lt;=DATA!$M$1,"رعایت شده","رعایت نشده"))))</f>
        <v/>
      </c>
      <c r="P277" s="79"/>
      <c r="Q277" s="77"/>
      <c r="R277" s="79"/>
      <c r="S277" s="79"/>
      <c r="T277" s="78"/>
      <c r="U277" s="80"/>
      <c r="V277" s="78"/>
      <c r="W277" s="77" t="str">
        <f t="array" ref="W277">IF(D277="","",_xlfn.XLOOKUP(D277,DATA!B:B,DATA!L:L,""))</f>
        <v/>
      </c>
      <c r="X277" s="78" t="str">
        <f t="array" ref="X277">IF(F277="","",_xlfn.XLOOKUP(F277,DATA!B:B,DATA!L:L,""))</f>
        <v/>
      </c>
    </row>
    <row r="278">
      <c r="A278" s="81"/>
      <c r="B278" s="79"/>
      <c r="C278" s="57" t="str">
        <f t="array" ref="C278">iferror(_xlfn.XLOOKUP(D278,DATA!B:B,DATA!A:A),"")</f>
        <v/>
      </c>
      <c r="D278" s="82"/>
      <c r="E278" s="89"/>
      <c r="F278" s="83"/>
      <c r="G278" s="78"/>
      <c r="H278" s="64" t="str">
        <f t="array" ref="H278">_xlfn.XLOOKUP(G278,DATA!D:D,DATA!E:E,"")</f>
        <v/>
      </c>
      <c r="I278" s="84"/>
      <c r="J278" s="23"/>
      <c r="K278" s="23"/>
      <c r="L278" s="66" t="str">
        <f t="shared" si="1"/>
        <v/>
      </c>
      <c r="M278" s="77"/>
      <c r="N278" s="78"/>
      <c r="O278" s="66" t="str">
        <f>IF(M278="","",
 IF(M278="عدم پاسخ","بدون پاسخ",
 IF(L278="","اطلاعات ناقص",
 IF(L278&lt;=DATA!$M$1,"رعایت شده","رعایت نشده"))))</f>
        <v/>
      </c>
      <c r="P278" s="79"/>
      <c r="Q278" s="77"/>
      <c r="R278" s="79"/>
      <c r="S278" s="79"/>
      <c r="T278" s="78"/>
      <c r="U278" s="80"/>
      <c r="V278" s="78"/>
      <c r="W278" s="77" t="str">
        <f t="array" ref="W278">IF(D278="","",_xlfn.XLOOKUP(D278,DATA!B:B,DATA!L:L,""))</f>
        <v/>
      </c>
      <c r="X278" s="78" t="str">
        <f t="array" ref="X278">IF(F278="","",_xlfn.XLOOKUP(F278,DATA!B:B,DATA!L:L,""))</f>
        <v/>
      </c>
    </row>
    <row r="279">
      <c r="A279" s="81"/>
      <c r="B279" s="79"/>
      <c r="C279" s="57" t="str">
        <f t="array" ref="C279">iferror(_xlfn.XLOOKUP(D279,DATA!B:B,DATA!A:A),"")</f>
        <v/>
      </c>
      <c r="D279" s="82"/>
      <c r="E279" s="89"/>
      <c r="F279" s="83"/>
      <c r="G279" s="78"/>
      <c r="H279" s="64" t="str">
        <f t="array" ref="H279">_xlfn.XLOOKUP(G279,DATA!D:D,DATA!E:E,"")</f>
        <v/>
      </c>
      <c r="I279" s="84"/>
      <c r="J279" s="23"/>
      <c r="K279" s="23"/>
      <c r="L279" s="66" t="str">
        <f t="shared" si="1"/>
        <v/>
      </c>
      <c r="M279" s="77"/>
      <c r="N279" s="78"/>
      <c r="O279" s="66" t="str">
        <f>IF(M279="","",
 IF(M279="عدم پاسخ","بدون پاسخ",
 IF(L279="","اطلاعات ناقص",
 IF(L279&lt;=DATA!$M$1,"رعایت شده","رعایت نشده"))))</f>
        <v/>
      </c>
      <c r="P279" s="79"/>
      <c r="Q279" s="77"/>
      <c r="R279" s="79"/>
      <c r="S279" s="79"/>
      <c r="T279" s="78"/>
      <c r="U279" s="80"/>
      <c r="V279" s="78"/>
      <c r="W279" s="77" t="str">
        <f t="array" ref="W279">IF(D279="","",_xlfn.XLOOKUP(D279,DATA!B:B,DATA!L:L,""))</f>
        <v/>
      </c>
      <c r="X279" s="78" t="str">
        <f t="array" ref="X279">IF(F279="","",_xlfn.XLOOKUP(F279,DATA!B:B,DATA!L:L,""))</f>
        <v/>
      </c>
    </row>
    <row r="280">
      <c r="A280" s="81"/>
      <c r="B280" s="79"/>
      <c r="C280" s="57" t="str">
        <f t="array" ref="C280">iferror(_xlfn.XLOOKUP(D280,DATA!B:B,DATA!A:A),"")</f>
        <v/>
      </c>
      <c r="D280" s="82"/>
      <c r="E280" s="89"/>
      <c r="F280" s="83"/>
      <c r="G280" s="78"/>
      <c r="H280" s="64" t="str">
        <f t="array" ref="H280">_xlfn.XLOOKUP(G280,DATA!D:D,DATA!E:E,"")</f>
        <v/>
      </c>
      <c r="I280" s="84"/>
      <c r="J280" s="23"/>
      <c r="K280" s="23"/>
      <c r="L280" s="66" t="str">
        <f t="shared" si="1"/>
        <v/>
      </c>
      <c r="M280" s="77"/>
      <c r="N280" s="78"/>
      <c r="O280" s="66" t="str">
        <f>IF(M280="","",
 IF(M280="عدم پاسخ","بدون پاسخ",
 IF(L280="","اطلاعات ناقص",
 IF(L280&lt;=DATA!$M$1,"رعایت شده","رعایت نشده"))))</f>
        <v/>
      </c>
      <c r="P280" s="79"/>
      <c r="Q280" s="77"/>
      <c r="R280" s="79"/>
      <c r="S280" s="79"/>
      <c r="T280" s="78"/>
      <c r="U280" s="80"/>
      <c r="V280" s="78"/>
      <c r="W280" s="77" t="str">
        <f t="array" ref="W280">IF(D280="","",_xlfn.XLOOKUP(D280,DATA!B:B,DATA!L:L,""))</f>
        <v/>
      </c>
      <c r="X280" s="78" t="str">
        <f t="array" ref="X280">IF(F280="","",_xlfn.XLOOKUP(F280,DATA!B:B,DATA!L:L,""))</f>
        <v/>
      </c>
    </row>
    <row r="281">
      <c r="A281" s="81"/>
      <c r="B281" s="79"/>
      <c r="C281" s="57" t="str">
        <f t="array" ref="C281">iferror(_xlfn.XLOOKUP(D281,DATA!B:B,DATA!A:A),"")</f>
        <v/>
      </c>
      <c r="D281" s="82"/>
      <c r="E281" s="89"/>
      <c r="F281" s="83"/>
      <c r="G281" s="78"/>
      <c r="H281" s="64" t="str">
        <f t="array" ref="H281">_xlfn.XLOOKUP(G281,DATA!D:D,DATA!E:E,"")</f>
        <v/>
      </c>
      <c r="I281" s="84"/>
      <c r="J281" s="23"/>
      <c r="K281" s="23"/>
      <c r="L281" s="66" t="str">
        <f t="shared" si="1"/>
        <v/>
      </c>
      <c r="M281" s="77"/>
      <c r="N281" s="78"/>
      <c r="O281" s="66" t="str">
        <f>IF(M281="","",
 IF(M281="عدم پاسخ","بدون پاسخ",
 IF(L281="","اطلاعات ناقص",
 IF(L281&lt;=DATA!$M$1,"رعایت شده","رعایت نشده"))))</f>
        <v/>
      </c>
      <c r="P281" s="79"/>
      <c r="Q281" s="77"/>
      <c r="R281" s="79"/>
      <c r="S281" s="79"/>
      <c r="T281" s="78"/>
      <c r="U281" s="80"/>
      <c r="V281" s="78"/>
      <c r="W281" s="77" t="str">
        <f t="array" ref="W281">IF(D281="","",_xlfn.XLOOKUP(D281,DATA!B:B,DATA!L:L,""))</f>
        <v/>
      </c>
      <c r="X281" s="78" t="str">
        <f t="array" ref="X281">IF(F281="","",_xlfn.XLOOKUP(F281,DATA!B:B,DATA!L:L,""))</f>
        <v/>
      </c>
    </row>
    <row r="282">
      <c r="A282" s="81"/>
      <c r="B282" s="79"/>
      <c r="C282" s="57" t="str">
        <f t="array" ref="C282">iferror(_xlfn.XLOOKUP(D282,DATA!B:B,DATA!A:A),"")</f>
        <v/>
      </c>
      <c r="D282" s="82"/>
      <c r="E282" s="89"/>
      <c r="F282" s="83"/>
      <c r="G282" s="78"/>
      <c r="H282" s="64" t="str">
        <f t="array" ref="H282">_xlfn.XLOOKUP(G282,DATA!D:D,DATA!E:E,"")</f>
        <v/>
      </c>
      <c r="I282" s="84"/>
      <c r="J282" s="23"/>
      <c r="K282" s="23"/>
      <c r="L282" s="66" t="str">
        <f t="shared" si="1"/>
        <v/>
      </c>
      <c r="M282" s="77"/>
      <c r="N282" s="78"/>
      <c r="O282" s="66" t="str">
        <f>IF(M282="","",
 IF(M282="عدم پاسخ","بدون پاسخ",
 IF(L282="","اطلاعات ناقص",
 IF(L282&lt;=DATA!$M$1,"رعایت شده","رعایت نشده"))))</f>
        <v/>
      </c>
      <c r="P282" s="79"/>
      <c r="Q282" s="77"/>
      <c r="R282" s="79"/>
      <c r="S282" s="79"/>
      <c r="T282" s="78"/>
      <c r="U282" s="80"/>
      <c r="V282" s="78"/>
      <c r="W282" s="77" t="str">
        <f t="array" ref="W282">IF(D282="","",_xlfn.XLOOKUP(D282,DATA!B:B,DATA!L:L,""))</f>
        <v/>
      </c>
      <c r="X282" s="78" t="str">
        <f t="array" ref="X282">IF(F282="","",_xlfn.XLOOKUP(F282,DATA!B:B,DATA!L:L,""))</f>
        <v/>
      </c>
    </row>
    <row r="283">
      <c r="A283" s="81"/>
      <c r="B283" s="79"/>
      <c r="C283" s="57" t="str">
        <f t="array" ref="C283">iferror(_xlfn.XLOOKUP(D283,DATA!B:B,DATA!A:A),"")</f>
        <v/>
      </c>
      <c r="D283" s="82"/>
      <c r="E283" s="89"/>
      <c r="F283" s="83"/>
      <c r="G283" s="78"/>
      <c r="H283" s="64" t="str">
        <f t="array" ref="H283">_xlfn.XLOOKUP(G283,DATA!D:D,DATA!E:E,"")</f>
        <v/>
      </c>
      <c r="I283" s="84"/>
      <c r="J283" s="23"/>
      <c r="K283" s="23"/>
      <c r="L283" s="66" t="str">
        <f t="shared" si="1"/>
        <v/>
      </c>
      <c r="M283" s="77"/>
      <c r="N283" s="78"/>
      <c r="O283" s="66" t="str">
        <f>IF(M283="","",
 IF(M283="عدم پاسخ","بدون پاسخ",
 IF(L283="","اطلاعات ناقص",
 IF(L283&lt;=DATA!$M$1,"رعایت شده","رعایت نشده"))))</f>
        <v/>
      </c>
      <c r="P283" s="79"/>
      <c r="Q283" s="77"/>
      <c r="R283" s="79"/>
      <c r="S283" s="79"/>
      <c r="T283" s="78"/>
      <c r="U283" s="80"/>
      <c r="V283" s="78"/>
      <c r="W283" s="77" t="str">
        <f t="array" ref="W283">IF(D283="","",_xlfn.XLOOKUP(D283,DATA!B:B,DATA!L:L,""))</f>
        <v/>
      </c>
      <c r="X283" s="78" t="str">
        <f t="array" ref="X283">IF(F283="","",_xlfn.XLOOKUP(F283,DATA!B:B,DATA!L:L,""))</f>
        <v/>
      </c>
    </row>
    <row r="284">
      <c r="A284" s="81"/>
      <c r="B284" s="79"/>
      <c r="C284" s="57" t="str">
        <f t="array" ref="C284">iferror(_xlfn.XLOOKUP(D284,DATA!B:B,DATA!A:A),"")</f>
        <v/>
      </c>
      <c r="D284" s="82"/>
      <c r="E284" s="89"/>
      <c r="F284" s="83"/>
      <c r="G284" s="78"/>
      <c r="H284" s="64" t="str">
        <f t="array" ref="H284">_xlfn.XLOOKUP(G284,DATA!D:D,DATA!E:E,"")</f>
        <v/>
      </c>
      <c r="I284" s="84"/>
      <c r="J284" s="23"/>
      <c r="K284" s="23"/>
      <c r="L284" s="66" t="str">
        <f t="shared" si="1"/>
        <v/>
      </c>
      <c r="M284" s="77"/>
      <c r="N284" s="78"/>
      <c r="O284" s="66" t="str">
        <f>IF(M284="","",
 IF(M284="عدم پاسخ","بدون پاسخ",
 IF(L284="","اطلاعات ناقص",
 IF(L284&lt;=DATA!$M$1,"رعایت شده","رعایت نشده"))))</f>
        <v/>
      </c>
      <c r="P284" s="79"/>
      <c r="Q284" s="77"/>
      <c r="R284" s="79"/>
      <c r="S284" s="79"/>
      <c r="T284" s="78"/>
      <c r="U284" s="80"/>
      <c r="V284" s="78"/>
      <c r="W284" s="77" t="str">
        <f t="array" ref="W284">IF(D284="","",_xlfn.XLOOKUP(D284,DATA!B:B,DATA!L:L,""))</f>
        <v/>
      </c>
      <c r="X284" s="78" t="str">
        <f t="array" ref="X284">IF(F284="","",_xlfn.XLOOKUP(F284,DATA!B:B,DATA!L:L,""))</f>
        <v/>
      </c>
    </row>
    <row r="285">
      <c r="A285" s="81"/>
      <c r="B285" s="79"/>
      <c r="C285" s="57" t="str">
        <f t="array" ref="C285">iferror(_xlfn.XLOOKUP(D285,DATA!B:B,DATA!A:A),"")</f>
        <v/>
      </c>
      <c r="D285" s="82"/>
      <c r="E285" s="89"/>
      <c r="F285" s="83"/>
      <c r="G285" s="78"/>
      <c r="H285" s="64" t="str">
        <f t="array" ref="H285">_xlfn.XLOOKUP(G285,DATA!D:D,DATA!E:E,"")</f>
        <v/>
      </c>
      <c r="I285" s="84"/>
      <c r="J285" s="23"/>
      <c r="K285" s="23"/>
      <c r="L285" s="66" t="str">
        <f t="shared" si="1"/>
        <v/>
      </c>
      <c r="M285" s="77"/>
      <c r="N285" s="78"/>
      <c r="O285" s="66" t="str">
        <f>IF(M285="","",
 IF(M285="عدم پاسخ","بدون پاسخ",
 IF(L285="","اطلاعات ناقص",
 IF(L285&lt;=DATA!$M$1,"رعایت شده","رعایت نشده"))))</f>
        <v/>
      </c>
      <c r="P285" s="79"/>
      <c r="Q285" s="77"/>
      <c r="R285" s="79"/>
      <c r="S285" s="79"/>
      <c r="T285" s="78"/>
      <c r="U285" s="80"/>
      <c r="V285" s="78"/>
      <c r="W285" s="77" t="str">
        <f t="array" ref="W285">IF(D285="","",_xlfn.XLOOKUP(D285,DATA!B:B,DATA!L:L,""))</f>
        <v/>
      </c>
      <c r="X285" s="78" t="str">
        <f t="array" ref="X285">IF(F285="","",_xlfn.XLOOKUP(F285,DATA!B:B,DATA!L:L,""))</f>
        <v/>
      </c>
    </row>
    <row r="286">
      <c r="A286" s="81"/>
      <c r="B286" s="79"/>
      <c r="C286" s="57" t="str">
        <f t="array" ref="C286">iferror(_xlfn.XLOOKUP(D286,DATA!B:B,DATA!A:A),"")</f>
        <v/>
      </c>
      <c r="D286" s="82"/>
      <c r="E286" s="89"/>
      <c r="F286" s="83"/>
      <c r="G286" s="78"/>
      <c r="H286" s="64" t="str">
        <f t="array" ref="H286">_xlfn.XLOOKUP(G286,DATA!D:D,DATA!E:E,"")</f>
        <v/>
      </c>
      <c r="I286" s="84"/>
      <c r="J286" s="23"/>
      <c r="K286" s="23"/>
      <c r="L286" s="66" t="str">
        <f t="shared" si="1"/>
        <v/>
      </c>
      <c r="M286" s="77"/>
      <c r="N286" s="78"/>
      <c r="O286" s="66" t="str">
        <f>IF(M286="","",
 IF(M286="عدم پاسخ","بدون پاسخ",
 IF(L286="","اطلاعات ناقص",
 IF(L286&lt;=DATA!$M$1,"رعایت شده","رعایت نشده"))))</f>
        <v/>
      </c>
      <c r="P286" s="79"/>
      <c r="Q286" s="77"/>
      <c r="R286" s="79"/>
      <c r="S286" s="79"/>
      <c r="T286" s="78"/>
      <c r="U286" s="80"/>
      <c r="V286" s="78"/>
      <c r="W286" s="77" t="str">
        <f t="array" ref="W286">IF(D286="","",_xlfn.XLOOKUP(D286,DATA!B:B,DATA!L:L,""))</f>
        <v/>
      </c>
      <c r="X286" s="78" t="str">
        <f t="array" ref="X286">IF(F286="","",_xlfn.XLOOKUP(F286,DATA!B:B,DATA!L:L,""))</f>
        <v/>
      </c>
    </row>
    <row r="287">
      <c r="A287" s="81"/>
      <c r="B287" s="79"/>
      <c r="C287" s="57" t="str">
        <f t="array" ref="C287">iferror(_xlfn.XLOOKUP(D287,DATA!B:B,DATA!A:A),"")</f>
        <v/>
      </c>
      <c r="D287" s="82"/>
      <c r="E287" s="89"/>
      <c r="F287" s="83"/>
      <c r="G287" s="78"/>
      <c r="H287" s="64" t="str">
        <f t="array" ref="H287">_xlfn.XLOOKUP(G287,DATA!D:D,DATA!E:E,"")</f>
        <v/>
      </c>
      <c r="I287" s="84"/>
      <c r="J287" s="23"/>
      <c r="K287" s="23"/>
      <c r="L287" s="66" t="str">
        <f t="shared" si="1"/>
        <v/>
      </c>
      <c r="M287" s="77"/>
      <c r="N287" s="78"/>
      <c r="O287" s="66" t="str">
        <f>IF(M287="","",
 IF(M287="عدم پاسخ","بدون پاسخ",
 IF(L287="","اطلاعات ناقص",
 IF(L287&lt;=DATA!$M$1,"رعایت شده","رعایت نشده"))))</f>
        <v/>
      </c>
      <c r="P287" s="79"/>
      <c r="Q287" s="77"/>
      <c r="R287" s="79"/>
      <c r="S287" s="79"/>
      <c r="T287" s="78"/>
      <c r="U287" s="80"/>
      <c r="V287" s="78"/>
      <c r="W287" s="77" t="str">
        <f t="array" ref="W287">IF(D287="","",_xlfn.XLOOKUP(D287,DATA!B:B,DATA!L:L,""))</f>
        <v/>
      </c>
      <c r="X287" s="78" t="str">
        <f t="array" ref="X287">IF(F287="","",_xlfn.XLOOKUP(F287,DATA!B:B,DATA!L:L,""))</f>
        <v/>
      </c>
    </row>
    <row r="288">
      <c r="A288" s="81"/>
      <c r="B288" s="79"/>
      <c r="C288" s="57" t="str">
        <f t="array" ref="C288">iferror(_xlfn.XLOOKUP(D288,DATA!B:B,DATA!A:A),"")</f>
        <v/>
      </c>
      <c r="D288" s="82"/>
      <c r="E288" s="89"/>
      <c r="F288" s="83"/>
      <c r="G288" s="78"/>
      <c r="H288" s="64" t="str">
        <f t="array" ref="H288">_xlfn.XLOOKUP(G288,DATA!D:D,DATA!E:E,"")</f>
        <v/>
      </c>
      <c r="I288" s="84"/>
      <c r="J288" s="23"/>
      <c r="K288" s="23"/>
      <c r="L288" s="66" t="str">
        <f t="shared" si="1"/>
        <v/>
      </c>
      <c r="M288" s="77"/>
      <c r="N288" s="78"/>
      <c r="O288" s="66" t="str">
        <f>IF(M288="","",
 IF(M288="عدم پاسخ","بدون پاسخ",
 IF(L288="","اطلاعات ناقص",
 IF(L288&lt;=DATA!$M$1,"رعایت شده","رعایت نشده"))))</f>
        <v/>
      </c>
      <c r="P288" s="79"/>
      <c r="Q288" s="77"/>
      <c r="R288" s="79"/>
      <c r="S288" s="79"/>
      <c r="T288" s="78"/>
      <c r="U288" s="80"/>
      <c r="V288" s="78"/>
      <c r="W288" s="77" t="str">
        <f t="array" ref="W288">IF(D288="","",_xlfn.XLOOKUP(D288,DATA!B:B,DATA!L:L,""))</f>
        <v/>
      </c>
      <c r="X288" s="78" t="str">
        <f t="array" ref="X288">IF(F288="","",_xlfn.XLOOKUP(F288,DATA!B:B,DATA!L:L,""))</f>
        <v/>
      </c>
    </row>
    <row r="289">
      <c r="A289" s="81"/>
      <c r="B289" s="79"/>
      <c r="C289" s="57" t="str">
        <f t="array" ref="C289">iferror(_xlfn.XLOOKUP(D289,DATA!B:B,DATA!A:A),"")</f>
        <v/>
      </c>
      <c r="D289" s="82"/>
      <c r="E289" s="89"/>
      <c r="F289" s="83"/>
      <c r="G289" s="78"/>
      <c r="H289" s="64" t="str">
        <f t="array" ref="H289">_xlfn.XLOOKUP(G289,DATA!D:D,DATA!E:E,"")</f>
        <v/>
      </c>
      <c r="I289" s="84"/>
      <c r="J289" s="23"/>
      <c r="K289" s="23"/>
      <c r="L289" s="66" t="str">
        <f t="shared" si="1"/>
        <v/>
      </c>
      <c r="M289" s="77"/>
      <c r="N289" s="78"/>
      <c r="O289" s="66" t="str">
        <f>IF(M289="","",
 IF(M289="عدم پاسخ","بدون پاسخ",
 IF(L289="","اطلاعات ناقص",
 IF(L289&lt;=DATA!$M$1,"رعایت شده","رعایت نشده"))))</f>
        <v/>
      </c>
      <c r="P289" s="79"/>
      <c r="Q289" s="77"/>
      <c r="R289" s="79"/>
      <c r="S289" s="79"/>
      <c r="T289" s="78"/>
      <c r="U289" s="80"/>
      <c r="V289" s="78"/>
      <c r="W289" s="77" t="str">
        <f t="array" ref="W289">IF(D289="","",_xlfn.XLOOKUP(D289,DATA!B:B,DATA!L:L,""))</f>
        <v/>
      </c>
      <c r="X289" s="78" t="str">
        <f t="array" ref="X289">IF(F289="","",_xlfn.XLOOKUP(F289,DATA!B:B,DATA!L:L,""))</f>
        <v/>
      </c>
    </row>
    <row r="290">
      <c r="A290" s="81"/>
      <c r="B290" s="79"/>
      <c r="C290" s="57" t="str">
        <f t="array" ref="C290">iferror(_xlfn.XLOOKUP(D290,DATA!B:B,DATA!A:A),"")</f>
        <v/>
      </c>
      <c r="D290" s="82"/>
      <c r="E290" s="89"/>
      <c r="F290" s="83"/>
      <c r="G290" s="78"/>
      <c r="H290" s="64" t="str">
        <f t="array" ref="H290">_xlfn.XLOOKUP(G290,DATA!D:D,DATA!E:E,"")</f>
        <v/>
      </c>
      <c r="I290" s="84"/>
      <c r="J290" s="23"/>
      <c r="K290" s="23"/>
      <c r="L290" s="66" t="str">
        <f t="shared" si="1"/>
        <v/>
      </c>
      <c r="M290" s="77"/>
      <c r="N290" s="78"/>
      <c r="O290" s="66" t="str">
        <f>IF(M290="","",
 IF(M290="عدم پاسخ","بدون پاسخ",
 IF(L290="","اطلاعات ناقص",
 IF(L290&lt;=DATA!$M$1,"رعایت شده","رعایت نشده"))))</f>
        <v/>
      </c>
      <c r="P290" s="79"/>
      <c r="Q290" s="77"/>
      <c r="R290" s="79"/>
      <c r="S290" s="79"/>
      <c r="T290" s="78"/>
      <c r="U290" s="80"/>
      <c r="V290" s="78"/>
      <c r="W290" s="77" t="str">
        <f t="array" ref="W290">IF(D290="","",_xlfn.XLOOKUP(D290,DATA!B:B,DATA!L:L,""))</f>
        <v/>
      </c>
      <c r="X290" s="78" t="str">
        <f t="array" ref="X290">IF(F290="","",_xlfn.XLOOKUP(F290,DATA!B:B,DATA!L:L,""))</f>
        <v/>
      </c>
    </row>
    <row r="291">
      <c r="A291" s="81"/>
      <c r="B291" s="79"/>
      <c r="C291" s="57" t="str">
        <f t="array" ref="C291">iferror(_xlfn.XLOOKUP(D291,DATA!B:B,DATA!A:A),"")</f>
        <v/>
      </c>
      <c r="D291" s="82"/>
      <c r="E291" s="89"/>
      <c r="F291" s="83"/>
      <c r="G291" s="78"/>
      <c r="H291" s="64" t="str">
        <f t="array" ref="H291">_xlfn.XLOOKUP(G291,DATA!D:D,DATA!E:E,"")</f>
        <v/>
      </c>
      <c r="I291" s="84"/>
      <c r="J291" s="23"/>
      <c r="K291" s="23"/>
      <c r="L291" s="66" t="str">
        <f t="shared" si="1"/>
        <v/>
      </c>
      <c r="M291" s="77"/>
      <c r="N291" s="78"/>
      <c r="O291" s="66" t="str">
        <f>IF(M291="","",
 IF(M291="عدم پاسخ","بدون پاسخ",
 IF(L291="","اطلاعات ناقص",
 IF(L291&lt;=DATA!$M$1,"رعایت شده","رعایت نشده"))))</f>
        <v/>
      </c>
      <c r="P291" s="79"/>
      <c r="Q291" s="77"/>
      <c r="R291" s="79"/>
      <c r="S291" s="79"/>
      <c r="T291" s="78"/>
      <c r="U291" s="80"/>
      <c r="V291" s="78"/>
      <c r="W291" s="77" t="str">
        <f t="array" ref="W291">IF(D291="","",_xlfn.XLOOKUP(D291,DATA!B:B,DATA!L:L,""))</f>
        <v/>
      </c>
      <c r="X291" s="78" t="str">
        <f t="array" ref="X291">IF(F291="","",_xlfn.XLOOKUP(F291,DATA!B:B,DATA!L:L,""))</f>
        <v/>
      </c>
    </row>
    <row r="292">
      <c r="A292" s="81"/>
      <c r="B292" s="79"/>
      <c r="C292" s="57" t="str">
        <f t="array" ref="C292">iferror(_xlfn.XLOOKUP(D292,DATA!B:B,DATA!A:A),"")</f>
        <v/>
      </c>
      <c r="D292" s="82"/>
      <c r="E292" s="89"/>
      <c r="F292" s="83"/>
      <c r="G292" s="78"/>
      <c r="H292" s="64" t="str">
        <f t="array" ref="H292">_xlfn.XLOOKUP(G292,DATA!D:D,DATA!E:E,"")</f>
        <v/>
      </c>
      <c r="I292" s="84"/>
      <c r="J292" s="23"/>
      <c r="K292" s="23"/>
      <c r="L292" s="66" t="str">
        <f t="shared" si="1"/>
        <v/>
      </c>
      <c r="M292" s="77"/>
      <c r="N292" s="78"/>
      <c r="O292" s="66" t="str">
        <f>IF(M292="","",
 IF(M292="عدم پاسخ","بدون پاسخ",
 IF(L292="","اطلاعات ناقص",
 IF(L292&lt;=DATA!$M$1,"رعایت شده","رعایت نشده"))))</f>
        <v/>
      </c>
      <c r="P292" s="79"/>
      <c r="Q292" s="77"/>
      <c r="R292" s="79"/>
      <c r="S292" s="79"/>
      <c r="T292" s="78"/>
      <c r="U292" s="80"/>
      <c r="V292" s="78"/>
      <c r="W292" s="77" t="str">
        <f t="array" ref="W292">IF(D292="","",_xlfn.XLOOKUP(D292,DATA!B:B,DATA!L:L,""))</f>
        <v/>
      </c>
      <c r="X292" s="78" t="str">
        <f t="array" ref="X292">IF(F292="","",_xlfn.XLOOKUP(F292,DATA!B:B,DATA!L:L,""))</f>
        <v/>
      </c>
    </row>
    <row r="293">
      <c r="A293" s="81"/>
      <c r="B293" s="79"/>
      <c r="C293" s="57" t="str">
        <f t="array" ref="C293">iferror(_xlfn.XLOOKUP(D293,DATA!B:B,DATA!A:A),"")</f>
        <v/>
      </c>
      <c r="D293" s="82"/>
      <c r="E293" s="89"/>
      <c r="F293" s="83"/>
      <c r="G293" s="78"/>
      <c r="H293" s="64" t="str">
        <f t="array" ref="H293">_xlfn.XLOOKUP(G293,DATA!D:D,DATA!E:E,"")</f>
        <v/>
      </c>
      <c r="I293" s="84"/>
      <c r="J293" s="23"/>
      <c r="K293" s="23"/>
      <c r="L293" s="66" t="str">
        <f t="shared" si="1"/>
        <v/>
      </c>
      <c r="M293" s="77"/>
      <c r="N293" s="78"/>
      <c r="O293" s="66" t="str">
        <f>IF(M293="","",
 IF(M293="عدم پاسخ","بدون پاسخ",
 IF(L293="","اطلاعات ناقص",
 IF(L293&lt;=DATA!$M$1,"رعایت شده","رعایت نشده"))))</f>
        <v/>
      </c>
      <c r="P293" s="79"/>
      <c r="Q293" s="77"/>
      <c r="R293" s="79"/>
      <c r="S293" s="79"/>
      <c r="T293" s="78"/>
      <c r="U293" s="80"/>
      <c r="V293" s="78"/>
      <c r="W293" s="77" t="str">
        <f t="array" ref="W293">IF(D293="","",_xlfn.XLOOKUP(D293,DATA!B:B,DATA!L:L,""))</f>
        <v/>
      </c>
      <c r="X293" s="78" t="str">
        <f t="array" ref="X293">IF(F293="","",_xlfn.XLOOKUP(F293,DATA!B:B,DATA!L:L,""))</f>
        <v/>
      </c>
    </row>
    <row r="294">
      <c r="A294" s="81"/>
      <c r="B294" s="79"/>
      <c r="C294" s="57" t="str">
        <f t="array" ref="C294">iferror(_xlfn.XLOOKUP(D294,DATA!B:B,DATA!A:A),"")</f>
        <v/>
      </c>
      <c r="D294" s="82"/>
      <c r="E294" s="89"/>
      <c r="F294" s="83"/>
      <c r="G294" s="78"/>
      <c r="H294" s="64" t="str">
        <f t="array" ref="H294">_xlfn.XLOOKUP(G294,DATA!D:D,DATA!E:E,"")</f>
        <v/>
      </c>
      <c r="I294" s="84"/>
      <c r="J294" s="23"/>
      <c r="K294" s="23"/>
      <c r="L294" s="66" t="str">
        <f t="shared" si="1"/>
        <v/>
      </c>
      <c r="M294" s="77"/>
      <c r="N294" s="78"/>
      <c r="O294" s="66" t="str">
        <f>IF(M294="","",
 IF(M294="عدم پاسخ","بدون پاسخ",
 IF(L294="","اطلاعات ناقص",
 IF(L294&lt;=DATA!$M$1,"رعایت شده","رعایت نشده"))))</f>
        <v/>
      </c>
      <c r="P294" s="79"/>
      <c r="Q294" s="77"/>
      <c r="R294" s="79"/>
      <c r="S294" s="79"/>
      <c r="T294" s="78"/>
      <c r="U294" s="80"/>
      <c r="V294" s="78"/>
      <c r="W294" s="77" t="str">
        <f t="array" ref="W294">IF(D294="","",_xlfn.XLOOKUP(D294,DATA!B:B,DATA!L:L,""))</f>
        <v/>
      </c>
      <c r="X294" s="78" t="str">
        <f t="array" ref="X294">IF(F294="","",_xlfn.XLOOKUP(F294,DATA!B:B,DATA!L:L,""))</f>
        <v/>
      </c>
    </row>
    <row r="295">
      <c r="A295" s="81"/>
      <c r="B295" s="79"/>
      <c r="C295" s="57" t="str">
        <f t="array" ref="C295">iferror(_xlfn.XLOOKUP(D295,DATA!B:B,DATA!A:A),"")</f>
        <v/>
      </c>
      <c r="D295" s="82"/>
      <c r="E295" s="89"/>
      <c r="F295" s="83"/>
      <c r="G295" s="78"/>
      <c r="H295" s="64" t="str">
        <f t="array" ref="H295">_xlfn.XLOOKUP(G295,DATA!D:D,DATA!E:E,"")</f>
        <v/>
      </c>
      <c r="I295" s="84"/>
      <c r="J295" s="23"/>
      <c r="K295" s="23"/>
      <c r="L295" s="66" t="str">
        <f t="shared" si="1"/>
        <v/>
      </c>
      <c r="M295" s="77"/>
      <c r="N295" s="78"/>
      <c r="O295" s="66" t="str">
        <f>IF(M295="","",
 IF(M295="عدم پاسخ","بدون پاسخ",
 IF(L295="","اطلاعات ناقص",
 IF(L295&lt;=DATA!$M$1,"رعایت شده","رعایت نشده"))))</f>
        <v/>
      </c>
      <c r="P295" s="79"/>
      <c r="Q295" s="77"/>
      <c r="R295" s="79"/>
      <c r="S295" s="79"/>
      <c r="T295" s="78"/>
      <c r="U295" s="80"/>
      <c r="V295" s="78"/>
      <c r="W295" s="77" t="str">
        <f t="array" ref="W295">IF(D295="","",_xlfn.XLOOKUP(D295,DATA!B:B,DATA!L:L,""))</f>
        <v/>
      </c>
      <c r="X295" s="78" t="str">
        <f t="array" ref="X295">IF(F295="","",_xlfn.XLOOKUP(F295,DATA!B:B,DATA!L:L,""))</f>
        <v/>
      </c>
    </row>
    <row r="296">
      <c r="A296" s="81"/>
      <c r="B296" s="79"/>
      <c r="C296" s="57" t="str">
        <f t="array" ref="C296">iferror(_xlfn.XLOOKUP(D296,DATA!B:B,DATA!A:A),"")</f>
        <v/>
      </c>
      <c r="D296" s="82"/>
      <c r="E296" s="89"/>
      <c r="F296" s="83"/>
      <c r="G296" s="78"/>
      <c r="H296" s="64" t="str">
        <f t="array" ref="H296">_xlfn.XLOOKUP(G296,DATA!D:D,DATA!E:E,"")</f>
        <v/>
      </c>
      <c r="I296" s="84"/>
      <c r="J296" s="23"/>
      <c r="K296" s="23"/>
      <c r="L296" s="66" t="str">
        <f t="shared" si="1"/>
        <v/>
      </c>
      <c r="M296" s="77"/>
      <c r="N296" s="78"/>
      <c r="O296" s="66" t="str">
        <f>IF(M296="","",
 IF(M296="عدم پاسخ","بدون پاسخ",
 IF(L296="","اطلاعات ناقص",
 IF(L296&lt;=DATA!$M$1,"رعایت شده","رعایت نشده"))))</f>
        <v/>
      </c>
      <c r="P296" s="79"/>
      <c r="Q296" s="77"/>
      <c r="R296" s="79"/>
      <c r="S296" s="79"/>
      <c r="T296" s="78"/>
      <c r="U296" s="80"/>
      <c r="V296" s="78"/>
      <c r="W296" s="77" t="str">
        <f t="array" ref="W296">IF(D296="","",_xlfn.XLOOKUP(D296,DATA!B:B,DATA!L:L,""))</f>
        <v/>
      </c>
      <c r="X296" s="78" t="str">
        <f t="array" ref="X296">IF(F296="","",_xlfn.XLOOKUP(F296,DATA!B:B,DATA!L:L,""))</f>
        <v/>
      </c>
    </row>
    <row r="297">
      <c r="A297" s="81"/>
      <c r="B297" s="79"/>
      <c r="C297" s="57" t="str">
        <f t="array" ref="C297">iferror(_xlfn.XLOOKUP(D297,DATA!B:B,DATA!A:A),"")</f>
        <v/>
      </c>
      <c r="D297" s="82"/>
      <c r="E297" s="89"/>
      <c r="F297" s="83"/>
      <c r="G297" s="78"/>
      <c r="H297" s="64" t="str">
        <f t="array" ref="H297">_xlfn.XLOOKUP(G297,DATA!D:D,DATA!E:E,"")</f>
        <v/>
      </c>
      <c r="I297" s="84"/>
      <c r="J297" s="23"/>
      <c r="K297" s="23"/>
      <c r="L297" s="66" t="str">
        <f t="shared" si="1"/>
        <v/>
      </c>
      <c r="M297" s="77"/>
      <c r="N297" s="78"/>
      <c r="O297" s="66" t="str">
        <f>IF(M297="","",
 IF(M297="عدم پاسخ","بدون پاسخ",
 IF(L297="","اطلاعات ناقص",
 IF(L297&lt;=DATA!$M$1,"رعایت شده","رعایت نشده"))))</f>
        <v/>
      </c>
      <c r="P297" s="79"/>
      <c r="Q297" s="77"/>
      <c r="R297" s="79"/>
      <c r="S297" s="79"/>
      <c r="T297" s="78"/>
      <c r="U297" s="80"/>
      <c r="V297" s="78"/>
      <c r="W297" s="77" t="str">
        <f t="array" ref="W297">IF(D297="","",_xlfn.XLOOKUP(D297,DATA!B:B,DATA!L:L,""))</f>
        <v/>
      </c>
      <c r="X297" s="78" t="str">
        <f t="array" ref="X297">IF(F297="","",_xlfn.XLOOKUP(F297,DATA!B:B,DATA!L:L,""))</f>
        <v/>
      </c>
    </row>
    <row r="298">
      <c r="A298" s="81"/>
      <c r="B298" s="79"/>
      <c r="C298" s="57" t="str">
        <f t="array" ref="C298">iferror(_xlfn.XLOOKUP(D298,DATA!B:B,DATA!A:A),"")</f>
        <v/>
      </c>
      <c r="D298" s="82"/>
      <c r="E298" s="89"/>
      <c r="F298" s="83"/>
      <c r="G298" s="78"/>
      <c r="H298" s="64" t="str">
        <f t="array" ref="H298">_xlfn.XLOOKUP(G298,DATA!D:D,DATA!E:E,"")</f>
        <v/>
      </c>
      <c r="I298" s="84"/>
      <c r="J298" s="23"/>
      <c r="K298" s="23"/>
      <c r="L298" s="66" t="str">
        <f t="shared" si="1"/>
        <v/>
      </c>
      <c r="M298" s="77"/>
      <c r="N298" s="78"/>
      <c r="O298" s="66" t="str">
        <f>IF(M298="","",
 IF(M298="عدم پاسخ","بدون پاسخ",
 IF(L298="","اطلاعات ناقص",
 IF(L298&lt;=DATA!$M$1,"رعایت شده","رعایت نشده"))))</f>
        <v/>
      </c>
      <c r="P298" s="79"/>
      <c r="Q298" s="77"/>
      <c r="R298" s="79"/>
      <c r="S298" s="79"/>
      <c r="T298" s="78"/>
      <c r="U298" s="80"/>
      <c r="V298" s="78"/>
      <c r="W298" s="77" t="str">
        <f t="array" ref="W298">IF(D298="","",_xlfn.XLOOKUP(D298,DATA!B:B,DATA!L:L,""))</f>
        <v/>
      </c>
      <c r="X298" s="78" t="str">
        <f t="array" ref="X298">IF(F298="","",_xlfn.XLOOKUP(F298,DATA!B:B,DATA!L:L,""))</f>
        <v/>
      </c>
    </row>
    <row r="299">
      <c r="A299" s="81"/>
      <c r="B299" s="79"/>
      <c r="C299" s="57" t="str">
        <f t="array" ref="C299">iferror(_xlfn.XLOOKUP(D299,DATA!B:B,DATA!A:A),"")</f>
        <v/>
      </c>
      <c r="D299" s="82"/>
      <c r="E299" s="89"/>
      <c r="F299" s="83"/>
      <c r="G299" s="78"/>
      <c r="H299" s="64" t="str">
        <f t="array" ref="H299">_xlfn.XLOOKUP(G299,DATA!D:D,DATA!E:E,"")</f>
        <v/>
      </c>
      <c r="I299" s="84"/>
      <c r="J299" s="23"/>
      <c r="K299" s="23"/>
      <c r="L299" s="66" t="str">
        <f t="shared" si="1"/>
        <v/>
      </c>
      <c r="M299" s="77"/>
      <c r="N299" s="78"/>
      <c r="O299" s="66" t="str">
        <f>IF(M299="","",
 IF(M299="عدم پاسخ","بدون پاسخ",
 IF(L299="","اطلاعات ناقص",
 IF(L299&lt;=DATA!$M$1,"رعایت شده","رعایت نشده"))))</f>
        <v/>
      </c>
      <c r="P299" s="79"/>
      <c r="Q299" s="77"/>
      <c r="R299" s="79"/>
      <c r="S299" s="79"/>
      <c r="T299" s="78"/>
      <c r="U299" s="80"/>
      <c r="V299" s="78"/>
      <c r="W299" s="77" t="str">
        <f t="array" ref="W299">IF(D299="","",_xlfn.XLOOKUP(D299,DATA!B:B,DATA!L:L,""))</f>
        <v/>
      </c>
      <c r="X299" s="78" t="str">
        <f t="array" ref="X299">IF(F299="","",_xlfn.XLOOKUP(F299,DATA!B:B,DATA!L:L,""))</f>
        <v/>
      </c>
    </row>
    <row r="300">
      <c r="A300" s="81"/>
      <c r="B300" s="79"/>
      <c r="C300" s="57" t="str">
        <f t="array" ref="C300">iferror(_xlfn.XLOOKUP(D300,DATA!B:B,DATA!A:A),"")</f>
        <v/>
      </c>
      <c r="D300" s="82"/>
      <c r="E300" s="89"/>
      <c r="F300" s="83"/>
      <c r="G300" s="78"/>
      <c r="H300" s="64" t="str">
        <f t="array" ref="H300">_xlfn.XLOOKUP(G300,DATA!D:D,DATA!E:E,"")</f>
        <v/>
      </c>
      <c r="I300" s="84"/>
      <c r="J300" s="23"/>
      <c r="K300" s="23"/>
      <c r="L300" s="66" t="str">
        <f t="shared" si="1"/>
        <v/>
      </c>
      <c r="M300" s="77"/>
      <c r="N300" s="78"/>
      <c r="O300" s="66" t="str">
        <f>IF(M300="","",
 IF(M300="عدم پاسخ","بدون پاسخ",
 IF(L300="","اطلاعات ناقص",
 IF(L300&lt;=DATA!$M$1,"رعایت شده","رعایت نشده"))))</f>
        <v/>
      </c>
      <c r="P300" s="79"/>
      <c r="Q300" s="77"/>
      <c r="R300" s="79"/>
      <c r="S300" s="79"/>
      <c r="T300" s="78"/>
      <c r="U300" s="80"/>
      <c r="V300" s="78"/>
      <c r="W300" s="77" t="str">
        <f t="array" ref="W300">IF(D300="","",_xlfn.XLOOKUP(D300,DATA!B:B,DATA!L:L,""))</f>
        <v/>
      </c>
      <c r="X300" s="78" t="str">
        <f t="array" ref="X300">IF(F300="","",_xlfn.XLOOKUP(F300,DATA!B:B,DATA!L:L,""))</f>
        <v/>
      </c>
    </row>
    <row r="301">
      <c r="A301" s="81"/>
      <c r="B301" s="79"/>
      <c r="C301" s="57" t="str">
        <f t="array" ref="C301">iferror(_xlfn.XLOOKUP(D301,DATA!B:B,DATA!A:A),"")</f>
        <v/>
      </c>
      <c r="D301" s="82"/>
      <c r="E301" s="89"/>
      <c r="F301" s="83"/>
      <c r="G301" s="78"/>
      <c r="H301" s="64" t="str">
        <f t="array" ref="H301">_xlfn.XLOOKUP(G301,DATA!D:D,DATA!E:E,"")</f>
        <v/>
      </c>
      <c r="I301" s="84"/>
      <c r="J301" s="23"/>
      <c r="K301" s="23"/>
      <c r="L301" s="66" t="str">
        <f t="shared" si="1"/>
        <v/>
      </c>
      <c r="M301" s="77"/>
      <c r="N301" s="78"/>
      <c r="O301" s="66" t="str">
        <f>IF(M301="","",
 IF(M301="عدم پاسخ","بدون پاسخ",
 IF(L301="","اطلاعات ناقص",
 IF(L301&lt;=DATA!$M$1,"رعایت شده","رعایت نشده"))))</f>
        <v/>
      </c>
      <c r="P301" s="79"/>
      <c r="Q301" s="77"/>
      <c r="R301" s="79"/>
      <c r="S301" s="79"/>
      <c r="T301" s="78"/>
      <c r="U301" s="80"/>
      <c r="V301" s="78"/>
      <c r="W301" s="77" t="str">
        <f t="array" ref="W301">IF(D301="","",_xlfn.XLOOKUP(D301,DATA!B:B,DATA!L:L,""))</f>
        <v/>
      </c>
      <c r="X301" s="78" t="str">
        <f t="array" ref="X301">IF(F301="","",_xlfn.XLOOKUP(F301,DATA!B:B,DATA!L:L,""))</f>
        <v/>
      </c>
    </row>
    <row r="302">
      <c r="A302" s="81"/>
      <c r="B302" s="79"/>
      <c r="C302" s="57" t="str">
        <f t="array" ref="C302">iferror(_xlfn.XLOOKUP(D302,DATA!B:B,DATA!A:A),"")</f>
        <v/>
      </c>
      <c r="D302" s="82"/>
      <c r="E302" s="89"/>
      <c r="F302" s="83"/>
      <c r="G302" s="78"/>
      <c r="H302" s="64" t="str">
        <f t="array" ref="H302">_xlfn.XLOOKUP(G302,DATA!D:D,DATA!E:E,"")</f>
        <v/>
      </c>
      <c r="I302" s="84"/>
      <c r="J302" s="23"/>
      <c r="K302" s="23"/>
      <c r="L302" s="66" t="str">
        <f t="shared" si="1"/>
        <v/>
      </c>
      <c r="M302" s="77"/>
      <c r="N302" s="78"/>
      <c r="O302" s="66" t="str">
        <f>IF(M302="","",
 IF(M302="عدم پاسخ","بدون پاسخ",
 IF(L302="","اطلاعات ناقص",
 IF(L302&lt;=DATA!$M$1,"رعایت شده","رعایت نشده"))))</f>
        <v/>
      </c>
      <c r="P302" s="79"/>
      <c r="Q302" s="77"/>
      <c r="R302" s="79"/>
      <c r="S302" s="79"/>
      <c r="T302" s="78"/>
      <c r="U302" s="80"/>
      <c r="V302" s="78"/>
      <c r="W302" s="77" t="str">
        <f t="array" ref="W302">IF(D302="","",_xlfn.XLOOKUP(D302,DATA!B:B,DATA!L:L,""))</f>
        <v/>
      </c>
      <c r="X302" s="78" t="str">
        <f t="array" ref="X302">IF(F302="","",_xlfn.XLOOKUP(F302,DATA!B:B,DATA!L:L,""))</f>
        <v/>
      </c>
    </row>
    <row r="303">
      <c r="A303" s="81"/>
      <c r="B303" s="79"/>
      <c r="C303" s="57" t="str">
        <f t="array" ref="C303">iferror(_xlfn.XLOOKUP(D303,DATA!B:B,DATA!A:A),"")</f>
        <v/>
      </c>
      <c r="D303" s="82"/>
      <c r="E303" s="89"/>
      <c r="F303" s="83"/>
      <c r="G303" s="78"/>
      <c r="H303" s="64" t="str">
        <f t="array" ref="H303">_xlfn.XLOOKUP(G303,DATA!D:D,DATA!E:E,"")</f>
        <v/>
      </c>
      <c r="I303" s="84"/>
      <c r="J303" s="23"/>
      <c r="K303" s="23"/>
      <c r="L303" s="66" t="str">
        <f t="shared" si="1"/>
        <v/>
      </c>
      <c r="M303" s="77"/>
      <c r="N303" s="78"/>
      <c r="O303" s="66" t="str">
        <f>IF(M303="","",
 IF(M303="عدم پاسخ","بدون پاسخ",
 IF(L303="","اطلاعات ناقص",
 IF(L303&lt;=DATA!$M$1,"رعایت شده","رعایت نشده"))))</f>
        <v/>
      </c>
      <c r="P303" s="79"/>
      <c r="Q303" s="77"/>
      <c r="R303" s="79"/>
      <c r="S303" s="79"/>
      <c r="T303" s="78"/>
      <c r="U303" s="80"/>
      <c r="V303" s="78"/>
      <c r="W303" s="77" t="str">
        <f t="array" ref="W303">IF(D303="","",_xlfn.XLOOKUP(D303,DATA!B:B,DATA!L:L,""))</f>
        <v/>
      </c>
      <c r="X303" s="78" t="str">
        <f t="array" ref="X303">IF(F303="","",_xlfn.XLOOKUP(F303,DATA!B:B,DATA!L:L,""))</f>
        <v/>
      </c>
    </row>
    <row r="304">
      <c r="A304" s="81"/>
      <c r="B304" s="79"/>
      <c r="C304" s="57" t="str">
        <f t="array" ref="C304">iferror(_xlfn.XLOOKUP(D304,DATA!B:B,DATA!A:A),"")</f>
        <v/>
      </c>
      <c r="D304" s="82"/>
      <c r="E304" s="89"/>
      <c r="F304" s="83"/>
      <c r="G304" s="78"/>
      <c r="H304" s="64" t="str">
        <f t="array" ref="H304">_xlfn.XLOOKUP(G304,DATA!D:D,DATA!E:E,"")</f>
        <v/>
      </c>
      <c r="I304" s="84"/>
      <c r="J304" s="23"/>
      <c r="K304" s="23"/>
      <c r="L304" s="66" t="str">
        <f t="shared" si="1"/>
        <v/>
      </c>
      <c r="M304" s="77"/>
      <c r="N304" s="78"/>
      <c r="O304" s="66" t="str">
        <f>IF(M304="","",
 IF(M304="عدم پاسخ","بدون پاسخ",
 IF(L304="","اطلاعات ناقص",
 IF(L304&lt;=DATA!$M$1,"رعایت شده","رعایت نشده"))))</f>
        <v/>
      </c>
      <c r="P304" s="79"/>
      <c r="Q304" s="77"/>
      <c r="R304" s="79"/>
      <c r="S304" s="79"/>
      <c r="T304" s="78"/>
      <c r="U304" s="80"/>
      <c r="V304" s="78"/>
      <c r="W304" s="77" t="str">
        <f t="array" ref="W304">IF(D304="","",_xlfn.XLOOKUP(D304,DATA!B:B,DATA!L:L,""))</f>
        <v/>
      </c>
      <c r="X304" s="78" t="str">
        <f t="array" ref="X304">IF(F304="","",_xlfn.XLOOKUP(F304,DATA!B:B,DATA!L:L,""))</f>
        <v/>
      </c>
    </row>
    <row r="305">
      <c r="A305" s="81"/>
      <c r="B305" s="79"/>
      <c r="C305" s="57" t="str">
        <f t="array" ref="C305">iferror(_xlfn.XLOOKUP(D305,DATA!B:B,DATA!A:A),"")</f>
        <v/>
      </c>
      <c r="D305" s="82"/>
      <c r="E305" s="89"/>
      <c r="F305" s="83"/>
      <c r="G305" s="78"/>
      <c r="H305" s="64" t="str">
        <f t="array" ref="H305">_xlfn.XLOOKUP(G305,DATA!D:D,DATA!E:E,"")</f>
        <v/>
      </c>
      <c r="I305" s="84"/>
      <c r="J305" s="23"/>
      <c r="K305" s="23"/>
      <c r="L305" s="66" t="str">
        <f t="shared" si="1"/>
        <v/>
      </c>
      <c r="M305" s="77"/>
      <c r="N305" s="78"/>
      <c r="O305" s="66" t="str">
        <f>IF(M305="","",
 IF(M305="عدم پاسخ","بدون پاسخ",
 IF(L305="","اطلاعات ناقص",
 IF(L305&lt;=DATA!$M$1,"رعایت شده","رعایت نشده"))))</f>
        <v/>
      </c>
      <c r="P305" s="79"/>
      <c r="Q305" s="77"/>
      <c r="R305" s="79"/>
      <c r="S305" s="79"/>
      <c r="T305" s="78"/>
      <c r="U305" s="80"/>
      <c r="V305" s="78"/>
      <c r="W305" s="77" t="str">
        <f t="array" ref="W305">IF(D305="","",_xlfn.XLOOKUP(D305,DATA!B:B,DATA!L:L,""))</f>
        <v/>
      </c>
      <c r="X305" s="78" t="str">
        <f t="array" ref="X305">IF(F305="","",_xlfn.XLOOKUP(F305,DATA!B:B,DATA!L:L,""))</f>
        <v/>
      </c>
    </row>
    <row r="306">
      <c r="A306" s="81"/>
      <c r="B306" s="79"/>
      <c r="C306" s="57" t="str">
        <f t="array" ref="C306">iferror(_xlfn.XLOOKUP(D306,DATA!B:B,DATA!A:A),"")</f>
        <v/>
      </c>
      <c r="D306" s="82"/>
      <c r="E306" s="89"/>
      <c r="F306" s="83"/>
      <c r="G306" s="78"/>
      <c r="H306" s="64" t="str">
        <f t="array" ref="H306">_xlfn.XLOOKUP(G306,DATA!D:D,DATA!E:E,"")</f>
        <v/>
      </c>
      <c r="I306" s="84"/>
      <c r="J306" s="23"/>
      <c r="K306" s="23"/>
      <c r="L306" s="66" t="str">
        <f t="shared" si="1"/>
        <v/>
      </c>
      <c r="M306" s="77"/>
      <c r="N306" s="78"/>
      <c r="O306" s="66" t="str">
        <f>IF(M306="","",
 IF(M306="عدم پاسخ","بدون پاسخ",
 IF(L306="","اطلاعات ناقص",
 IF(L306&lt;=DATA!$M$1,"رعایت شده","رعایت نشده"))))</f>
        <v/>
      </c>
      <c r="P306" s="79"/>
      <c r="Q306" s="77"/>
      <c r="R306" s="79"/>
      <c r="S306" s="79"/>
      <c r="T306" s="78"/>
      <c r="U306" s="80"/>
      <c r="V306" s="78"/>
      <c r="W306" s="77" t="str">
        <f t="array" ref="W306">IF(D306="","",_xlfn.XLOOKUP(D306,DATA!B:B,DATA!L:L,""))</f>
        <v/>
      </c>
      <c r="X306" s="78" t="str">
        <f t="array" ref="X306">IF(F306="","",_xlfn.XLOOKUP(F306,DATA!B:B,DATA!L:L,""))</f>
        <v/>
      </c>
    </row>
    <row r="307">
      <c r="A307" s="81"/>
      <c r="B307" s="79"/>
      <c r="C307" s="57" t="str">
        <f t="array" ref="C307">iferror(_xlfn.XLOOKUP(D307,DATA!B:B,DATA!A:A),"")</f>
        <v/>
      </c>
      <c r="D307" s="82"/>
      <c r="E307" s="89"/>
      <c r="F307" s="83"/>
      <c r="G307" s="78"/>
      <c r="H307" s="64" t="str">
        <f t="array" ref="H307">_xlfn.XLOOKUP(G307,DATA!D:D,DATA!E:E,"")</f>
        <v/>
      </c>
      <c r="I307" s="84"/>
      <c r="J307" s="23"/>
      <c r="K307" s="23"/>
      <c r="L307" s="66" t="str">
        <f t="shared" si="1"/>
        <v/>
      </c>
      <c r="M307" s="77"/>
      <c r="N307" s="78"/>
      <c r="O307" s="66" t="str">
        <f>IF(M307="","",
 IF(M307="عدم پاسخ","بدون پاسخ",
 IF(L307="","اطلاعات ناقص",
 IF(L307&lt;=DATA!$M$1,"رعایت شده","رعایت نشده"))))</f>
        <v/>
      </c>
      <c r="P307" s="79"/>
      <c r="Q307" s="77"/>
      <c r="R307" s="79"/>
      <c r="S307" s="79"/>
      <c r="T307" s="78"/>
      <c r="U307" s="80"/>
      <c r="V307" s="78"/>
      <c r="W307" s="77" t="str">
        <f t="array" ref="W307">IF(D307="","",_xlfn.XLOOKUP(D307,DATA!B:B,DATA!L:L,""))</f>
        <v/>
      </c>
      <c r="X307" s="78" t="str">
        <f t="array" ref="X307">IF(F307="","",_xlfn.XLOOKUP(F307,DATA!B:B,DATA!L:L,""))</f>
        <v/>
      </c>
    </row>
    <row r="308">
      <c r="A308" s="81"/>
      <c r="B308" s="79"/>
      <c r="C308" s="57" t="str">
        <f t="array" ref="C308">iferror(_xlfn.XLOOKUP(D308,DATA!B:B,DATA!A:A),"")</f>
        <v/>
      </c>
      <c r="D308" s="82"/>
      <c r="E308" s="89"/>
      <c r="F308" s="83"/>
      <c r="G308" s="78"/>
      <c r="H308" s="64" t="str">
        <f t="array" ref="H308">_xlfn.XLOOKUP(G308,DATA!D:D,DATA!E:E,"")</f>
        <v/>
      </c>
      <c r="I308" s="84"/>
      <c r="J308" s="23"/>
      <c r="K308" s="23"/>
      <c r="L308" s="66" t="str">
        <f t="shared" si="1"/>
        <v/>
      </c>
      <c r="M308" s="77"/>
      <c r="N308" s="78"/>
      <c r="O308" s="66" t="str">
        <f>IF(M308="","",
 IF(M308="عدم پاسخ","بدون پاسخ",
 IF(L308="","اطلاعات ناقص",
 IF(L308&lt;=DATA!$M$1,"رعایت شده","رعایت نشده"))))</f>
        <v/>
      </c>
      <c r="P308" s="79"/>
      <c r="Q308" s="77"/>
      <c r="R308" s="79"/>
      <c r="S308" s="79"/>
      <c r="T308" s="78"/>
      <c r="U308" s="80"/>
      <c r="V308" s="78"/>
      <c r="W308" s="77" t="str">
        <f t="array" ref="W308">IF(D308="","",_xlfn.XLOOKUP(D308,DATA!B:B,DATA!L:L,""))</f>
        <v/>
      </c>
      <c r="X308" s="78" t="str">
        <f t="array" ref="X308">IF(F308="","",_xlfn.XLOOKUP(F308,DATA!B:B,DATA!L:L,""))</f>
        <v/>
      </c>
    </row>
    <row r="309">
      <c r="A309" s="81"/>
      <c r="B309" s="79"/>
      <c r="C309" s="57" t="str">
        <f t="array" ref="C309">iferror(_xlfn.XLOOKUP(D309,DATA!B:B,DATA!A:A),"")</f>
        <v/>
      </c>
      <c r="D309" s="82"/>
      <c r="E309" s="89"/>
      <c r="F309" s="83"/>
      <c r="G309" s="78"/>
      <c r="H309" s="64" t="str">
        <f t="array" ref="H309">_xlfn.XLOOKUP(G309,DATA!D:D,DATA!E:E,"")</f>
        <v/>
      </c>
      <c r="I309" s="84"/>
      <c r="J309" s="23"/>
      <c r="K309" s="23"/>
      <c r="L309" s="66" t="str">
        <f t="shared" si="1"/>
        <v/>
      </c>
      <c r="M309" s="77"/>
      <c r="N309" s="78"/>
      <c r="O309" s="66" t="str">
        <f>IF(M309="","",
 IF(M309="عدم پاسخ","بدون پاسخ",
 IF(L309="","اطلاعات ناقص",
 IF(L309&lt;=DATA!$M$1,"رعایت شده","رعایت نشده"))))</f>
        <v/>
      </c>
      <c r="P309" s="79"/>
      <c r="Q309" s="77"/>
      <c r="R309" s="79"/>
      <c r="S309" s="79"/>
      <c r="T309" s="78"/>
      <c r="U309" s="80"/>
      <c r="V309" s="78"/>
      <c r="W309" s="77" t="str">
        <f t="array" ref="W309">IF(D309="","",_xlfn.XLOOKUP(D309,DATA!B:B,DATA!L:L,""))</f>
        <v/>
      </c>
      <c r="X309" s="78" t="str">
        <f t="array" ref="X309">IF(F309="","",_xlfn.XLOOKUP(F309,DATA!B:B,DATA!L:L,""))</f>
        <v/>
      </c>
    </row>
    <row r="310">
      <c r="A310" s="81"/>
      <c r="B310" s="79"/>
      <c r="C310" s="57" t="str">
        <f t="array" ref="C310">iferror(_xlfn.XLOOKUP(D310,DATA!B:B,DATA!A:A),"")</f>
        <v/>
      </c>
      <c r="D310" s="82"/>
      <c r="E310" s="89"/>
      <c r="F310" s="83"/>
      <c r="G310" s="78"/>
      <c r="H310" s="64" t="str">
        <f t="array" ref="H310">_xlfn.XLOOKUP(G310,DATA!D:D,DATA!E:E,"")</f>
        <v/>
      </c>
      <c r="I310" s="84"/>
      <c r="J310" s="23"/>
      <c r="K310" s="23"/>
      <c r="L310" s="66" t="str">
        <f t="shared" si="1"/>
        <v/>
      </c>
      <c r="M310" s="77"/>
      <c r="N310" s="78"/>
      <c r="O310" s="66" t="str">
        <f>IF(M310="","",
 IF(M310="عدم پاسخ","بدون پاسخ",
 IF(L310="","اطلاعات ناقص",
 IF(L310&lt;=DATA!$M$1,"رعایت شده","رعایت نشده"))))</f>
        <v/>
      </c>
      <c r="P310" s="79"/>
      <c r="Q310" s="77"/>
      <c r="R310" s="79"/>
      <c r="S310" s="79"/>
      <c r="T310" s="78"/>
      <c r="U310" s="80"/>
      <c r="V310" s="78"/>
      <c r="W310" s="77" t="str">
        <f t="array" ref="W310">IF(D310="","",_xlfn.XLOOKUP(D310,DATA!B:B,DATA!L:L,""))</f>
        <v/>
      </c>
      <c r="X310" s="78" t="str">
        <f t="array" ref="X310">IF(F310="","",_xlfn.XLOOKUP(F310,DATA!B:B,DATA!L:L,""))</f>
        <v/>
      </c>
    </row>
    <row r="311">
      <c r="A311" s="81"/>
      <c r="B311" s="79"/>
      <c r="C311" s="57" t="str">
        <f t="array" ref="C311">iferror(_xlfn.XLOOKUP(D311,DATA!B:B,DATA!A:A),"")</f>
        <v/>
      </c>
      <c r="D311" s="82"/>
      <c r="E311" s="89"/>
      <c r="F311" s="83"/>
      <c r="G311" s="78"/>
      <c r="H311" s="64" t="str">
        <f t="array" ref="H311">_xlfn.XLOOKUP(G311,DATA!D:D,DATA!E:E,"")</f>
        <v/>
      </c>
      <c r="I311" s="84"/>
      <c r="J311" s="23"/>
      <c r="K311" s="23"/>
      <c r="L311" s="66" t="str">
        <f t="shared" si="1"/>
        <v/>
      </c>
      <c r="M311" s="77"/>
      <c r="N311" s="78"/>
      <c r="O311" s="66" t="str">
        <f>IF(M311="","",
 IF(M311="عدم پاسخ","بدون پاسخ",
 IF(L311="","اطلاعات ناقص",
 IF(L311&lt;=DATA!$M$1,"رعایت شده","رعایت نشده"))))</f>
        <v/>
      </c>
      <c r="P311" s="79"/>
      <c r="Q311" s="77"/>
      <c r="R311" s="79"/>
      <c r="S311" s="79"/>
      <c r="T311" s="78"/>
      <c r="U311" s="80"/>
      <c r="V311" s="78"/>
      <c r="W311" s="77" t="str">
        <f t="array" ref="W311">IF(D311="","",_xlfn.XLOOKUP(D311,DATA!B:B,DATA!L:L,""))</f>
        <v/>
      </c>
      <c r="X311" s="78" t="str">
        <f t="array" ref="X311">IF(F311="","",_xlfn.XLOOKUP(F311,DATA!B:B,DATA!L:L,""))</f>
        <v/>
      </c>
    </row>
    <row r="312">
      <c r="A312" s="81"/>
      <c r="B312" s="79"/>
      <c r="C312" s="57" t="str">
        <f t="array" ref="C312">iferror(_xlfn.XLOOKUP(D312,DATA!B:B,DATA!A:A),"")</f>
        <v/>
      </c>
      <c r="D312" s="82"/>
      <c r="E312" s="89"/>
      <c r="F312" s="83"/>
      <c r="G312" s="78"/>
      <c r="H312" s="64" t="str">
        <f t="array" ref="H312">_xlfn.XLOOKUP(G312,DATA!D:D,DATA!E:E,"")</f>
        <v/>
      </c>
      <c r="I312" s="84"/>
      <c r="J312" s="23"/>
      <c r="K312" s="23"/>
      <c r="L312" s="66" t="str">
        <f t="shared" si="1"/>
        <v/>
      </c>
      <c r="M312" s="77"/>
      <c r="N312" s="78"/>
      <c r="O312" s="66" t="str">
        <f>IF(M312="","",
 IF(M312="عدم پاسخ","بدون پاسخ",
 IF(L312="","اطلاعات ناقص",
 IF(L312&lt;=DATA!$M$1,"رعایت شده","رعایت نشده"))))</f>
        <v/>
      </c>
      <c r="P312" s="79"/>
      <c r="Q312" s="77"/>
      <c r="R312" s="79"/>
      <c r="S312" s="79"/>
      <c r="T312" s="78"/>
      <c r="U312" s="80"/>
      <c r="V312" s="78"/>
      <c r="W312" s="77" t="str">
        <f t="array" ref="W312">IF(D312="","",_xlfn.XLOOKUP(D312,DATA!B:B,DATA!L:L,""))</f>
        <v/>
      </c>
      <c r="X312" s="78" t="str">
        <f t="array" ref="X312">IF(F312="","",_xlfn.XLOOKUP(F312,DATA!B:B,DATA!L:L,""))</f>
        <v/>
      </c>
    </row>
    <row r="313">
      <c r="A313" s="81"/>
      <c r="B313" s="79"/>
      <c r="C313" s="57" t="str">
        <f t="array" ref="C313">iferror(_xlfn.XLOOKUP(D313,DATA!B:B,DATA!A:A),"")</f>
        <v/>
      </c>
      <c r="D313" s="82"/>
      <c r="E313" s="89"/>
      <c r="F313" s="83"/>
      <c r="G313" s="78"/>
      <c r="H313" s="64" t="str">
        <f t="array" ref="H313">_xlfn.XLOOKUP(G313,DATA!D:D,DATA!E:E,"")</f>
        <v/>
      </c>
      <c r="I313" s="84"/>
      <c r="J313" s="23"/>
      <c r="K313" s="23"/>
      <c r="L313" s="66" t="str">
        <f t="shared" si="1"/>
        <v/>
      </c>
      <c r="M313" s="77"/>
      <c r="N313" s="78"/>
      <c r="O313" s="66" t="str">
        <f>IF(M313="","",
 IF(M313="عدم پاسخ","بدون پاسخ",
 IF(L313="","اطلاعات ناقص",
 IF(L313&lt;=DATA!$M$1,"رعایت شده","رعایت نشده"))))</f>
        <v/>
      </c>
      <c r="P313" s="79"/>
      <c r="Q313" s="77"/>
      <c r="R313" s="79"/>
      <c r="S313" s="79"/>
      <c r="T313" s="78"/>
      <c r="U313" s="80"/>
      <c r="V313" s="78"/>
      <c r="W313" s="77" t="str">
        <f t="array" ref="W313">IF(D313="","",_xlfn.XLOOKUP(D313,DATA!B:B,DATA!L:L,""))</f>
        <v/>
      </c>
      <c r="X313" s="78" t="str">
        <f t="array" ref="X313">IF(F313="","",_xlfn.XLOOKUP(F313,DATA!B:B,DATA!L:L,""))</f>
        <v/>
      </c>
    </row>
    <row r="314">
      <c r="A314" s="81"/>
      <c r="B314" s="79"/>
      <c r="C314" s="57" t="str">
        <f t="array" ref="C314">iferror(_xlfn.XLOOKUP(D314,DATA!B:B,DATA!A:A),"")</f>
        <v/>
      </c>
      <c r="D314" s="82"/>
      <c r="E314" s="89"/>
      <c r="F314" s="83"/>
      <c r="G314" s="78"/>
      <c r="H314" s="64" t="str">
        <f t="array" ref="H314">_xlfn.XLOOKUP(G314,DATA!D:D,DATA!E:E,"")</f>
        <v/>
      </c>
      <c r="I314" s="84"/>
      <c r="J314" s="23"/>
      <c r="K314" s="23"/>
      <c r="L314" s="66" t="str">
        <f t="shared" si="1"/>
        <v/>
      </c>
      <c r="M314" s="77"/>
      <c r="N314" s="78"/>
      <c r="O314" s="66" t="str">
        <f>IF(M314="","",
 IF(M314="عدم پاسخ","بدون پاسخ",
 IF(L314="","اطلاعات ناقص",
 IF(L314&lt;=DATA!$M$1,"رعایت شده","رعایت نشده"))))</f>
        <v/>
      </c>
      <c r="P314" s="79"/>
      <c r="Q314" s="77"/>
      <c r="R314" s="79"/>
      <c r="S314" s="79"/>
      <c r="T314" s="78"/>
      <c r="U314" s="80"/>
      <c r="V314" s="78"/>
      <c r="W314" s="77" t="str">
        <f t="array" ref="W314">IF(D314="","",_xlfn.XLOOKUP(D314,DATA!B:B,DATA!L:L,""))</f>
        <v/>
      </c>
      <c r="X314" s="78" t="str">
        <f t="array" ref="X314">IF(F314="","",_xlfn.XLOOKUP(F314,DATA!B:B,DATA!L:L,""))</f>
        <v/>
      </c>
    </row>
    <row r="315">
      <c r="A315" s="81"/>
      <c r="B315" s="79"/>
      <c r="C315" s="57" t="str">
        <f t="array" ref="C315">iferror(_xlfn.XLOOKUP(D315,DATA!B:B,DATA!A:A),"")</f>
        <v/>
      </c>
      <c r="D315" s="82"/>
      <c r="E315" s="89"/>
      <c r="F315" s="83"/>
      <c r="G315" s="78"/>
      <c r="H315" s="64" t="str">
        <f t="array" ref="H315">_xlfn.XLOOKUP(G315,DATA!D:D,DATA!E:E,"")</f>
        <v/>
      </c>
      <c r="I315" s="84"/>
      <c r="J315" s="23"/>
      <c r="K315" s="23"/>
      <c r="L315" s="66" t="str">
        <f t="shared" si="1"/>
        <v/>
      </c>
      <c r="M315" s="77"/>
      <c r="N315" s="78"/>
      <c r="O315" s="66" t="str">
        <f>IF(M315="","",
 IF(M315="عدم پاسخ","بدون پاسخ",
 IF(L315="","اطلاعات ناقص",
 IF(L315&lt;=DATA!$M$1,"رعایت شده","رعایت نشده"))))</f>
        <v/>
      </c>
      <c r="P315" s="79"/>
      <c r="Q315" s="77"/>
      <c r="R315" s="79"/>
      <c r="S315" s="79"/>
      <c r="T315" s="78"/>
      <c r="U315" s="80"/>
      <c r="V315" s="78"/>
      <c r="W315" s="77" t="str">
        <f t="array" ref="W315">IF(D315="","",_xlfn.XLOOKUP(D315,DATA!B:B,DATA!L:L,""))</f>
        <v/>
      </c>
      <c r="X315" s="78" t="str">
        <f t="array" ref="X315">IF(F315="","",_xlfn.XLOOKUP(F315,DATA!B:B,DATA!L:L,""))</f>
        <v/>
      </c>
    </row>
    <row r="316">
      <c r="A316" s="81"/>
      <c r="B316" s="79"/>
      <c r="C316" s="57" t="str">
        <f t="array" ref="C316">iferror(_xlfn.XLOOKUP(D316,DATA!B:B,DATA!A:A),"")</f>
        <v/>
      </c>
      <c r="D316" s="82"/>
      <c r="E316" s="89"/>
      <c r="F316" s="83"/>
      <c r="G316" s="78"/>
      <c r="H316" s="64" t="str">
        <f t="array" ref="H316">_xlfn.XLOOKUP(G316,DATA!D:D,DATA!E:E,"")</f>
        <v/>
      </c>
      <c r="I316" s="84"/>
      <c r="J316" s="23"/>
      <c r="K316" s="23"/>
      <c r="L316" s="66" t="str">
        <f t="shared" si="1"/>
        <v/>
      </c>
      <c r="M316" s="77"/>
      <c r="N316" s="78"/>
      <c r="O316" s="66" t="str">
        <f>IF(M316="","",
 IF(M316="عدم پاسخ","بدون پاسخ",
 IF(L316="","اطلاعات ناقص",
 IF(L316&lt;=DATA!$M$1,"رعایت شده","رعایت نشده"))))</f>
        <v/>
      </c>
      <c r="P316" s="79"/>
      <c r="Q316" s="77"/>
      <c r="R316" s="79"/>
      <c r="S316" s="79"/>
      <c r="T316" s="78"/>
      <c r="U316" s="80"/>
      <c r="V316" s="78"/>
      <c r="W316" s="77" t="str">
        <f t="array" ref="W316">IF(D316="","",_xlfn.XLOOKUP(D316,DATA!B:B,DATA!L:L,""))</f>
        <v/>
      </c>
      <c r="X316" s="78" t="str">
        <f t="array" ref="X316">IF(F316="","",_xlfn.XLOOKUP(F316,DATA!B:B,DATA!L:L,""))</f>
        <v/>
      </c>
    </row>
    <row r="317">
      <c r="A317" s="81"/>
      <c r="B317" s="79"/>
      <c r="C317" s="57" t="str">
        <f t="array" ref="C317">iferror(_xlfn.XLOOKUP(D317,DATA!B:B,DATA!A:A),"")</f>
        <v/>
      </c>
      <c r="D317" s="82"/>
      <c r="E317" s="89"/>
      <c r="F317" s="83"/>
      <c r="G317" s="78"/>
      <c r="H317" s="64" t="str">
        <f t="array" ref="H317">_xlfn.XLOOKUP(G317,DATA!D:D,DATA!E:E,"")</f>
        <v/>
      </c>
      <c r="I317" s="84"/>
      <c r="J317" s="23"/>
      <c r="K317" s="23"/>
      <c r="L317" s="66" t="str">
        <f t="shared" si="1"/>
        <v/>
      </c>
      <c r="M317" s="77"/>
      <c r="N317" s="78"/>
      <c r="O317" s="66" t="str">
        <f>IF(M317="","",
 IF(M317="عدم پاسخ","بدون پاسخ",
 IF(L317="","اطلاعات ناقص",
 IF(L317&lt;=DATA!$M$1,"رعایت شده","رعایت نشده"))))</f>
        <v/>
      </c>
      <c r="P317" s="79"/>
      <c r="Q317" s="77"/>
      <c r="R317" s="79"/>
      <c r="S317" s="79"/>
      <c r="T317" s="78"/>
      <c r="U317" s="80"/>
      <c r="V317" s="78"/>
      <c r="W317" s="77" t="str">
        <f t="array" ref="W317">IF(D317="","",_xlfn.XLOOKUP(D317,DATA!B:B,DATA!L:L,""))</f>
        <v/>
      </c>
      <c r="X317" s="78" t="str">
        <f t="array" ref="X317">IF(F317="","",_xlfn.XLOOKUP(F317,DATA!B:B,DATA!L:L,""))</f>
        <v/>
      </c>
    </row>
    <row r="318">
      <c r="A318" s="81"/>
      <c r="B318" s="79"/>
      <c r="C318" s="57" t="str">
        <f t="array" ref="C318">iferror(_xlfn.XLOOKUP(D318,DATA!B:B,DATA!A:A),"")</f>
        <v/>
      </c>
      <c r="D318" s="82"/>
      <c r="E318" s="89"/>
      <c r="F318" s="83"/>
      <c r="G318" s="78"/>
      <c r="H318" s="64" t="str">
        <f t="array" ref="H318">_xlfn.XLOOKUP(G318,DATA!D:D,DATA!E:E,"")</f>
        <v/>
      </c>
      <c r="I318" s="84"/>
      <c r="J318" s="23"/>
      <c r="K318" s="23"/>
      <c r="L318" s="66" t="str">
        <f t="shared" si="1"/>
        <v/>
      </c>
      <c r="M318" s="77"/>
      <c r="N318" s="78"/>
      <c r="O318" s="66" t="str">
        <f>IF(M318="","",
 IF(M318="عدم پاسخ","بدون پاسخ",
 IF(L318="","اطلاعات ناقص",
 IF(L318&lt;=DATA!$M$1,"رعایت شده","رعایت نشده"))))</f>
        <v/>
      </c>
      <c r="P318" s="79"/>
      <c r="Q318" s="77"/>
      <c r="R318" s="79"/>
      <c r="S318" s="79"/>
      <c r="T318" s="78"/>
      <c r="U318" s="80"/>
      <c r="V318" s="78"/>
      <c r="W318" s="77" t="str">
        <f t="array" ref="W318">IF(D318="","",_xlfn.XLOOKUP(D318,DATA!B:B,DATA!L:L,""))</f>
        <v/>
      </c>
      <c r="X318" s="78" t="str">
        <f t="array" ref="X318">IF(F318="","",_xlfn.XLOOKUP(F318,DATA!B:B,DATA!L:L,""))</f>
        <v/>
      </c>
    </row>
    <row r="319">
      <c r="A319" s="81"/>
      <c r="B319" s="79"/>
      <c r="C319" s="57" t="str">
        <f t="array" ref="C319">iferror(_xlfn.XLOOKUP(D319,DATA!B:B,DATA!A:A),"")</f>
        <v/>
      </c>
      <c r="D319" s="82"/>
      <c r="E319" s="89"/>
      <c r="F319" s="83"/>
      <c r="G319" s="78"/>
      <c r="H319" s="64" t="str">
        <f t="array" ref="H319">_xlfn.XLOOKUP(G319,DATA!D:D,DATA!E:E,"")</f>
        <v/>
      </c>
      <c r="I319" s="84"/>
      <c r="J319" s="23"/>
      <c r="K319" s="23"/>
      <c r="L319" s="66" t="str">
        <f t="shared" si="1"/>
        <v/>
      </c>
      <c r="M319" s="77"/>
      <c r="N319" s="78"/>
      <c r="O319" s="66" t="str">
        <f>IF(M319="","",
 IF(M319="عدم پاسخ","بدون پاسخ",
 IF(L319="","اطلاعات ناقص",
 IF(L319&lt;=DATA!$M$1,"رعایت شده","رعایت نشده"))))</f>
        <v/>
      </c>
      <c r="P319" s="79"/>
      <c r="Q319" s="77"/>
      <c r="R319" s="79"/>
      <c r="S319" s="79"/>
      <c r="T319" s="78"/>
      <c r="U319" s="80"/>
      <c r="V319" s="78"/>
      <c r="W319" s="77" t="str">
        <f t="array" ref="W319">IF(D319="","",_xlfn.XLOOKUP(D319,DATA!B:B,DATA!L:L,""))</f>
        <v/>
      </c>
      <c r="X319" s="78" t="str">
        <f t="array" ref="X319">IF(F319="","",_xlfn.XLOOKUP(F319,DATA!B:B,DATA!L:L,""))</f>
        <v/>
      </c>
    </row>
    <row r="320">
      <c r="A320" s="81"/>
      <c r="B320" s="79"/>
      <c r="C320" s="57" t="str">
        <f t="array" ref="C320">iferror(_xlfn.XLOOKUP(D320,DATA!B:B,DATA!A:A),"")</f>
        <v/>
      </c>
      <c r="D320" s="82"/>
      <c r="E320" s="89"/>
      <c r="F320" s="83"/>
      <c r="G320" s="78"/>
      <c r="H320" s="64" t="str">
        <f t="array" ref="H320">_xlfn.XLOOKUP(G320,DATA!D:D,DATA!E:E,"")</f>
        <v/>
      </c>
      <c r="I320" s="84"/>
      <c r="J320" s="23"/>
      <c r="K320" s="23"/>
      <c r="L320" s="66" t="str">
        <f t="shared" si="1"/>
        <v/>
      </c>
      <c r="M320" s="77"/>
      <c r="N320" s="78"/>
      <c r="O320" s="66" t="str">
        <f>IF(M320="","",
 IF(M320="عدم پاسخ","بدون پاسخ",
 IF(L320="","اطلاعات ناقص",
 IF(L320&lt;=DATA!$M$1,"رعایت شده","رعایت نشده"))))</f>
        <v/>
      </c>
      <c r="P320" s="79"/>
      <c r="Q320" s="77"/>
      <c r="R320" s="79"/>
      <c r="S320" s="79"/>
      <c r="T320" s="78"/>
      <c r="U320" s="80"/>
      <c r="V320" s="78"/>
      <c r="W320" s="77" t="str">
        <f t="array" ref="W320">IF(D320="","",_xlfn.XLOOKUP(D320,DATA!B:B,DATA!L:L,""))</f>
        <v/>
      </c>
      <c r="X320" s="78" t="str">
        <f t="array" ref="X320">IF(F320="","",_xlfn.XLOOKUP(F320,DATA!B:B,DATA!L:L,""))</f>
        <v/>
      </c>
    </row>
    <row r="321">
      <c r="A321" s="81"/>
      <c r="B321" s="79"/>
      <c r="C321" s="57" t="str">
        <f t="array" ref="C321">iferror(_xlfn.XLOOKUP(D321,DATA!B:B,DATA!A:A),"")</f>
        <v/>
      </c>
      <c r="D321" s="82"/>
      <c r="E321" s="89"/>
      <c r="F321" s="83"/>
      <c r="G321" s="78"/>
      <c r="H321" s="64" t="str">
        <f t="array" ref="H321">_xlfn.XLOOKUP(G321,DATA!D:D,DATA!E:E,"")</f>
        <v/>
      </c>
      <c r="I321" s="84"/>
      <c r="J321" s="23"/>
      <c r="K321" s="23"/>
      <c r="L321" s="66" t="str">
        <f t="shared" si="1"/>
        <v/>
      </c>
      <c r="M321" s="77"/>
      <c r="N321" s="78"/>
      <c r="O321" s="66" t="str">
        <f>IF(M321="","",
 IF(M321="عدم پاسخ","بدون پاسخ",
 IF(L321="","اطلاعات ناقص",
 IF(L321&lt;=DATA!$M$1,"رعایت شده","رعایت نشده"))))</f>
        <v/>
      </c>
      <c r="P321" s="79"/>
      <c r="Q321" s="77"/>
      <c r="R321" s="79"/>
      <c r="S321" s="79"/>
      <c r="T321" s="78"/>
      <c r="U321" s="80"/>
      <c r="V321" s="78"/>
      <c r="W321" s="77" t="str">
        <f t="array" ref="W321">IF(D321="","",_xlfn.XLOOKUP(D321,DATA!B:B,DATA!L:L,""))</f>
        <v/>
      </c>
      <c r="X321" s="78" t="str">
        <f t="array" ref="X321">IF(F321="","",_xlfn.XLOOKUP(F321,DATA!B:B,DATA!L:L,""))</f>
        <v/>
      </c>
    </row>
    <row r="322">
      <c r="A322" s="81"/>
      <c r="B322" s="79"/>
      <c r="C322" s="57" t="str">
        <f t="array" ref="C322">iferror(_xlfn.XLOOKUP(D322,DATA!B:B,DATA!A:A),"")</f>
        <v/>
      </c>
      <c r="D322" s="82"/>
      <c r="E322" s="89"/>
      <c r="F322" s="83"/>
      <c r="G322" s="78"/>
      <c r="H322" s="64" t="str">
        <f t="array" ref="H322">_xlfn.XLOOKUP(G322,DATA!D:D,DATA!E:E,"")</f>
        <v/>
      </c>
      <c r="I322" s="84"/>
      <c r="J322" s="23"/>
      <c r="K322" s="23"/>
      <c r="L322" s="66" t="str">
        <f t="shared" si="1"/>
        <v/>
      </c>
      <c r="M322" s="77"/>
      <c r="N322" s="78"/>
      <c r="O322" s="66" t="str">
        <f>IF(M322="","",
 IF(M322="عدم پاسخ","بدون پاسخ",
 IF(L322="","اطلاعات ناقص",
 IF(L322&lt;=DATA!$M$1,"رعایت شده","رعایت نشده"))))</f>
        <v/>
      </c>
      <c r="P322" s="79"/>
      <c r="Q322" s="77"/>
      <c r="R322" s="79"/>
      <c r="S322" s="79"/>
      <c r="T322" s="78"/>
      <c r="U322" s="80"/>
      <c r="V322" s="78"/>
      <c r="W322" s="77" t="str">
        <f t="array" ref="W322">IF(D322="","",_xlfn.XLOOKUP(D322,DATA!B:B,DATA!L:L,""))</f>
        <v/>
      </c>
      <c r="X322" s="78" t="str">
        <f t="array" ref="X322">IF(F322="","",_xlfn.XLOOKUP(F322,DATA!B:B,DATA!L:L,""))</f>
        <v/>
      </c>
    </row>
    <row r="323">
      <c r="A323" s="81"/>
      <c r="B323" s="79"/>
      <c r="C323" s="57" t="str">
        <f t="array" ref="C323">iferror(_xlfn.XLOOKUP(D323,DATA!B:B,DATA!A:A),"")</f>
        <v/>
      </c>
      <c r="D323" s="82"/>
      <c r="E323" s="89"/>
      <c r="F323" s="83"/>
      <c r="G323" s="78"/>
      <c r="H323" s="64" t="str">
        <f t="array" ref="H323">_xlfn.XLOOKUP(G323,DATA!D:D,DATA!E:E,"")</f>
        <v/>
      </c>
      <c r="I323" s="84"/>
      <c r="J323" s="23"/>
      <c r="K323" s="23"/>
      <c r="L323" s="66" t="str">
        <f t="shared" si="1"/>
        <v/>
      </c>
      <c r="M323" s="77"/>
      <c r="N323" s="78"/>
      <c r="O323" s="66" t="str">
        <f>IF(M323="","",
 IF(M323="عدم پاسخ","بدون پاسخ",
 IF(L323="","اطلاعات ناقص",
 IF(L323&lt;=DATA!$M$1,"رعایت شده","رعایت نشده"))))</f>
        <v/>
      </c>
      <c r="P323" s="79"/>
      <c r="Q323" s="77"/>
      <c r="R323" s="79"/>
      <c r="S323" s="79"/>
      <c r="T323" s="78"/>
      <c r="U323" s="80"/>
      <c r="V323" s="78"/>
      <c r="W323" s="77" t="str">
        <f t="array" ref="W323">IF(D323="","",_xlfn.XLOOKUP(D323,DATA!B:B,DATA!L:L,""))</f>
        <v/>
      </c>
      <c r="X323" s="78" t="str">
        <f t="array" ref="X323">IF(F323="","",_xlfn.XLOOKUP(F323,DATA!B:B,DATA!L:L,""))</f>
        <v/>
      </c>
    </row>
    <row r="324">
      <c r="A324" s="81"/>
      <c r="B324" s="79"/>
      <c r="C324" s="57" t="str">
        <f t="array" ref="C324">iferror(_xlfn.XLOOKUP(D324,DATA!B:B,DATA!A:A),"")</f>
        <v/>
      </c>
      <c r="D324" s="82"/>
      <c r="E324" s="89"/>
      <c r="F324" s="83"/>
      <c r="G324" s="78"/>
      <c r="H324" s="64" t="str">
        <f t="array" ref="H324">_xlfn.XLOOKUP(G324,DATA!D:D,DATA!E:E,"")</f>
        <v/>
      </c>
      <c r="I324" s="84"/>
      <c r="J324" s="23"/>
      <c r="K324" s="23"/>
      <c r="L324" s="66" t="str">
        <f t="shared" si="1"/>
        <v/>
      </c>
      <c r="M324" s="77"/>
      <c r="N324" s="78"/>
      <c r="O324" s="66" t="str">
        <f>IF(M324="","",
 IF(M324="عدم پاسخ","بدون پاسخ",
 IF(L324="","اطلاعات ناقص",
 IF(L324&lt;=DATA!$M$1,"رعایت شده","رعایت نشده"))))</f>
        <v/>
      </c>
      <c r="P324" s="79"/>
      <c r="Q324" s="77"/>
      <c r="R324" s="79"/>
      <c r="S324" s="79"/>
      <c r="T324" s="78"/>
      <c r="U324" s="80"/>
      <c r="V324" s="78"/>
      <c r="W324" s="77" t="str">
        <f t="array" ref="W324">IF(D324="","",_xlfn.XLOOKUP(D324,DATA!B:B,DATA!L:L,""))</f>
        <v/>
      </c>
      <c r="X324" s="78" t="str">
        <f t="array" ref="X324">IF(F324="","",_xlfn.XLOOKUP(F324,DATA!B:B,DATA!L:L,""))</f>
        <v/>
      </c>
    </row>
    <row r="325">
      <c r="A325" s="81"/>
      <c r="B325" s="79"/>
      <c r="C325" s="57" t="str">
        <f t="array" ref="C325">iferror(_xlfn.XLOOKUP(D325,DATA!B:B,DATA!A:A),"")</f>
        <v/>
      </c>
      <c r="D325" s="82"/>
      <c r="E325" s="89"/>
      <c r="F325" s="83"/>
      <c r="G325" s="78"/>
      <c r="H325" s="64" t="str">
        <f t="array" ref="H325">_xlfn.XLOOKUP(G325,DATA!D:D,DATA!E:E,"")</f>
        <v/>
      </c>
      <c r="I325" s="84"/>
      <c r="J325" s="23"/>
      <c r="K325" s="23"/>
      <c r="L325" s="66" t="str">
        <f t="shared" si="1"/>
        <v/>
      </c>
      <c r="M325" s="77"/>
      <c r="N325" s="78"/>
      <c r="O325" s="66" t="str">
        <f>IF(M325="","",
 IF(M325="عدم پاسخ","بدون پاسخ",
 IF(L325="","اطلاعات ناقص",
 IF(L325&lt;=DATA!$M$1,"رعایت شده","رعایت نشده"))))</f>
        <v/>
      </c>
      <c r="P325" s="79"/>
      <c r="Q325" s="77"/>
      <c r="R325" s="79"/>
      <c r="S325" s="79"/>
      <c r="T325" s="78"/>
      <c r="U325" s="80"/>
      <c r="V325" s="78"/>
      <c r="W325" s="77" t="str">
        <f t="array" ref="W325">IF(D325="","",_xlfn.XLOOKUP(D325,DATA!B:B,DATA!L:L,""))</f>
        <v/>
      </c>
      <c r="X325" s="78" t="str">
        <f t="array" ref="X325">IF(F325="","",_xlfn.XLOOKUP(F325,DATA!B:B,DATA!L:L,""))</f>
        <v/>
      </c>
    </row>
    <row r="326">
      <c r="A326" s="81"/>
      <c r="B326" s="79"/>
      <c r="C326" s="57" t="str">
        <f t="array" ref="C326">iferror(_xlfn.XLOOKUP(D326,DATA!B:B,DATA!A:A),"")</f>
        <v/>
      </c>
      <c r="D326" s="82"/>
      <c r="E326" s="89"/>
      <c r="F326" s="83"/>
      <c r="G326" s="78"/>
      <c r="H326" s="64" t="str">
        <f t="array" ref="H326">_xlfn.XLOOKUP(G326,DATA!D:D,DATA!E:E,"")</f>
        <v/>
      </c>
      <c r="I326" s="84"/>
      <c r="J326" s="23"/>
      <c r="K326" s="23"/>
      <c r="L326" s="66" t="str">
        <f t="shared" si="1"/>
        <v/>
      </c>
      <c r="M326" s="77"/>
      <c r="N326" s="78"/>
      <c r="O326" s="66" t="str">
        <f>IF(M326="","",
 IF(M326="عدم پاسخ","بدون پاسخ",
 IF(L326="","اطلاعات ناقص",
 IF(L326&lt;=DATA!$M$1,"رعایت شده","رعایت نشده"))))</f>
        <v/>
      </c>
      <c r="P326" s="79"/>
      <c r="Q326" s="77"/>
      <c r="R326" s="79"/>
      <c r="S326" s="79"/>
      <c r="T326" s="78"/>
      <c r="U326" s="80"/>
      <c r="V326" s="78"/>
      <c r="W326" s="77" t="str">
        <f t="array" ref="W326">IF(D326="","",_xlfn.XLOOKUP(D326,DATA!B:B,DATA!L:L,""))</f>
        <v/>
      </c>
      <c r="X326" s="78" t="str">
        <f t="array" ref="X326">IF(F326="","",_xlfn.XLOOKUP(F326,DATA!B:B,DATA!L:L,""))</f>
        <v/>
      </c>
    </row>
    <row r="327">
      <c r="A327" s="81"/>
      <c r="B327" s="79"/>
      <c r="C327" s="57" t="str">
        <f t="array" ref="C327">iferror(_xlfn.XLOOKUP(D327,DATA!B:B,DATA!A:A),"")</f>
        <v/>
      </c>
      <c r="D327" s="82"/>
      <c r="E327" s="89"/>
      <c r="F327" s="83"/>
      <c r="G327" s="78"/>
      <c r="H327" s="64" t="str">
        <f t="array" ref="H327">_xlfn.XLOOKUP(G327,DATA!D:D,DATA!E:E,"")</f>
        <v/>
      </c>
      <c r="I327" s="84"/>
      <c r="J327" s="23"/>
      <c r="K327" s="23"/>
      <c r="L327" s="66" t="str">
        <f t="shared" si="1"/>
        <v/>
      </c>
      <c r="M327" s="77"/>
      <c r="N327" s="78"/>
      <c r="O327" s="66" t="str">
        <f>IF(M327="","",
 IF(M327="عدم پاسخ","بدون پاسخ",
 IF(L327="","اطلاعات ناقص",
 IF(L327&lt;=DATA!$M$1,"رعایت شده","رعایت نشده"))))</f>
        <v/>
      </c>
      <c r="P327" s="79"/>
      <c r="Q327" s="77"/>
      <c r="R327" s="79"/>
      <c r="S327" s="79"/>
      <c r="T327" s="78"/>
      <c r="U327" s="80"/>
      <c r="V327" s="78"/>
      <c r="W327" s="77" t="str">
        <f t="array" ref="W327">IF(D327="","",_xlfn.XLOOKUP(D327,DATA!B:B,DATA!L:L,""))</f>
        <v/>
      </c>
      <c r="X327" s="78" t="str">
        <f t="array" ref="X327">IF(F327="","",_xlfn.XLOOKUP(F327,DATA!B:B,DATA!L:L,""))</f>
        <v/>
      </c>
    </row>
    <row r="328">
      <c r="A328" s="81"/>
      <c r="B328" s="79"/>
      <c r="C328" s="57" t="str">
        <f t="array" ref="C328">iferror(_xlfn.XLOOKUP(D328,DATA!B:B,DATA!A:A),"")</f>
        <v/>
      </c>
      <c r="D328" s="82"/>
      <c r="E328" s="89"/>
      <c r="F328" s="83"/>
      <c r="G328" s="78"/>
      <c r="H328" s="64" t="str">
        <f t="array" ref="H328">_xlfn.XLOOKUP(G328,DATA!D:D,DATA!E:E,"")</f>
        <v/>
      </c>
      <c r="I328" s="84"/>
      <c r="J328" s="23"/>
      <c r="K328" s="23"/>
      <c r="L328" s="66" t="str">
        <f t="shared" si="1"/>
        <v/>
      </c>
      <c r="M328" s="77"/>
      <c r="N328" s="78"/>
      <c r="O328" s="66" t="str">
        <f>IF(M328="","",
 IF(M328="عدم پاسخ","بدون پاسخ",
 IF(L328="","اطلاعات ناقص",
 IF(L328&lt;=DATA!$M$1,"رعایت شده","رعایت نشده"))))</f>
        <v/>
      </c>
      <c r="P328" s="79"/>
      <c r="Q328" s="77"/>
      <c r="R328" s="79"/>
      <c r="S328" s="79"/>
      <c r="T328" s="78"/>
      <c r="U328" s="80"/>
      <c r="V328" s="78"/>
      <c r="W328" s="77" t="str">
        <f t="array" ref="W328">IF(D328="","",_xlfn.XLOOKUP(D328,DATA!B:B,DATA!L:L,""))</f>
        <v/>
      </c>
      <c r="X328" s="78" t="str">
        <f t="array" ref="X328">IF(F328="","",_xlfn.XLOOKUP(F328,DATA!B:B,DATA!L:L,""))</f>
        <v/>
      </c>
    </row>
    <row r="329">
      <c r="A329" s="81"/>
      <c r="B329" s="79"/>
      <c r="C329" s="57" t="str">
        <f t="array" ref="C329">iferror(_xlfn.XLOOKUP(D329,DATA!B:B,DATA!A:A),"")</f>
        <v/>
      </c>
      <c r="D329" s="82"/>
      <c r="E329" s="89"/>
      <c r="F329" s="83"/>
      <c r="G329" s="78"/>
      <c r="H329" s="64" t="str">
        <f t="array" ref="H329">_xlfn.XLOOKUP(G329,DATA!D:D,DATA!E:E,"")</f>
        <v/>
      </c>
      <c r="I329" s="84"/>
      <c r="J329" s="23"/>
      <c r="K329" s="23"/>
      <c r="L329" s="66" t="str">
        <f t="shared" si="1"/>
        <v/>
      </c>
      <c r="M329" s="77"/>
      <c r="N329" s="78"/>
      <c r="O329" s="66" t="str">
        <f>IF(M329="","",
 IF(M329="عدم پاسخ","بدون پاسخ",
 IF(L329="","اطلاعات ناقص",
 IF(L329&lt;=DATA!$M$1,"رعایت شده","رعایت نشده"))))</f>
        <v/>
      </c>
      <c r="P329" s="79"/>
      <c r="Q329" s="77"/>
      <c r="R329" s="79"/>
      <c r="S329" s="79"/>
      <c r="T329" s="78"/>
      <c r="U329" s="80"/>
      <c r="V329" s="78"/>
      <c r="W329" s="77" t="str">
        <f t="array" ref="W329">IF(D329="","",_xlfn.XLOOKUP(D329,DATA!B:B,DATA!L:L,""))</f>
        <v/>
      </c>
      <c r="X329" s="78" t="str">
        <f t="array" ref="X329">IF(F329="","",_xlfn.XLOOKUP(F329,DATA!B:B,DATA!L:L,""))</f>
        <v/>
      </c>
    </row>
    <row r="330">
      <c r="A330" s="81"/>
      <c r="B330" s="79"/>
      <c r="C330" s="57" t="str">
        <f t="array" ref="C330">iferror(_xlfn.XLOOKUP(D330,DATA!B:B,DATA!A:A),"")</f>
        <v/>
      </c>
      <c r="D330" s="82"/>
      <c r="E330" s="89"/>
      <c r="F330" s="83"/>
      <c r="G330" s="78"/>
      <c r="H330" s="64" t="str">
        <f t="array" ref="H330">_xlfn.XLOOKUP(G330,DATA!D:D,DATA!E:E,"")</f>
        <v/>
      </c>
      <c r="I330" s="84"/>
      <c r="J330" s="23"/>
      <c r="K330" s="23"/>
      <c r="L330" s="66" t="str">
        <f t="shared" si="1"/>
        <v/>
      </c>
      <c r="M330" s="77"/>
      <c r="N330" s="78"/>
      <c r="O330" s="66" t="str">
        <f>IF(M330="","",
 IF(M330="عدم پاسخ","بدون پاسخ",
 IF(L330="","اطلاعات ناقص",
 IF(L330&lt;=DATA!$M$1,"رعایت شده","رعایت نشده"))))</f>
        <v/>
      </c>
      <c r="P330" s="79"/>
      <c r="Q330" s="77"/>
      <c r="R330" s="79"/>
      <c r="S330" s="79"/>
      <c r="T330" s="78"/>
      <c r="U330" s="80"/>
      <c r="V330" s="78"/>
      <c r="W330" s="77" t="str">
        <f t="array" ref="W330">IF(D330="","",_xlfn.XLOOKUP(D330,DATA!B:B,DATA!L:L,""))</f>
        <v/>
      </c>
      <c r="X330" s="78" t="str">
        <f t="array" ref="X330">IF(F330="","",_xlfn.XLOOKUP(F330,DATA!B:B,DATA!L:L,""))</f>
        <v/>
      </c>
    </row>
    <row r="331">
      <c r="A331" s="81"/>
      <c r="B331" s="79"/>
      <c r="C331" s="57" t="str">
        <f t="array" ref="C331">iferror(_xlfn.XLOOKUP(D331,DATA!B:B,DATA!A:A),"")</f>
        <v/>
      </c>
      <c r="D331" s="82"/>
      <c r="E331" s="89"/>
      <c r="F331" s="83"/>
      <c r="G331" s="78"/>
      <c r="H331" s="64" t="str">
        <f t="array" ref="H331">_xlfn.XLOOKUP(G331,DATA!D:D,DATA!E:E,"")</f>
        <v/>
      </c>
      <c r="I331" s="84"/>
      <c r="J331" s="23"/>
      <c r="K331" s="23"/>
      <c r="L331" s="66" t="str">
        <f t="shared" si="1"/>
        <v/>
      </c>
      <c r="M331" s="77"/>
      <c r="N331" s="78"/>
      <c r="O331" s="66" t="str">
        <f>IF(M331="","",
 IF(M331="عدم پاسخ","بدون پاسخ",
 IF(L331="","اطلاعات ناقص",
 IF(L331&lt;=DATA!$M$1,"رعایت شده","رعایت نشده"))))</f>
        <v/>
      </c>
      <c r="P331" s="79"/>
      <c r="Q331" s="77"/>
      <c r="R331" s="79"/>
      <c r="S331" s="79"/>
      <c r="T331" s="78"/>
      <c r="U331" s="80"/>
      <c r="V331" s="78"/>
      <c r="W331" s="77" t="str">
        <f t="array" ref="W331">IF(D331="","",_xlfn.XLOOKUP(D331,DATA!B:B,DATA!L:L,""))</f>
        <v/>
      </c>
      <c r="X331" s="78" t="str">
        <f t="array" ref="X331">IF(F331="","",_xlfn.XLOOKUP(F331,DATA!B:B,DATA!L:L,""))</f>
        <v/>
      </c>
    </row>
    <row r="332">
      <c r="A332" s="81"/>
      <c r="B332" s="79"/>
      <c r="C332" s="57" t="str">
        <f t="array" ref="C332">iferror(_xlfn.XLOOKUP(D332,DATA!B:B,DATA!A:A),"")</f>
        <v/>
      </c>
      <c r="D332" s="82"/>
      <c r="E332" s="89"/>
      <c r="F332" s="83"/>
      <c r="G332" s="78"/>
      <c r="H332" s="64" t="str">
        <f t="array" ref="H332">_xlfn.XLOOKUP(G332,DATA!D:D,DATA!E:E,"")</f>
        <v/>
      </c>
      <c r="I332" s="84"/>
      <c r="J332" s="23"/>
      <c r="K332" s="23"/>
      <c r="L332" s="66" t="str">
        <f t="shared" si="1"/>
        <v/>
      </c>
      <c r="M332" s="77"/>
      <c r="N332" s="78"/>
      <c r="O332" s="66" t="str">
        <f>IF(M332="","",
 IF(M332="عدم پاسخ","بدون پاسخ",
 IF(L332="","اطلاعات ناقص",
 IF(L332&lt;=DATA!$M$1,"رعایت شده","رعایت نشده"))))</f>
        <v/>
      </c>
      <c r="P332" s="79"/>
      <c r="Q332" s="77"/>
      <c r="R332" s="79"/>
      <c r="S332" s="79"/>
      <c r="T332" s="78"/>
      <c r="U332" s="80"/>
      <c r="V332" s="78"/>
      <c r="W332" s="77" t="str">
        <f t="array" ref="W332">IF(D332="","",_xlfn.XLOOKUP(D332,DATA!B:B,DATA!L:L,""))</f>
        <v/>
      </c>
      <c r="X332" s="78" t="str">
        <f t="array" ref="X332">IF(F332="","",_xlfn.XLOOKUP(F332,DATA!B:B,DATA!L:L,""))</f>
        <v/>
      </c>
    </row>
    <row r="333">
      <c r="A333" s="81"/>
      <c r="B333" s="79"/>
      <c r="C333" s="57" t="str">
        <f t="array" ref="C333">iferror(_xlfn.XLOOKUP(D333,DATA!B:B,DATA!A:A),"")</f>
        <v/>
      </c>
      <c r="D333" s="82"/>
      <c r="E333" s="89"/>
      <c r="F333" s="83"/>
      <c r="G333" s="78"/>
      <c r="H333" s="64" t="str">
        <f t="array" ref="H333">_xlfn.XLOOKUP(G333,DATA!D:D,DATA!E:E,"")</f>
        <v/>
      </c>
      <c r="I333" s="84"/>
      <c r="J333" s="23"/>
      <c r="K333" s="23"/>
      <c r="L333" s="66" t="str">
        <f t="shared" si="1"/>
        <v/>
      </c>
      <c r="M333" s="77"/>
      <c r="N333" s="78"/>
      <c r="O333" s="66" t="str">
        <f>IF(M333="","",
 IF(M333="عدم پاسخ","بدون پاسخ",
 IF(L333="","اطلاعات ناقص",
 IF(L333&lt;=DATA!$M$1,"رعایت شده","رعایت نشده"))))</f>
        <v/>
      </c>
      <c r="P333" s="79"/>
      <c r="Q333" s="77"/>
      <c r="R333" s="79"/>
      <c r="S333" s="79"/>
      <c r="T333" s="78"/>
      <c r="U333" s="80"/>
      <c r="V333" s="78"/>
      <c r="W333" s="77" t="str">
        <f t="array" ref="W333">IF(D333="","",_xlfn.XLOOKUP(D333,DATA!B:B,DATA!L:L,""))</f>
        <v/>
      </c>
      <c r="X333" s="78" t="str">
        <f t="array" ref="X333">IF(F333="","",_xlfn.XLOOKUP(F333,DATA!B:B,DATA!L:L,""))</f>
        <v/>
      </c>
    </row>
    <row r="334">
      <c r="A334" s="81"/>
      <c r="B334" s="79"/>
      <c r="C334" s="57" t="str">
        <f t="array" ref="C334">iferror(_xlfn.XLOOKUP(D334,DATA!B:B,DATA!A:A),"")</f>
        <v/>
      </c>
      <c r="D334" s="82"/>
      <c r="E334" s="89"/>
      <c r="F334" s="83"/>
      <c r="G334" s="78"/>
      <c r="H334" s="64" t="str">
        <f t="array" ref="H334">_xlfn.XLOOKUP(G334,DATA!D:D,DATA!E:E,"")</f>
        <v/>
      </c>
      <c r="I334" s="84"/>
      <c r="J334" s="23"/>
      <c r="K334" s="23"/>
      <c r="L334" s="66" t="str">
        <f t="shared" si="1"/>
        <v/>
      </c>
      <c r="M334" s="77"/>
      <c r="N334" s="78"/>
      <c r="O334" s="66" t="str">
        <f>IF(M334="","",
 IF(M334="عدم پاسخ","بدون پاسخ",
 IF(L334="","اطلاعات ناقص",
 IF(L334&lt;=DATA!$M$1,"رعایت شده","رعایت نشده"))))</f>
        <v/>
      </c>
      <c r="P334" s="79"/>
      <c r="Q334" s="77"/>
      <c r="R334" s="79"/>
      <c r="S334" s="79"/>
      <c r="T334" s="78"/>
      <c r="U334" s="80"/>
      <c r="V334" s="78"/>
      <c r="W334" s="77" t="str">
        <f t="array" ref="W334">IF(D334="","",_xlfn.XLOOKUP(D334,DATA!B:B,DATA!L:L,""))</f>
        <v/>
      </c>
      <c r="X334" s="78" t="str">
        <f t="array" ref="X334">IF(F334="","",_xlfn.XLOOKUP(F334,DATA!B:B,DATA!L:L,""))</f>
        <v/>
      </c>
    </row>
    <row r="335">
      <c r="A335" s="81"/>
      <c r="B335" s="79"/>
      <c r="C335" s="57" t="str">
        <f t="array" ref="C335">iferror(_xlfn.XLOOKUP(D335,DATA!B:B,DATA!A:A),"")</f>
        <v/>
      </c>
      <c r="D335" s="82"/>
      <c r="E335" s="89"/>
      <c r="F335" s="83"/>
      <c r="G335" s="78"/>
      <c r="H335" s="64" t="str">
        <f t="array" ref="H335">_xlfn.XLOOKUP(G335,DATA!D:D,DATA!E:E,"")</f>
        <v/>
      </c>
      <c r="I335" s="84"/>
      <c r="J335" s="23"/>
      <c r="K335" s="23"/>
      <c r="L335" s="66" t="str">
        <f t="shared" si="1"/>
        <v/>
      </c>
      <c r="M335" s="77"/>
      <c r="N335" s="78"/>
      <c r="O335" s="66" t="str">
        <f>IF(M335="","",
 IF(M335="عدم پاسخ","بدون پاسخ",
 IF(L335="","اطلاعات ناقص",
 IF(L335&lt;=DATA!$M$1,"رعایت شده","رعایت نشده"))))</f>
        <v/>
      </c>
      <c r="P335" s="79"/>
      <c r="Q335" s="77"/>
      <c r="R335" s="79"/>
      <c r="S335" s="79"/>
      <c r="T335" s="78"/>
      <c r="U335" s="80"/>
      <c r="V335" s="78"/>
      <c r="W335" s="77" t="str">
        <f t="array" ref="W335">IF(D335="","",_xlfn.XLOOKUP(D335,DATA!B:B,DATA!L:L,""))</f>
        <v/>
      </c>
      <c r="X335" s="78" t="str">
        <f t="array" ref="X335">IF(F335="","",_xlfn.XLOOKUP(F335,DATA!B:B,DATA!L:L,""))</f>
        <v/>
      </c>
    </row>
    <row r="336">
      <c r="A336" s="81"/>
      <c r="B336" s="79"/>
      <c r="C336" s="57" t="str">
        <f t="array" ref="C336">iferror(_xlfn.XLOOKUP(D336,DATA!B:B,DATA!A:A),"")</f>
        <v/>
      </c>
      <c r="D336" s="82"/>
      <c r="E336" s="89"/>
      <c r="F336" s="83"/>
      <c r="G336" s="78"/>
      <c r="H336" s="64" t="str">
        <f t="array" ref="H336">_xlfn.XLOOKUP(G336,DATA!D:D,DATA!E:E,"")</f>
        <v/>
      </c>
      <c r="I336" s="84"/>
      <c r="J336" s="23"/>
      <c r="K336" s="23"/>
      <c r="L336" s="66" t="str">
        <f t="shared" si="1"/>
        <v/>
      </c>
      <c r="M336" s="77"/>
      <c r="N336" s="78"/>
      <c r="O336" s="66" t="str">
        <f>IF(M336="","",
 IF(M336="عدم پاسخ","بدون پاسخ",
 IF(L336="","اطلاعات ناقص",
 IF(L336&lt;=DATA!$M$1,"رعایت شده","رعایت نشده"))))</f>
        <v/>
      </c>
      <c r="P336" s="79"/>
      <c r="Q336" s="77"/>
      <c r="R336" s="79"/>
      <c r="S336" s="79"/>
      <c r="T336" s="78"/>
      <c r="U336" s="80"/>
      <c r="V336" s="78"/>
      <c r="W336" s="77" t="str">
        <f t="array" ref="W336">IF(D336="","",_xlfn.XLOOKUP(D336,DATA!B:B,DATA!L:L,""))</f>
        <v/>
      </c>
      <c r="X336" s="78" t="str">
        <f t="array" ref="X336">IF(F336="","",_xlfn.XLOOKUP(F336,DATA!B:B,DATA!L:L,""))</f>
        <v/>
      </c>
    </row>
    <row r="337">
      <c r="A337" s="81"/>
      <c r="B337" s="79"/>
      <c r="C337" s="57" t="str">
        <f t="array" ref="C337">iferror(_xlfn.XLOOKUP(D337,DATA!B:B,DATA!A:A),"")</f>
        <v/>
      </c>
      <c r="D337" s="82"/>
      <c r="E337" s="89"/>
      <c r="F337" s="83"/>
      <c r="G337" s="78"/>
      <c r="H337" s="64" t="str">
        <f t="array" ref="H337">_xlfn.XLOOKUP(G337,DATA!D:D,DATA!E:E,"")</f>
        <v/>
      </c>
      <c r="I337" s="84"/>
      <c r="J337" s="23"/>
      <c r="K337" s="23"/>
      <c r="L337" s="66" t="str">
        <f t="shared" si="1"/>
        <v/>
      </c>
      <c r="M337" s="77"/>
      <c r="N337" s="78"/>
      <c r="O337" s="66" t="str">
        <f>IF(M337="","",
 IF(M337="عدم پاسخ","بدون پاسخ",
 IF(L337="","اطلاعات ناقص",
 IF(L337&lt;=DATA!$M$1,"رعایت شده","رعایت نشده"))))</f>
        <v/>
      </c>
      <c r="P337" s="79"/>
      <c r="Q337" s="77"/>
      <c r="R337" s="79"/>
      <c r="S337" s="79"/>
      <c r="T337" s="78"/>
      <c r="U337" s="80"/>
      <c r="V337" s="78"/>
      <c r="W337" s="77" t="str">
        <f t="array" ref="W337">IF(D337="","",_xlfn.XLOOKUP(D337,DATA!B:B,DATA!L:L,""))</f>
        <v/>
      </c>
      <c r="X337" s="78" t="str">
        <f t="array" ref="X337">IF(F337="","",_xlfn.XLOOKUP(F337,DATA!B:B,DATA!L:L,""))</f>
        <v/>
      </c>
    </row>
    <row r="338">
      <c r="A338" s="81"/>
      <c r="B338" s="79"/>
      <c r="C338" s="57" t="str">
        <f t="array" ref="C338">iferror(_xlfn.XLOOKUP(D338,DATA!B:B,DATA!A:A),"")</f>
        <v/>
      </c>
      <c r="D338" s="82"/>
      <c r="E338" s="89"/>
      <c r="F338" s="83"/>
      <c r="G338" s="78"/>
      <c r="H338" s="64" t="str">
        <f t="array" ref="H338">_xlfn.XLOOKUP(G338,DATA!D:D,DATA!E:E,"")</f>
        <v/>
      </c>
      <c r="I338" s="84"/>
      <c r="J338" s="23"/>
      <c r="K338" s="23"/>
      <c r="L338" s="66" t="str">
        <f t="shared" si="1"/>
        <v/>
      </c>
      <c r="M338" s="77"/>
      <c r="N338" s="78"/>
      <c r="O338" s="66" t="str">
        <f>IF(M338="","",
 IF(M338="عدم پاسخ","بدون پاسخ",
 IF(L338="","اطلاعات ناقص",
 IF(L338&lt;=DATA!$M$1,"رعایت شده","رعایت نشده"))))</f>
        <v/>
      </c>
      <c r="P338" s="79"/>
      <c r="Q338" s="77"/>
      <c r="R338" s="79"/>
      <c r="S338" s="79"/>
      <c r="T338" s="78"/>
      <c r="U338" s="80"/>
      <c r="V338" s="78"/>
      <c r="W338" s="77" t="str">
        <f t="array" ref="W338">IF(D338="","",_xlfn.XLOOKUP(D338,DATA!B:B,DATA!L:L,""))</f>
        <v/>
      </c>
      <c r="X338" s="78" t="str">
        <f t="array" ref="X338">IF(F338="","",_xlfn.XLOOKUP(F338,DATA!B:B,DATA!L:L,""))</f>
        <v/>
      </c>
    </row>
    <row r="339">
      <c r="A339" s="81"/>
      <c r="B339" s="79"/>
      <c r="C339" s="57" t="str">
        <f t="array" ref="C339">iferror(_xlfn.XLOOKUP(D339,DATA!B:B,DATA!A:A),"")</f>
        <v/>
      </c>
      <c r="D339" s="82"/>
      <c r="E339" s="89"/>
      <c r="F339" s="83"/>
      <c r="G339" s="78"/>
      <c r="H339" s="64" t="str">
        <f t="array" ref="H339">_xlfn.XLOOKUP(G339,DATA!D:D,DATA!E:E,"")</f>
        <v/>
      </c>
      <c r="I339" s="84"/>
      <c r="J339" s="23"/>
      <c r="K339" s="23"/>
      <c r="L339" s="66" t="str">
        <f t="shared" si="1"/>
        <v/>
      </c>
      <c r="M339" s="77"/>
      <c r="N339" s="78"/>
      <c r="O339" s="66" t="str">
        <f>IF(M339="","",
 IF(M339="عدم پاسخ","بدون پاسخ",
 IF(L339="","اطلاعات ناقص",
 IF(L339&lt;=DATA!$M$1,"رعایت شده","رعایت نشده"))))</f>
        <v/>
      </c>
      <c r="P339" s="79"/>
      <c r="Q339" s="77"/>
      <c r="R339" s="79"/>
      <c r="S339" s="79"/>
      <c r="T339" s="78"/>
      <c r="U339" s="80"/>
      <c r="V339" s="78"/>
      <c r="W339" s="77" t="str">
        <f t="array" ref="W339">IF(D339="","",_xlfn.XLOOKUP(D339,DATA!B:B,DATA!L:L,""))</f>
        <v/>
      </c>
      <c r="X339" s="78" t="str">
        <f t="array" ref="X339">IF(F339="","",_xlfn.XLOOKUP(F339,DATA!B:B,DATA!L:L,""))</f>
        <v/>
      </c>
    </row>
    <row r="340">
      <c r="A340" s="81"/>
      <c r="B340" s="79"/>
      <c r="C340" s="57" t="str">
        <f t="array" ref="C340">iferror(_xlfn.XLOOKUP(D340,DATA!B:B,DATA!A:A),"")</f>
        <v/>
      </c>
      <c r="D340" s="82"/>
      <c r="E340" s="89"/>
      <c r="F340" s="83"/>
      <c r="G340" s="78"/>
      <c r="H340" s="64" t="str">
        <f t="array" ref="H340">_xlfn.XLOOKUP(G340,DATA!D:D,DATA!E:E,"")</f>
        <v/>
      </c>
      <c r="I340" s="84"/>
      <c r="J340" s="23"/>
      <c r="K340" s="23"/>
      <c r="L340" s="66" t="str">
        <f t="shared" si="1"/>
        <v/>
      </c>
      <c r="M340" s="77"/>
      <c r="N340" s="78"/>
      <c r="O340" s="66" t="str">
        <f>IF(M340="","",
 IF(M340="عدم پاسخ","بدون پاسخ",
 IF(L340="","اطلاعات ناقص",
 IF(L340&lt;=DATA!$M$1,"رعایت شده","رعایت نشده"))))</f>
        <v/>
      </c>
      <c r="P340" s="79"/>
      <c r="Q340" s="77"/>
      <c r="R340" s="79"/>
      <c r="S340" s="79"/>
      <c r="T340" s="78"/>
      <c r="U340" s="80"/>
      <c r="V340" s="78"/>
      <c r="W340" s="77" t="str">
        <f t="array" ref="W340">IF(D340="","",_xlfn.XLOOKUP(D340,DATA!B:B,DATA!L:L,""))</f>
        <v/>
      </c>
      <c r="X340" s="78" t="str">
        <f t="array" ref="X340">IF(F340="","",_xlfn.XLOOKUP(F340,DATA!B:B,DATA!L:L,""))</f>
        <v/>
      </c>
    </row>
    <row r="341">
      <c r="A341" s="81"/>
      <c r="B341" s="79"/>
      <c r="C341" s="57" t="str">
        <f t="array" ref="C341">iferror(_xlfn.XLOOKUP(D341,DATA!B:B,DATA!A:A),"")</f>
        <v/>
      </c>
      <c r="D341" s="82"/>
      <c r="E341" s="89"/>
      <c r="F341" s="83"/>
      <c r="G341" s="78"/>
      <c r="H341" s="64" t="str">
        <f t="array" ref="H341">_xlfn.XLOOKUP(G341,DATA!D:D,DATA!E:E,"")</f>
        <v/>
      </c>
      <c r="I341" s="84"/>
      <c r="J341" s="23"/>
      <c r="K341" s="23"/>
      <c r="L341" s="66" t="str">
        <f t="shared" si="1"/>
        <v/>
      </c>
      <c r="M341" s="77"/>
      <c r="N341" s="78"/>
      <c r="O341" s="66" t="str">
        <f>IF(M341="","",
 IF(M341="عدم پاسخ","بدون پاسخ",
 IF(L341="","اطلاعات ناقص",
 IF(L341&lt;=DATA!$M$1,"رعایت شده","رعایت نشده"))))</f>
        <v/>
      </c>
      <c r="P341" s="79"/>
      <c r="Q341" s="77"/>
      <c r="R341" s="79"/>
      <c r="S341" s="79"/>
      <c r="T341" s="78"/>
      <c r="U341" s="80"/>
      <c r="V341" s="78"/>
      <c r="W341" s="77" t="str">
        <f t="array" ref="W341">IF(D341="","",_xlfn.XLOOKUP(D341,DATA!B:B,DATA!L:L,""))</f>
        <v/>
      </c>
      <c r="X341" s="78" t="str">
        <f t="array" ref="X341">IF(F341="","",_xlfn.XLOOKUP(F341,DATA!B:B,DATA!L:L,""))</f>
        <v/>
      </c>
    </row>
    <row r="342">
      <c r="A342" s="81"/>
      <c r="B342" s="79"/>
      <c r="C342" s="57" t="str">
        <f t="array" ref="C342">iferror(_xlfn.XLOOKUP(D342,DATA!B:B,DATA!A:A),"")</f>
        <v/>
      </c>
      <c r="D342" s="82"/>
      <c r="E342" s="89"/>
      <c r="F342" s="83"/>
      <c r="G342" s="78"/>
      <c r="H342" s="64" t="str">
        <f t="array" ref="H342">_xlfn.XLOOKUP(G342,DATA!D:D,DATA!E:E,"")</f>
        <v/>
      </c>
      <c r="I342" s="84"/>
      <c r="J342" s="23"/>
      <c r="K342" s="23"/>
      <c r="L342" s="66" t="str">
        <f t="shared" si="1"/>
        <v/>
      </c>
      <c r="M342" s="77"/>
      <c r="N342" s="78"/>
      <c r="O342" s="66" t="str">
        <f>IF(M342="","",
 IF(M342="عدم پاسخ","بدون پاسخ",
 IF(L342="","اطلاعات ناقص",
 IF(L342&lt;=DATA!$M$1,"رعایت شده","رعایت نشده"))))</f>
        <v/>
      </c>
      <c r="P342" s="79"/>
      <c r="Q342" s="77"/>
      <c r="R342" s="79"/>
      <c r="S342" s="79"/>
      <c r="T342" s="78"/>
      <c r="U342" s="80"/>
      <c r="V342" s="78"/>
      <c r="W342" s="77" t="str">
        <f t="array" ref="W342">IF(D342="","",_xlfn.XLOOKUP(D342,DATA!B:B,DATA!L:L,""))</f>
        <v/>
      </c>
      <c r="X342" s="78" t="str">
        <f t="array" ref="X342">IF(F342="","",_xlfn.XLOOKUP(F342,DATA!B:B,DATA!L:L,""))</f>
        <v/>
      </c>
    </row>
    <row r="343">
      <c r="A343" s="81"/>
      <c r="B343" s="79"/>
      <c r="C343" s="57" t="str">
        <f t="array" ref="C343">iferror(_xlfn.XLOOKUP(D343,DATA!B:B,DATA!A:A),"")</f>
        <v/>
      </c>
      <c r="D343" s="82"/>
      <c r="E343" s="89"/>
      <c r="F343" s="83"/>
      <c r="G343" s="78"/>
      <c r="H343" s="64" t="str">
        <f t="array" ref="H343">_xlfn.XLOOKUP(G343,DATA!D:D,DATA!E:E,"")</f>
        <v/>
      </c>
      <c r="I343" s="84"/>
      <c r="J343" s="23"/>
      <c r="K343" s="23"/>
      <c r="L343" s="66" t="str">
        <f t="shared" si="1"/>
        <v/>
      </c>
      <c r="M343" s="77"/>
      <c r="N343" s="78"/>
      <c r="O343" s="66" t="str">
        <f>IF(M343="","",
 IF(M343="عدم پاسخ","بدون پاسخ",
 IF(L343="","اطلاعات ناقص",
 IF(L343&lt;=DATA!$M$1,"رعایت شده","رعایت نشده"))))</f>
        <v/>
      </c>
      <c r="P343" s="79"/>
      <c r="Q343" s="77"/>
      <c r="R343" s="79"/>
      <c r="S343" s="79"/>
      <c r="T343" s="78"/>
      <c r="U343" s="80"/>
      <c r="V343" s="78"/>
      <c r="W343" s="77" t="str">
        <f t="array" ref="W343">IF(D343="","",_xlfn.XLOOKUP(D343,DATA!B:B,DATA!L:L,""))</f>
        <v/>
      </c>
      <c r="X343" s="78" t="str">
        <f t="array" ref="X343">IF(F343="","",_xlfn.XLOOKUP(F343,DATA!B:B,DATA!L:L,""))</f>
        <v/>
      </c>
    </row>
    <row r="344">
      <c r="A344" s="81"/>
      <c r="B344" s="79"/>
      <c r="C344" s="57" t="str">
        <f t="array" ref="C344">iferror(_xlfn.XLOOKUP(D344,DATA!B:B,DATA!A:A),"")</f>
        <v/>
      </c>
      <c r="D344" s="82"/>
      <c r="E344" s="89"/>
      <c r="F344" s="83"/>
      <c r="G344" s="78"/>
      <c r="H344" s="64" t="str">
        <f t="array" ref="H344">_xlfn.XLOOKUP(G344,DATA!D:D,DATA!E:E,"")</f>
        <v/>
      </c>
      <c r="I344" s="84"/>
      <c r="J344" s="23"/>
      <c r="K344" s="23"/>
      <c r="L344" s="66" t="str">
        <f t="shared" si="1"/>
        <v/>
      </c>
      <c r="M344" s="77"/>
      <c r="N344" s="78"/>
      <c r="O344" s="66" t="str">
        <f>IF(M344="","",
 IF(M344="عدم پاسخ","بدون پاسخ",
 IF(L344="","اطلاعات ناقص",
 IF(L344&lt;=DATA!$M$1,"رعایت شده","رعایت نشده"))))</f>
        <v/>
      </c>
      <c r="P344" s="79"/>
      <c r="Q344" s="77"/>
      <c r="R344" s="79"/>
      <c r="S344" s="79"/>
      <c r="T344" s="78"/>
      <c r="U344" s="80"/>
      <c r="V344" s="78"/>
      <c r="W344" s="77" t="str">
        <f t="array" ref="W344">IF(D344="","",_xlfn.XLOOKUP(D344,DATA!B:B,DATA!L:L,""))</f>
        <v/>
      </c>
      <c r="X344" s="78" t="str">
        <f t="array" ref="X344">IF(F344="","",_xlfn.XLOOKUP(F344,DATA!B:B,DATA!L:L,""))</f>
        <v/>
      </c>
    </row>
    <row r="345">
      <c r="A345" s="81"/>
      <c r="B345" s="79"/>
      <c r="C345" s="57" t="str">
        <f t="array" ref="C345">iferror(_xlfn.XLOOKUP(D345,DATA!B:B,DATA!A:A),"")</f>
        <v/>
      </c>
      <c r="D345" s="82"/>
      <c r="E345" s="89"/>
      <c r="F345" s="83"/>
      <c r="G345" s="78"/>
      <c r="H345" s="64" t="str">
        <f t="array" ref="H345">_xlfn.XLOOKUP(G345,DATA!D:D,DATA!E:E,"")</f>
        <v/>
      </c>
      <c r="I345" s="84"/>
      <c r="J345" s="23"/>
      <c r="K345" s="23"/>
      <c r="L345" s="66" t="str">
        <f t="shared" si="1"/>
        <v/>
      </c>
      <c r="M345" s="77"/>
      <c r="N345" s="78"/>
      <c r="O345" s="66" t="str">
        <f>IF(M345="","",
 IF(M345="عدم پاسخ","بدون پاسخ",
 IF(L345="","اطلاعات ناقص",
 IF(L345&lt;=DATA!$M$1,"رعایت شده","رعایت نشده"))))</f>
        <v/>
      </c>
      <c r="P345" s="79"/>
      <c r="Q345" s="77"/>
      <c r="R345" s="79"/>
      <c r="S345" s="79"/>
      <c r="T345" s="78"/>
      <c r="U345" s="80"/>
      <c r="V345" s="78"/>
      <c r="W345" s="77" t="str">
        <f t="array" ref="W345">IF(D345="","",_xlfn.XLOOKUP(D345,DATA!B:B,DATA!L:L,""))</f>
        <v/>
      </c>
      <c r="X345" s="78" t="str">
        <f t="array" ref="X345">IF(F345="","",_xlfn.XLOOKUP(F345,DATA!B:B,DATA!L:L,""))</f>
        <v/>
      </c>
    </row>
    <row r="346">
      <c r="A346" s="81"/>
      <c r="B346" s="79"/>
      <c r="C346" s="57" t="str">
        <f t="array" ref="C346">iferror(_xlfn.XLOOKUP(D346,DATA!B:B,DATA!A:A),"")</f>
        <v/>
      </c>
      <c r="D346" s="82"/>
      <c r="E346" s="89"/>
      <c r="F346" s="83"/>
      <c r="G346" s="78"/>
      <c r="H346" s="64" t="str">
        <f t="array" ref="H346">_xlfn.XLOOKUP(G346,DATA!D:D,DATA!E:E,"")</f>
        <v/>
      </c>
      <c r="I346" s="84"/>
      <c r="J346" s="23"/>
      <c r="K346" s="23"/>
      <c r="L346" s="66" t="str">
        <f t="shared" si="1"/>
        <v/>
      </c>
      <c r="M346" s="77"/>
      <c r="N346" s="78"/>
      <c r="O346" s="66" t="str">
        <f>IF(M346="","",
 IF(M346="عدم پاسخ","بدون پاسخ",
 IF(L346="","اطلاعات ناقص",
 IF(L346&lt;=DATA!$M$1,"رعایت شده","رعایت نشده"))))</f>
        <v/>
      </c>
      <c r="P346" s="79"/>
      <c r="Q346" s="77"/>
      <c r="R346" s="79"/>
      <c r="S346" s="79"/>
      <c r="T346" s="78"/>
      <c r="U346" s="80"/>
      <c r="V346" s="78"/>
      <c r="W346" s="77" t="str">
        <f t="array" ref="W346">IF(D346="","",_xlfn.XLOOKUP(D346,DATA!B:B,DATA!L:L,""))</f>
        <v/>
      </c>
      <c r="X346" s="78" t="str">
        <f t="array" ref="X346">IF(F346="","",_xlfn.XLOOKUP(F346,DATA!B:B,DATA!L:L,""))</f>
        <v/>
      </c>
    </row>
    <row r="347">
      <c r="A347" s="81"/>
      <c r="B347" s="79"/>
      <c r="C347" s="57" t="str">
        <f t="array" ref="C347">iferror(_xlfn.XLOOKUP(D347,DATA!B:B,DATA!A:A),"")</f>
        <v/>
      </c>
      <c r="D347" s="82"/>
      <c r="E347" s="89"/>
      <c r="F347" s="83"/>
      <c r="G347" s="78"/>
      <c r="H347" s="64" t="str">
        <f t="array" ref="H347">_xlfn.XLOOKUP(G347,DATA!D:D,DATA!E:E,"")</f>
        <v/>
      </c>
      <c r="I347" s="84"/>
      <c r="J347" s="23"/>
      <c r="K347" s="23"/>
      <c r="L347" s="66" t="str">
        <f t="shared" si="1"/>
        <v/>
      </c>
      <c r="M347" s="77"/>
      <c r="N347" s="78"/>
      <c r="O347" s="66" t="str">
        <f>IF(M347="","",
 IF(M347="عدم پاسخ","بدون پاسخ",
 IF(L347="","اطلاعات ناقص",
 IF(L347&lt;=DATA!$M$1,"رعایت شده","رعایت نشده"))))</f>
        <v/>
      </c>
      <c r="P347" s="79"/>
      <c r="Q347" s="77"/>
      <c r="R347" s="79"/>
      <c r="S347" s="79"/>
      <c r="T347" s="78"/>
      <c r="U347" s="80"/>
      <c r="V347" s="78"/>
      <c r="W347" s="77" t="str">
        <f t="array" ref="W347">IF(D347="","",_xlfn.XLOOKUP(D347,DATA!B:B,DATA!L:L,""))</f>
        <v/>
      </c>
      <c r="X347" s="78" t="str">
        <f t="array" ref="X347">IF(F347="","",_xlfn.XLOOKUP(F347,DATA!B:B,DATA!L:L,""))</f>
        <v/>
      </c>
    </row>
    <row r="348">
      <c r="A348" s="81"/>
      <c r="B348" s="79"/>
      <c r="C348" s="57" t="str">
        <f t="array" ref="C348">iferror(_xlfn.XLOOKUP(D348,DATA!B:B,DATA!A:A),"")</f>
        <v/>
      </c>
      <c r="D348" s="82"/>
      <c r="E348" s="89"/>
      <c r="F348" s="83"/>
      <c r="G348" s="78"/>
      <c r="H348" s="64" t="str">
        <f t="array" ref="H348">_xlfn.XLOOKUP(G348,DATA!D:D,DATA!E:E,"")</f>
        <v/>
      </c>
      <c r="I348" s="84"/>
      <c r="J348" s="23"/>
      <c r="K348" s="23"/>
      <c r="L348" s="66" t="str">
        <f t="shared" si="1"/>
        <v/>
      </c>
      <c r="M348" s="77"/>
      <c r="N348" s="78"/>
      <c r="O348" s="66" t="str">
        <f>IF(M348="","",
 IF(M348="عدم پاسخ","بدون پاسخ",
 IF(L348="","اطلاعات ناقص",
 IF(L348&lt;=DATA!$M$1,"رعایت شده","رعایت نشده"))))</f>
        <v/>
      </c>
      <c r="P348" s="79"/>
      <c r="Q348" s="77"/>
      <c r="R348" s="79"/>
      <c r="S348" s="79"/>
      <c r="T348" s="78"/>
      <c r="U348" s="80"/>
      <c r="V348" s="78"/>
      <c r="W348" s="77" t="str">
        <f t="array" ref="W348">IF(D348="","",_xlfn.XLOOKUP(D348,DATA!B:B,DATA!L:L,""))</f>
        <v/>
      </c>
      <c r="X348" s="78" t="str">
        <f t="array" ref="X348">IF(F348="","",_xlfn.XLOOKUP(F348,DATA!B:B,DATA!L:L,""))</f>
        <v/>
      </c>
    </row>
    <row r="349">
      <c r="A349" s="81"/>
      <c r="B349" s="79"/>
      <c r="C349" s="57" t="str">
        <f t="array" ref="C349">iferror(_xlfn.XLOOKUP(D349,DATA!B:B,DATA!A:A),"")</f>
        <v/>
      </c>
      <c r="D349" s="82"/>
      <c r="E349" s="89"/>
      <c r="F349" s="83"/>
      <c r="G349" s="78"/>
      <c r="H349" s="64" t="str">
        <f t="array" ref="H349">_xlfn.XLOOKUP(G349,DATA!D:D,DATA!E:E,"")</f>
        <v/>
      </c>
      <c r="I349" s="84"/>
      <c r="J349" s="23"/>
      <c r="K349" s="23"/>
      <c r="L349" s="66" t="str">
        <f t="shared" si="1"/>
        <v/>
      </c>
      <c r="M349" s="77"/>
      <c r="N349" s="78"/>
      <c r="O349" s="66" t="str">
        <f>IF(M349="","",
 IF(M349="عدم پاسخ","بدون پاسخ",
 IF(L349="","اطلاعات ناقص",
 IF(L349&lt;=DATA!$M$1,"رعایت شده","رعایت نشده"))))</f>
        <v/>
      </c>
      <c r="P349" s="79"/>
      <c r="Q349" s="77"/>
      <c r="R349" s="79"/>
      <c r="S349" s="79"/>
      <c r="T349" s="78"/>
      <c r="U349" s="80"/>
      <c r="V349" s="78"/>
      <c r="W349" s="77" t="str">
        <f t="array" ref="W349">IF(D349="","",_xlfn.XLOOKUP(D349,DATA!B:B,DATA!L:L,""))</f>
        <v/>
      </c>
      <c r="X349" s="78" t="str">
        <f t="array" ref="X349">IF(F349="","",_xlfn.XLOOKUP(F349,DATA!B:B,DATA!L:L,""))</f>
        <v/>
      </c>
    </row>
    <row r="350">
      <c r="A350" s="81"/>
      <c r="B350" s="79"/>
      <c r="C350" s="57" t="str">
        <f t="array" ref="C350">iferror(_xlfn.XLOOKUP(D350,DATA!B:B,DATA!A:A),"")</f>
        <v/>
      </c>
      <c r="D350" s="82"/>
      <c r="E350" s="89"/>
      <c r="F350" s="83"/>
      <c r="G350" s="78"/>
      <c r="H350" s="64" t="str">
        <f t="array" ref="H350">_xlfn.XLOOKUP(G350,DATA!D:D,DATA!E:E,"")</f>
        <v/>
      </c>
      <c r="I350" s="84"/>
      <c r="J350" s="23"/>
      <c r="K350" s="23"/>
      <c r="L350" s="66" t="str">
        <f t="shared" si="1"/>
        <v/>
      </c>
      <c r="M350" s="77"/>
      <c r="N350" s="78"/>
      <c r="O350" s="66" t="str">
        <f>IF(M350="","",
 IF(M350="عدم پاسخ","بدون پاسخ",
 IF(L350="","اطلاعات ناقص",
 IF(L350&lt;=DATA!$M$1,"رعایت شده","رعایت نشده"))))</f>
        <v/>
      </c>
      <c r="P350" s="79"/>
      <c r="Q350" s="77"/>
      <c r="R350" s="79"/>
      <c r="S350" s="79"/>
      <c r="T350" s="78"/>
      <c r="U350" s="80"/>
      <c r="V350" s="78"/>
      <c r="W350" s="77" t="str">
        <f t="array" ref="W350">IF(D350="","",_xlfn.XLOOKUP(D350,DATA!B:B,DATA!L:L,""))</f>
        <v/>
      </c>
      <c r="X350" s="78" t="str">
        <f t="array" ref="X350">IF(F350="","",_xlfn.XLOOKUP(F350,DATA!B:B,DATA!L:L,""))</f>
        <v/>
      </c>
    </row>
    <row r="351">
      <c r="A351" s="81"/>
      <c r="B351" s="79"/>
      <c r="C351" s="57" t="str">
        <f t="array" ref="C351">iferror(_xlfn.XLOOKUP(D351,DATA!B:B,DATA!A:A),"")</f>
        <v/>
      </c>
      <c r="D351" s="82"/>
      <c r="E351" s="89"/>
      <c r="F351" s="83"/>
      <c r="G351" s="78"/>
      <c r="H351" s="64" t="str">
        <f t="array" ref="H351">_xlfn.XLOOKUP(G351,DATA!D:D,DATA!E:E,"")</f>
        <v/>
      </c>
      <c r="I351" s="84"/>
      <c r="J351" s="23"/>
      <c r="K351" s="23"/>
      <c r="L351" s="66" t="str">
        <f t="shared" si="1"/>
        <v/>
      </c>
      <c r="M351" s="77"/>
      <c r="N351" s="78"/>
      <c r="O351" s="66" t="str">
        <f>IF(M351="","",
 IF(M351="عدم پاسخ","بدون پاسخ",
 IF(L351="","اطلاعات ناقص",
 IF(L351&lt;=DATA!$M$1,"رعایت شده","رعایت نشده"))))</f>
        <v/>
      </c>
      <c r="P351" s="79"/>
      <c r="Q351" s="77"/>
      <c r="R351" s="79"/>
      <c r="S351" s="79"/>
      <c r="T351" s="78"/>
      <c r="U351" s="80"/>
      <c r="V351" s="78"/>
      <c r="W351" s="77" t="str">
        <f t="array" ref="W351">IF(D351="","",_xlfn.XLOOKUP(D351,DATA!B:B,DATA!L:L,""))</f>
        <v/>
      </c>
      <c r="X351" s="78" t="str">
        <f t="array" ref="X351">IF(F351="","",_xlfn.XLOOKUP(F351,DATA!B:B,DATA!L:L,""))</f>
        <v/>
      </c>
    </row>
    <row r="352">
      <c r="A352" s="81"/>
      <c r="B352" s="79"/>
      <c r="C352" s="57" t="str">
        <f t="array" ref="C352">iferror(_xlfn.XLOOKUP(D352,DATA!B:B,DATA!A:A),"")</f>
        <v/>
      </c>
      <c r="D352" s="82"/>
      <c r="E352" s="89"/>
      <c r="F352" s="83"/>
      <c r="G352" s="78"/>
      <c r="H352" s="64" t="str">
        <f t="array" ref="H352">_xlfn.XLOOKUP(G352,DATA!D:D,DATA!E:E,"")</f>
        <v/>
      </c>
      <c r="I352" s="84"/>
      <c r="J352" s="23"/>
      <c r="K352" s="23"/>
      <c r="L352" s="66" t="str">
        <f t="shared" si="1"/>
        <v/>
      </c>
      <c r="M352" s="77"/>
      <c r="N352" s="78"/>
      <c r="O352" s="66" t="str">
        <f>IF(M352="","",
 IF(M352="عدم پاسخ","بدون پاسخ",
 IF(L352="","اطلاعات ناقص",
 IF(L352&lt;=DATA!$M$1,"رعایت شده","رعایت نشده"))))</f>
        <v/>
      </c>
      <c r="P352" s="79"/>
      <c r="Q352" s="77"/>
      <c r="R352" s="79"/>
      <c r="S352" s="79"/>
      <c r="T352" s="78"/>
      <c r="U352" s="80"/>
      <c r="V352" s="78"/>
      <c r="W352" s="77" t="str">
        <f t="array" ref="W352">IF(D352="","",_xlfn.XLOOKUP(D352,DATA!B:B,DATA!L:L,""))</f>
        <v/>
      </c>
      <c r="X352" s="78" t="str">
        <f t="array" ref="X352">IF(F352="","",_xlfn.XLOOKUP(F352,DATA!B:B,DATA!L:L,""))</f>
        <v/>
      </c>
    </row>
    <row r="353">
      <c r="A353" s="81"/>
      <c r="B353" s="79"/>
      <c r="C353" s="57" t="str">
        <f t="array" ref="C353">iferror(_xlfn.XLOOKUP(D353,DATA!B:B,DATA!A:A),"")</f>
        <v/>
      </c>
      <c r="D353" s="82"/>
      <c r="E353" s="89"/>
      <c r="F353" s="83"/>
      <c r="G353" s="78"/>
      <c r="H353" s="64" t="str">
        <f t="array" ref="H353">_xlfn.XLOOKUP(G353,DATA!D:D,DATA!E:E,"")</f>
        <v/>
      </c>
      <c r="I353" s="84"/>
      <c r="J353" s="23"/>
      <c r="K353" s="23"/>
      <c r="L353" s="66" t="str">
        <f t="shared" si="1"/>
        <v/>
      </c>
      <c r="M353" s="77"/>
      <c r="N353" s="78"/>
      <c r="O353" s="66" t="str">
        <f>IF(M353="","",
 IF(M353="عدم پاسخ","بدون پاسخ",
 IF(L353="","اطلاعات ناقص",
 IF(L353&lt;=DATA!$M$1,"رعایت شده","رعایت نشده"))))</f>
        <v/>
      </c>
      <c r="P353" s="79"/>
      <c r="Q353" s="77"/>
      <c r="R353" s="79"/>
      <c r="S353" s="79"/>
      <c r="T353" s="78"/>
      <c r="U353" s="80"/>
      <c r="V353" s="78"/>
      <c r="W353" s="77" t="str">
        <f t="array" ref="W353">IF(D353="","",_xlfn.XLOOKUP(D353,DATA!B:B,DATA!L:L,""))</f>
        <v/>
      </c>
      <c r="X353" s="78" t="str">
        <f t="array" ref="X353">IF(F353="","",_xlfn.XLOOKUP(F353,DATA!B:B,DATA!L:L,""))</f>
        <v/>
      </c>
    </row>
    <row r="354">
      <c r="A354" s="81"/>
      <c r="B354" s="79"/>
      <c r="C354" s="57" t="str">
        <f t="array" ref="C354">iferror(_xlfn.XLOOKUP(D354,DATA!B:B,DATA!A:A),"")</f>
        <v/>
      </c>
      <c r="D354" s="82"/>
      <c r="E354" s="89"/>
      <c r="F354" s="83"/>
      <c r="G354" s="78"/>
      <c r="H354" s="64" t="str">
        <f t="array" ref="H354">_xlfn.XLOOKUP(G354,DATA!D:D,DATA!E:E,"")</f>
        <v/>
      </c>
      <c r="I354" s="84"/>
      <c r="J354" s="23"/>
      <c r="K354" s="23"/>
      <c r="L354" s="66" t="str">
        <f t="shared" si="1"/>
        <v/>
      </c>
      <c r="M354" s="77"/>
      <c r="N354" s="78"/>
      <c r="O354" s="66" t="str">
        <f>IF(M354="","",
 IF(M354="عدم پاسخ","بدون پاسخ",
 IF(L354="","اطلاعات ناقص",
 IF(L354&lt;=DATA!$M$1,"رعایت شده","رعایت نشده"))))</f>
        <v/>
      </c>
      <c r="P354" s="79"/>
      <c r="Q354" s="77"/>
      <c r="R354" s="79"/>
      <c r="S354" s="79"/>
      <c r="T354" s="78"/>
      <c r="U354" s="80"/>
      <c r="V354" s="78"/>
      <c r="W354" s="77" t="str">
        <f t="array" ref="W354">IF(D354="","",_xlfn.XLOOKUP(D354,DATA!B:B,DATA!L:L,""))</f>
        <v/>
      </c>
      <c r="X354" s="78" t="str">
        <f t="array" ref="X354">IF(F354="","",_xlfn.XLOOKUP(F354,DATA!B:B,DATA!L:L,""))</f>
        <v/>
      </c>
    </row>
    <row r="355">
      <c r="A355" s="81"/>
      <c r="B355" s="79"/>
      <c r="C355" s="57" t="str">
        <f t="array" ref="C355">iferror(_xlfn.XLOOKUP(D355,DATA!B:B,DATA!A:A),"")</f>
        <v/>
      </c>
      <c r="D355" s="82"/>
      <c r="E355" s="89"/>
      <c r="F355" s="83"/>
      <c r="G355" s="78"/>
      <c r="H355" s="64" t="str">
        <f t="array" ref="H355">_xlfn.XLOOKUP(G355,DATA!D:D,DATA!E:E,"")</f>
        <v/>
      </c>
      <c r="I355" s="84"/>
      <c r="J355" s="23"/>
      <c r="K355" s="23"/>
      <c r="L355" s="66" t="str">
        <f t="shared" si="1"/>
        <v/>
      </c>
      <c r="M355" s="77"/>
      <c r="N355" s="78"/>
      <c r="O355" s="66" t="str">
        <f>IF(M355="","",
 IF(M355="عدم پاسخ","بدون پاسخ",
 IF(L355="","اطلاعات ناقص",
 IF(L355&lt;=DATA!$M$1,"رعایت شده","رعایت نشده"))))</f>
        <v/>
      </c>
      <c r="P355" s="79"/>
      <c r="Q355" s="77"/>
      <c r="R355" s="79"/>
      <c r="S355" s="79"/>
      <c r="T355" s="78"/>
      <c r="U355" s="80"/>
      <c r="V355" s="78"/>
      <c r="W355" s="77" t="str">
        <f t="array" ref="W355">IF(D355="","",_xlfn.XLOOKUP(D355,DATA!B:B,DATA!L:L,""))</f>
        <v/>
      </c>
      <c r="X355" s="78" t="str">
        <f t="array" ref="X355">IF(F355="","",_xlfn.XLOOKUP(F355,DATA!B:B,DATA!L:L,""))</f>
        <v/>
      </c>
    </row>
    <row r="356">
      <c r="A356" s="81"/>
      <c r="B356" s="79"/>
      <c r="C356" s="57" t="str">
        <f t="array" ref="C356">iferror(_xlfn.XLOOKUP(D356,DATA!B:B,DATA!A:A),"")</f>
        <v/>
      </c>
      <c r="D356" s="82"/>
      <c r="E356" s="89"/>
      <c r="F356" s="83"/>
      <c r="G356" s="78"/>
      <c r="H356" s="64" t="str">
        <f t="array" ref="H356">_xlfn.XLOOKUP(G356,DATA!D:D,DATA!E:E,"")</f>
        <v/>
      </c>
      <c r="I356" s="84"/>
      <c r="J356" s="23"/>
      <c r="K356" s="23"/>
      <c r="L356" s="66" t="str">
        <f t="shared" si="1"/>
        <v/>
      </c>
      <c r="M356" s="77"/>
      <c r="N356" s="78"/>
      <c r="O356" s="66" t="str">
        <f>IF(M356="","",
 IF(M356="عدم پاسخ","بدون پاسخ",
 IF(L356="","اطلاعات ناقص",
 IF(L356&lt;=DATA!$M$1,"رعایت شده","رعایت نشده"))))</f>
        <v/>
      </c>
      <c r="P356" s="79"/>
      <c r="Q356" s="77"/>
      <c r="R356" s="79"/>
      <c r="S356" s="79"/>
      <c r="T356" s="78"/>
      <c r="U356" s="80"/>
      <c r="V356" s="78"/>
      <c r="W356" s="77" t="str">
        <f t="array" ref="W356">IF(D356="","",_xlfn.XLOOKUP(D356,DATA!B:B,DATA!L:L,""))</f>
        <v/>
      </c>
      <c r="X356" s="78" t="str">
        <f t="array" ref="X356">IF(F356="","",_xlfn.XLOOKUP(F356,DATA!B:B,DATA!L:L,""))</f>
        <v/>
      </c>
    </row>
    <row r="357">
      <c r="A357" s="81"/>
      <c r="B357" s="79"/>
      <c r="C357" s="57" t="str">
        <f t="array" ref="C357">iferror(_xlfn.XLOOKUP(D357,DATA!B:B,DATA!A:A),"")</f>
        <v/>
      </c>
      <c r="D357" s="82"/>
      <c r="E357" s="89"/>
      <c r="F357" s="83"/>
      <c r="G357" s="78"/>
      <c r="H357" s="64" t="str">
        <f t="array" ref="H357">_xlfn.XLOOKUP(G357,DATA!D:D,DATA!E:E,"")</f>
        <v/>
      </c>
      <c r="I357" s="84"/>
      <c r="J357" s="23"/>
      <c r="K357" s="23"/>
      <c r="L357" s="66" t="str">
        <f t="shared" si="1"/>
        <v/>
      </c>
      <c r="M357" s="77"/>
      <c r="N357" s="78"/>
      <c r="O357" s="66" t="str">
        <f>IF(M357="","",
 IF(M357="عدم پاسخ","بدون پاسخ",
 IF(L357="","اطلاعات ناقص",
 IF(L357&lt;=DATA!$M$1,"رعایت شده","رعایت نشده"))))</f>
        <v/>
      </c>
      <c r="P357" s="79"/>
      <c r="Q357" s="77"/>
      <c r="R357" s="79"/>
      <c r="S357" s="79"/>
      <c r="T357" s="78"/>
      <c r="U357" s="80"/>
      <c r="V357" s="78"/>
      <c r="W357" s="77" t="str">
        <f t="array" ref="W357">IF(D357="","",_xlfn.XLOOKUP(D357,DATA!B:B,DATA!L:L,""))</f>
        <v/>
      </c>
      <c r="X357" s="78" t="str">
        <f t="array" ref="X357">IF(F357="","",_xlfn.XLOOKUP(F357,DATA!B:B,DATA!L:L,""))</f>
        <v/>
      </c>
    </row>
    <row r="358">
      <c r="A358" s="81"/>
      <c r="B358" s="79"/>
      <c r="C358" s="57" t="str">
        <f t="array" ref="C358">iferror(_xlfn.XLOOKUP(D358,DATA!B:B,DATA!A:A),"")</f>
        <v/>
      </c>
      <c r="D358" s="82"/>
      <c r="E358" s="89"/>
      <c r="F358" s="83"/>
      <c r="G358" s="78"/>
      <c r="H358" s="64" t="str">
        <f t="array" ref="H358">_xlfn.XLOOKUP(G358,DATA!D:D,DATA!E:E,"")</f>
        <v/>
      </c>
      <c r="I358" s="84"/>
      <c r="J358" s="23"/>
      <c r="K358" s="23"/>
      <c r="L358" s="66" t="str">
        <f t="shared" si="1"/>
        <v/>
      </c>
      <c r="M358" s="77"/>
      <c r="N358" s="78"/>
      <c r="O358" s="66" t="str">
        <f>IF(M358="","",
 IF(M358="عدم پاسخ","بدون پاسخ",
 IF(L358="","اطلاعات ناقص",
 IF(L358&lt;=DATA!$M$1,"رعایت شده","رعایت نشده"))))</f>
        <v/>
      </c>
      <c r="P358" s="79"/>
      <c r="Q358" s="77"/>
      <c r="R358" s="79"/>
      <c r="S358" s="79"/>
      <c r="T358" s="78"/>
      <c r="U358" s="80"/>
      <c r="V358" s="78"/>
      <c r="W358" s="77" t="str">
        <f t="array" ref="W358">IF(D358="","",_xlfn.XLOOKUP(D358,DATA!B:B,DATA!L:L,""))</f>
        <v/>
      </c>
      <c r="X358" s="78" t="str">
        <f t="array" ref="X358">IF(F358="","",_xlfn.XLOOKUP(F358,DATA!B:B,DATA!L:L,""))</f>
        <v/>
      </c>
    </row>
    <row r="359">
      <c r="A359" s="81"/>
      <c r="B359" s="79"/>
      <c r="C359" s="57" t="str">
        <f t="array" ref="C359">iferror(_xlfn.XLOOKUP(D359,DATA!B:B,DATA!A:A),"")</f>
        <v/>
      </c>
      <c r="D359" s="82"/>
      <c r="E359" s="89"/>
      <c r="F359" s="83"/>
      <c r="G359" s="78"/>
      <c r="H359" s="64" t="str">
        <f t="array" ref="H359">_xlfn.XLOOKUP(G359,DATA!D:D,DATA!E:E,"")</f>
        <v/>
      </c>
      <c r="I359" s="84"/>
      <c r="J359" s="23"/>
      <c r="K359" s="23"/>
      <c r="L359" s="66" t="str">
        <f t="shared" si="1"/>
        <v/>
      </c>
      <c r="M359" s="77"/>
      <c r="N359" s="78"/>
      <c r="O359" s="66" t="str">
        <f>IF(M359="","",
 IF(M359="عدم پاسخ","بدون پاسخ",
 IF(L359="","اطلاعات ناقص",
 IF(L359&lt;=DATA!$M$1,"رعایت شده","رعایت نشده"))))</f>
        <v/>
      </c>
      <c r="P359" s="79"/>
      <c r="Q359" s="77"/>
      <c r="R359" s="79"/>
      <c r="S359" s="79"/>
      <c r="T359" s="78"/>
      <c r="U359" s="80"/>
      <c r="V359" s="78"/>
      <c r="W359" s="77" t="str">
        <f t="array" ref="W359">IF(D359="","",_xlfn.XLOOKUP(D359,DATA!B:B,DATA!L:L,""))</f>
        <v/>
      </c>
      <c r="X359" s="78" t="str">
        <f t="array" ref="X359">IF(F359="","",_xlfn.XLOOKUP(F359,DATA!B:B,DATA!L:L,""))</f>
        <v/>
      </c>
    </row>
    <row r="360">
      <c r="A360" s="81"/>
      <c r="B360" s="79"/>
      <c r="C360" s="57" t="str">
        <f t="array" ref="C360">iferror(_xlfn.XLOOKUP(D360,DATA!B:B,DATA!A:A),"")</f>
        <v/>
      </c>
      <c r="D360" s="82"/>
      <c r="E360" s="89"/>
      <c r="F360" s="83"/>
      <c r="G360" s="78"/>
      <c r="H360" s="64" t="str">
        <f t="array" ref="H360">_xlfn.XLOOKUP(G360,DATA!D:D,DATA!E:E,"")</f>
        <v/>
      </c>
      <c r="I360" s="84"/>
      <c r="J360" s="23"/>
      <c r="K360" s="23"/>
      <c r="L360" s="66" t="str">
        <f t="shared" si="1"/>
        <v/>
      </c>
      <c r="M360" s="77"/>
      <c r="N360" s="78"/>
      <c r="O360" s="66" t="str">
        <f>IF(M360="","",
 IF(M360="عدم پاسخ","بدون پاسخ",
 IF(L360="","اطلاعات ناقص",
 IF(L360&lt;=DATA!$M$1,"رعایت شده","رعایت نشده"))))</f>
        <v/>
      </c>
      <c r="P360" s="79"/>
      <c r="Q360" s="77"/>
      <c r="R360" s="79"/>
      <c r="S360" s="79"/>
      <c r="T360" s="78"/>
      <c r="U360" s="80"/>
      <c r="V360" s="78"/>
      <c r="W360" s="77" t="str">
        <f t="array" ref="W360">IF(D360="","",_xlfn.XLOOKUP(D360,DATA!B:B,DATA!L:L,""))</f>
        <v/>
      </c>
      <c r="X360" s="78" t="str">
        <f t="array" ref="X360">IF(F360="","",_xlfn.XLOOKUP(F360,DATA!B:B,DATA!L:L,""))</f>
        <v/>
      </c>
    </row>
    <row r="361">
      <c r="A361" s="81"/>
      <c r="B361" s="79"/>
      <c r="C361" s="57" t="str">
        <f t="array" ref="C361">iferror(_xlfn.XLOOKUP(D361,DATA!B:B,DATA!A:A),"")</f>
        <v/>
      </c>
      <c r="D361" s="82"/>
      <c r="E361" s="89"/>
      <c r="F361" s="83"/>
      <c r="G361" s="78"/>
      <c r="H361" s="64" t="str">
        <f t="array" ref="H361">_xlfn.XLOOKUP(G361,DATA!D:D,DATA!E:E,"")</f>
        <v/>
      </c>
      <c r="I361" s="84"/>
      <c r="J361" s="23"/>
      <c r="K361" s="23"/>
      <c r="L361" s="66" t="str">
        <f t="shared" si="1"/>
        <v/>
      </c>
      <c r="M361" s="77"/>
      <c r="N361" s="78"/>
      <c r="O361" s="66" t="str">
        <f>IF(M361="","",
 IF(M361="عدم پاسخ","بدون پاسخ",
 IF(L361="","اطلاعات ناقص",
 IF(L361&lt;=DATA!$M$1,"رعایت شده","رعایت نشده"))))</f>
        <v/>
      </c>
      <c r="P361" s="79"/>
      <c r="Q361" s="77"/>
      <c r="R361" s="79"/>
      <c r="S361" s="79"/>
      <c r="T361" s="78"/>
      <c r="U361" s="80"/>
      <c r="V361" s="78"/>
      <c r="W361" s="77" t="str">
        <f t="array" ref="W361">IF(D361="","",_xlfn.XLOOKUP(D361,DATA!B:B,DATA!L:L,""))</f>
        <v/>
      </c>
      <c r="X361" s="78" t="str">
        <f t="array" ref="X361">IF(F361="","",_xlfn.XLOOKUP(F361,DATA!B:B,DATA!L:L,""))</f>
        <v/>
      </c>
    </row>
    <row r="362">
      <c r="A362" s="81"/>
      <c r="B362" s="79"/>
      <c r="C362" s="57" t="str">
        <f t="array" ref="C362">iferror(_xlfn.XLOOKUP(D362,DATA!B:B,DATA!A:A),"")</f>
        <v/>
      </c>
      <c r="D362" s="82"/>
      <c r="E362" s="89"/>
      <c r="F362" s="83"/>
      <c r="G362" s="78"/>
      <c r="H362" s="64" t="str">
        <f t="array" ref="H362">_xlfn.XLOOKUP(G362,DATA!D:D,DATA!E:E,"")</f>
        <v/>
      </c>
      <c r="I362" s="84"/>
      <c r="J362" s="23"/>
      <c r="K362" s="23"/>
      <c r="L362" s="66" t="str">
        <f t="shared" si="1"/>
        <v/>
      </c>
      <c r="M362" s="77"/>
      <c r="N362" s="78"/>
      <c r="O362" s="66" t="str">
        <f>IF(M362="","",
 IF(M362="عدم پاسخ","بدون پاسخ",
 IF(L362="","اطلاعات ناقص",
 IF(L362&lt;=DATA!$M$1,"رعایت شده","رعایت نشده"))))</f>
        <v/>
      </c>
      <c r="P362" s="79"/>
      <c r="Q362" s="77"/>
      <c r="R362" s="79"/>
      <c r="S362" s="79"/>
      <c r="T362" s="78"/>
      <c r="U362" s="80"/>
      <c r="V362" s="78"/>
      <c r="W362" s="77" t="str">
        <f t="array" ref="W362">IF(D362="","",_xlfn.XLOOKUP(D362,DATA!B:B,DATA!L:L,""))</f>
        <v/>
      </c>
      <c r="X362" s="78" t="str">
        <f t="array" ref="X362">IF(F362="","",_xlfn.XLOOKUP(F362,DATA!B:B,DATA!L:L,""))</f>
        <v/>
      </c>
    </row>
    <row r="363">
      <c r="A363" s="81"/>
      <c r="B363" s="79"/>
      <c r="C363" s="57" t="str">
        <f t="array" ref="C363">iferror(_xlfn.XLOOKUP(D363,DATA!B:B,DATA!A:A),"")</f>
        <v/>
      </c>
      <c r="D363" s="82"/>
      <c r="E363" s="89"/>
      <c r="F363" s="83"/>
      <c r="G363" s="78"/>
      <c r="H363" s="64" t="str">
        <f t="array" ref="H363">_xlfn.XLOOKUP(G363,DATA!D:D,DATA!E:E,"")</f>
        <v/>
      </c>
      <c r="I363" s="84"/>
      <c r="J363" s="23"/>
      <c r="K363" s="23"/>
      <c r="L363" s="66" t="str">
        <f t="shared" si="1"/>
        <v/>
      </c>
      <c r="M363" s="77"/>
      <c r="N363" s="78"/>
      <c r="O363" s="66" t="str">
        <f>IF(M363="","",
 IF(M363="عدم پاسخ","بدون پاسخ",
 IF(L363="","اطلاعات ناقص",
 IF(L363&lt;=DATA!$M$1,"رعایت شده","رعایت نشده"))))</f>
        <v/>
      </c>
      <c r="P363" s="79"/>
      <c r="Q363" s="77"/>
      <c r="R363" s="79"/>
      <c r="S363" s="79"/>
      <c r="T363" s="78"/>
      <c r="U363" s="80"/>
      <c r="V363" s="78"/>
      <c r="W363" s="77" t="str">
        <f t="array" ref="W363">IF(D363="","",_xlfn.XLOOKUP(D363,DATA!B:B,DATA!L:L,""))</f>
        <v/>
      </c>
      <c r="X363" s="78" t="str">
        <f t="array" ref="X363">IF(F363="","",_xlfn.XLOOKUP(F363,DATA!B:B,DATA!L:L,""))</f>
        <v/>
      </c>
    </row>
    <row r="364">
      <c r="A364" s="81"/>
      <c r="B364" s="79"/>
      <c r="C364" s="57" t="str">
        <f t="array" ref="C364">iferror(_xlfn.XLOOKUP(D364,DATA!B:B,DATA!A:A),"")</f>
        <v/>
      </c>
      <c r="D364" s="82"/>
      <c r="E364" s="89"/>
      <c r="F364" s="83"/>
      <c r="G364" s="78"/>
      <c r="H364" s="64" t="str">
        <f t="array" ref="H364">_xlfn.XLOOKUP(G364,DATA!D:D,DATA!E:E,"")</f>
        <v/>
      </c>
      <c r="I364" s="84"/>
      <c r="J364" s="23"/>
      <c r="K364" s="23"/>
      <c r="L364" s="66" t="str">
        <f t="shared" si="1"/>
        <v/>
      </c>
      <c r="M364" s="77"/>
      <c r="N364" s="78"/>
      <c r="O364" s="66" t="str">
        <f>IF(M364="","",
 IF(M364="عدم پاسخ","بدون پاسخ",
 IF(L364="","اطلاعات ناقص",
 IF(L364&lt;=DATA!$M$1,"رعایت شده","رعایت نشده"))))</f>
        <v/>
      </c>
      <c r="P364" s="79"/>
      <c r="Q364" s="77"/>
      <c r="R364" s="79"/>
      <c r="S364" s="79"/>
      <c r="T364" s="78"/>
      <c r="U364" s="80"/>
      <c r="V364" s="78"/>
      <c r="W364" s="77" t="str">
        <f t="array" ref="W364">IF(D364="","",_xlfn.XLOOKUP(D364,DATA!B:B,DATA!L:L,""))</f>
        <v/>
      </c>
      <c r="X364" s="78" t="str">
        <f t="array" ref="X364">IF(F364="","",_xlfn.XLOOKUP(F364,DATA!B:B,DATA!L:L,""))</f>
        <v/>
      </c>
    </row>
    <row r="365">
      <c r="A365" s="81"/>
      <c r="B365" s="79"/>
      <c r="C365" s="57" t="str">
        <f t="array" ref="C365">iferror(_xlfn.XLOOKUP(D365,DATA!B:B,DATA!A:A),"")</f>
        <v/>
      </c>
      <c r="D365" s="82"/>
      <c r="E365" s="89"/>
      <c r="F365" s="83"/>
      <c r="G365" s="78"/>
      <c r="H365" s="64" t="str">
        <f t="array" ref="H365">_xlfn.XLOOKUP(G365,DATA!D:D,DATA!E:E,"")</f>
        <v/>
      </c>
      <c r="I365" s="84"/>
      <c r="J365" s="23"/>
      <c r="K365" s="23"/>
      <c r="L365" s="66" t="str">
        <f t="shared" si="1"/>
        <v/>
      </c>
      <c r="M365" s="77"/>
      <c r="N365" s="78"/>
      <c r="O365" s="66" t="str">
        <f>IF(M365="","",
 IF(M365="عدم پاسخ","بدون پاسخ",
 IF(L365="","اطلاعات ناقص",
 IF(L365&lt;=DATA!$M$1,"رعایت شده","رعایت نشده"))))</f>
        <v/>
      </c>
      <c r="P365" s="79"/>
      <c r="Q365" s="77"/>
      <c r="R365" s="79"/>
      <c r="S365" s="79"/>
      <c r="T365" s="78"/>
      <c r="U365" s="80"/>
      <c r="V365" s="78"/>
      <c r="W365" s="77" t="str">
        <f t="array" ref="W365">IF(D365="","",_xlfn.XLOOKUP(D365,DATA!B:B,DATA!L:L,""))</f>
        <v/>
      </c>
      <c r="X365" s="78" t="str">
        <f t="array" ref="X365">IF(F365="","",_xlfn.XLOOKUP(F365,DATA!B:B,DATA!L:L,""))</f>
        <v/>
      </c>
    </row>
    <row r="366">
      <c r="A366" s="81"/>
      <c r="B366" s="79"/>
      <c r="C366" s="57" t="str">
        <f t="array" ref="C366">iferror(_xlfn.XLOOKUP(D366,DATA!B:B,DATA!A:A),"")</f>
        <v/>
      </c>
      <c r="D366" s="82"/>
      <c r="E366" s="89"/>
      <c r="F366" s="83"/>
      <c r="G366" s="78"/>
      <c r="H366" s="64" t="str">
        <f t="array" ref="H366">_xlfn.XLOOKUP(G366,DATA!D:D,DATA!E:E,"")</f>
        <v/>
      </c>
      <c r="I366" s="84"/>
      <c r="J366" s="23"/>
      <c r="K366" s="23"/>
      <c r="L366" s="66" t="str">
        <f t="shared" si="1"/>
        <v/>
      </c>
      <c r="M366" s="77"/>
      <c r="N366" s="78"/>
      <c r="O366" s="66" t="str">
        <f>IF(M366="","",
 IF(M366="عدم پاسخ","بدون پاسخ",
 IF(L366="","اطلاعات ناقص",
 IF(L366&lt;=DATA!$M$1,"رعایت شده","رعایت نشده"))))</f>
        <v/>
      </c>
      <c r="P366" s="79"/>
      <c r="Q366" s="77"/>
      <c r="R366" s="79"/>
      <c r="S366" s="79"/>
      <c r="T366" s="78"/>
      <c r="U366" s="80"/>
      <c r="V366" s="78"/>
      <c r="W366" s="77" t="str">
        <f t="array" ref="W366">IF(D366="","",_xlfn.XLOOKUP(D366,DATA!B:B,DATA!L:L,""))</f>
        <v/>
      </c>
      <c r="X366" s="78" t="str">
        <f t="array" ref="X366">IF(F366="","",_xlfn.XLOOKUP(F366,DATA!B:B,DATA!L:L,""))</f>
        <v/>
      </c>
    </row>
    <row r="367">
      <c r="A367" s="81"/>
      <c r="B367" s="79"/>
      <c r="C367" s="57" t="str">
        <f t="array" ref="C367">iferror(_xlfn.XLOOKUP(D367,DATA!B:B,DATA!A:A),"")</f>
        <v/>
      </c>
      <c r="D367" s="82"/>
      <c r="E367" s="89"/>
      <c r="F367" s="83"/>
      <c r="G367" s="78"/>
      <c r="H367" s="64" t="str">
        <f t="array" ref="H367">_xlfn.XLOOKUP(G367,DATA!D:D,DATA!E:E,"")</f>
        <v/>
      </c>
      <c r="I367" s="84"/>
      <c r="J367" s="23"/>
      <c r="K367" s="23"/>
      <c r="L367" s="66" t="str">
        <f t="shared" si="1"/>
        <v/>
      </c>
      <c r="M367" s="77"/>
      <c r="N367" s="78"/>
      <c r="O367" s="66" t="str">
        <f>IF(M367="","",
 IF(M367="عدم پاسخ","بدون پاسخ",
 IF(L367="","اطلاعات ناقص",
 IF(L367&lt;=DATA!$M$1,"رعایت شده","رعایت نشده"))))</f>
        <v/>
      </c>
      <c r="P367" s="79"/>
      <c r="Q367" s="77"/>
      <c r="R367" s="79"/>
      <c r="S367" s="79"/>
      <c r="T367" s="78"/>
      <c r="U367" s="80"/>
      <c r="V367" s="78"/>
      <c r="W367" s="77" t="str">
        <f t="array" ref="W367">IF(D367="","",_xlfn.XLOOKUP(D367,DATA!B:B,DATA!L:L,""))</f>
        <v/>
      </c>
      <c r="X367" s="78" t="str">
        <f t="array" ref="X367">IF(F367="","",_xlfn.XLOOKUP(F367,DATA!B:B,DATA!L:L,""))</f>
        <v/>
      </c>
    </row>
    <row r="368">
      <c r="A368" s="81"/>
      <c r="B368" s="79"/>
      <c r="C368" s="57" t="str">
        <f t="array" ref="C368">iferror(_xlfn.XLOOKUP(D368,DATA!B:B,DATA!A:A),"")</f>
        <v/>
      </c>
      <c r="D368" s="82"/>
      <c r="E368" s="89"/>
      <c r="F368" s="83"/>
      <c r="G368" s="78"/>
      <c r="H368" s="64" t="str">
        <f t="array" ref="H368">_xlfn.XLOOKUP(G368,DATA!D:D,DATA!E:E,"")</f>
        <v/>
      </c>
      <c r="I368" s="84"/>
      <c r="J368" s="23"/>
      <c r="K368" s="23"/>
      <c r="L368" s="66" t="str">
        <f t="shared" si="1"/>
        <v/>
      </c>
      <c r="M368" s="77"/>
      <c r="N368" s="78"/>
      <c r="O368" s="66" t="str">
        <f>IF(M368="","",
 IF(M368="عدم پاسخ","بدون پاسخ",
 IF(L368="","اطلاعات ناقص",
 IF(L368&lt;=DATA!$M$1,"رعایت شده","رعایت نشده"))))</f>
        <v/>
      </c>
      <c r="P368" s="79"/>
      <c r="Q368" s="77"/>
      <c r="R368" s="79"/>
      <c r="S368" s="79"/>
      <c r="T368" s="78"/>
      <c r="U368" s="80"/>
      <c r="V368" s="78"/>
      <c r="W368" s="77" t="str">
        <f t="array" ref="W368">IF(D368="","",_xlfn.XLOOKUP(D368,DATA!B:B,DATA!L:L,""))</f>
        <v/>
      </c>
      <c r="X368" s="78" t="str">
        <f t="array" ref="X368">IF(F368="","",_xlfn.XLOOKUP(F368,DATA!B:B,DATA!L:L,""))</f>
        <v/>
      </c>
    </row>
    <row r="369">
      <c r="A369" s="81"/>
      <c r="B369" s="79"/>
      <c r="C369" s="57" t="str">
        <f t="array" ref="C369">iferror(_xlfn.XLOOKUP(D369,DATA!B:B,DATA!A:A),"")</f>
        <v/>
      </c>
      <c r="D369" s="82"/>
      <c r="E369" s="89"/>
      <c r="F369" s="83"/>
      <c r="G369" s="78"/>
      <c r="H369" s="64" t="str">
        <f t="array" ref="H369">_xlfn.XLOOKUP(G369,DATA!D:D,DATA!E:E,"")</f>
        <v/>
      </c>
      <c r="I369" s="84"/>
      <c r="J369" s="23"/>
      <c r="K369" s="23"/>
      <c r="L369" s="66" t="str">
        <f t="shared" si="1"/>
        <v/>
      </c>
      <c r="M369" s="77"/>
      <c r="N369" s="78"/>
      <c r="O369" s="66" t="str">
        <f>IF(M369="","",
 IF(M369="عدم پاسخ","بدون پاسخ",
 IF(L369="","اطلاعات ناقص",
 IF(L369&lt;=DATA!$M$1,"رعایت شده","رعایت نشده"))))</f>
        <v/>
      </c>
      <c r="P369" s="79"/>
      <c r="Q369" s="77"/>
      <c r="R369" s="79"/>
      <c r="S369" s="79"/>
      <c r="T369" s="78"/>
      <c r="U369" s="80"/>
      <c r="V369" s="78"/>
      <c r="W369" s="77" t="str">
        <f t="array" ref="W369">IF(D369="","",_xlfn.XLOOKUP(D369,DATA!B:B,DATA!L:L,""))</f>
        <v/>
      </c>
      <c r="X369" s="78" t="str">
        <f t="array" ref="X369">IF(F369="","",_xlfn.XLOOKUP(F369,DATA!B:B,DATA!L:L,""))</f>
        <v/>
      </c>
    </row>
    <row r="370">
      <c r="A370" s="81"/>
      <c r="B370" s="79"/>
      <c r="C370" s="57" t="str">
        <f t="array" ref="C370">iferror(_xlfn.XLOOKUP(D370,DATA!B:B,DATA!A:A),"")</f>
        <v/>
      </c>
      <c r="D370" s="82"/>
      <c r="E370" s="89"/>
      <c r="F370" s="83"/>
      <c r="G370" s="78"/>
      <c r="H370" s="64" t="str">
        <f t="array" ref="H370">_xlfn.XLOOKUP(G370,DATA!D:D,DATA!E:E,"")</f>
        <v/>
      </c>
      <c r="I370" s="84"/>
      <c r="J370" s="23"/>
      <c r="K370" s="23"/>
      <c r="L370" s="66" t="str">
        <f t="shared" si="1"/>
        <v/>
      </c>
      <c r="M370" s="77"/>
      <c r="N370" s="78"/>
      <c r="O370" s="66" t="str">
        <f>IF(M370="","",
 IF(M370="عدم پاسخ","بدون پاسخ",
 IF(L370="","اطلاعات ناقص",
 IF(L370&lt;=DATA!$M$1,"رعایت شده","رعایت نشده"))))</f>
        <v/>
      </c>
      <c r="P370" s="79"/>
      <c r="Q370" s="77"/>
      <c r="R370" s="79"/>
      <c r="S370" s="79"/>
      <c r="T370" s="78"/>
      <c r="U370" s="80"/>
      <c r="V370" s="78"/>
      <c r="W370" s="77" t="str">
        <f t="array" ref="W370">IF(D370="","",_xlfn.XLOOKUP(D370,DATA!B:B,DATA!L:L,""))</f>
        <v/>
      </c>
      <c r="X370" s="78" t="str">
        <f t="array" ref="X370">IF(F370="","",_xlfn.XLOOKUP(F370,DATA!B:B,DATA!L:L,""))</f>
        <v/>
      </c>
    </row>
    <row r="371">
      <c r="A371" s="81"/>
      <c r="B371" s="79"/>
      <c r="C371" s="57" t="str">
        <f t="array" ref="C371">iferror(_xlfn.XLOOKUP(D371,DATA!B:B,DATA!A:A),"")</f>
        <v/>
      </c>
      <c r="D371" s="82"/>
      <c r="E371" s="89"/>
      <c r="F371" s="83"/>
      <c r="G371" s="78"/>
      <c r="H371" s="64" t="str">
        <f t="array" ref="H371">_xlfn.XLOOKUP(G371,DATA!D:D,DATA!E:E,"")</f>
        <v/>
      </c>
      <c r="I371" s="84"/>
      <c r="J371" s="23"/>
      <c r="K371" s="23"/>
      <c r="L371" s="66" t="str">
        <f t="shared" si="1"/>
        <v/>
      </c>
      <c r="M371" s="77"/>
      <c r="N371" s="78"/>
      <c r="O371" s="66" t="str">
        <f>IF(M371="","",
 IF(M371="عدم پاسخ","بدون پاسخ",
 IF(L371="","اطلاعات ناقص",
 IF(L371&lt;=DATA!$M$1,"رعایت شده","رعایت نشده"))))</f>
        <v/>
      </c>
      <c r="P371" s="79"/>
      <c r="Q371" s="77"/>
      <c r="R371" s="79"/>
      <c r="S371" s="79"/>
      <c r="T371" s="78"/>
      <c r="U371" s="80"/>
      <c r="V371" s="78"/>
      <c r="W371" s="77" t="str">
        <f t="array" ref="W371">IF(D371="","",_xlfn.XLOOKUP(D371,DATA!B:B,DATA!L:L,""))</f>
        <v/>
      </c>
      <c r="X371" s="78" t="str">
        <f t="array" ref="X371">IF(F371="","",_xlfn.XLOOKUP(F371,DATA!B:B,DATA!L:L,""))</f>
        <v/>
      </c>
    </row>
    <row r="372">
      <c r="A372" s="81"/>
      <c r="B372" s="79"/>
      <c r="C372" s="57" t="str">
        <f t="array" ref="C372">iferror(_xlfn.XLOOKUP(D372,DATA!B:B,DATA!A:A),"")</f>
        <v/>
      </c>
      <c r="D372" s="82"/>
      <c r="E372" s="89"/>
      <c r="F372" s="83"/>
      <c r="G372" s="78"/>
      <c r="H372" s="64" t="str">
        <f t="array" ref="H372">_xlfn.XLOOKUP(G372,DATA!D:D,DATA!E:E,"")</f>
        <v/>
      </c>
      <c r="I372" s="84"/>
      <c r="J372" s="23"/>
      <c r="K372" s="23"/>
      <c r="L372" s="66" t="str">
        <f t="shared" si="1"/>
        <v/>
      </c>
      <c r="M372" s="77"/>
      <c r="N372" s="78"/>
      <c r="O372" s="66" t="str">
        <f>IF(M372="","",
 IF(M372="عدم پاسخ","بدون پاسخ",
 IF(L372="","اطلاعات ناقص",
 IF(L372&lt;=DATA!$M$1,"رعایت شده","رعایت نشده"))))</f>
        <v/>
      </c>
      <c r="P372" s="79"/>
      <c r="Q372" s="77"/>
      <c r="R372" s="79"/>
      <c r="S372" s="79"/>
      <c r="T372" s="78"/>
      <c r="U372" s="80"/>
      <c r="V372" s="78"/>
      <c r="W372" s="77" t="str">
        <f t="array" ref="W372">IF(D372="","",_xlfn.XLOOKUP(D372,DATA!B:B,DATA!L:L,""))</f>
        <v/>
      </c>
      <c r="X372" s="78" t="str">
        <f t="array" ref="X372">IF(F372="","",_xlfn.XLOOKUP(F372,DATA!B:B,DATA!L:L,""))</f>
        <v/>
      </c>
    </row>
    <row r="373">
      <c r="A373" s="81"/>
      <c r="B373" s="79"/>
      <c r="C373" s="57" t="str">
        <f t="array" ref="C373">iferror(_xlfn.XLOOKUP(D373,DATA!B:B,DATA!A:A),"")</f>
        <v/>
      </c>
      <c r="D373" s="82"/>
      <c r="E373" s="89"/>
      <c r="F373" s="83"/>
      <c r="G373" s="78"/>
      <c r="H373" s="64" t="str">
        <f t="array" ref="H373">_xlfn.XLOOKUP(G373,DATA!D:D,DATA!E:E,"")</f>
        <v/>
      </c>
      <c r="I373" s="84"/>
      <c r="J373" s="23"/>
      <c r="K373" s="23"/>
      <c r="L373" s="66" t="str">
        <f t="shared" si="1"/>
        <v/>
      </c>
      <c r="M373" s="77"/>
      <c r="N373" s="78"/>
      <c r="O373" s="66" t="str">
        <f>IF(M373="","",
 IF(M373="عدم پاسخ","بدون پاسخ",
 IF(L373="","اطلاعات ناقص",
 IF(L373&lt;=DATA!$M$1,"رعایت شده","رعایت نشده"))))</f>
        <v/>
      </c>
      <c r="P373" s="79"/>
      <c r="Q373" s="77"/>
      <c r="R373" s="79"/>
      <c r="S373" s="79"/>
      <c r="T373" s="78"/>
      <c r="U373" s="80"/>
      <c r="V373" s="78"/>
      <c r="W373" s="77" t="str">
        <f t="array" ref="W373">IF(D373="","",_xlfn.XLOOKUP(D373,DATA!B:B,DATA!L:L,""))</f>
        <v/>
      </c>
      <c r="X373" s="78" t="str">
        <f t="array" ref="X373">IF(F373="","",_xlfn.XLOOKUP(F373,DATA!B:B,DATA!L:L,""))</f>
        <v/>
      </c>
    </row>
    <row r="374">
      <c r="A374" s="81"/>
      <c r="B374" s="79"/>
      <c r="C374" s="57" t="str">
        <f t="array" ref="C374">iferror(_xlfn.XLOOKUP(D374,DATA!B:B,DATA!A:A),"")</f>
        <v/>
      </c>
      <c r="D374" s="82"/>
      <c r="E374" s="89"/>
      <c r="F374" s="83"/>
      <c r="G374" s="78"/>
      <c r="H374" s="64" t="str">
        <f t="array" ref="H374">_xlfn.XLOOKUP(G374,DATA!D:D,DATA!E:E,"")</f>
        <v/>
      </c>
      <c r="I374" s="84"/>
      <c r="J374" s="23"/>
      <c r="K374" s="23"/>
      <c r="L374" s="66" t="str">
        <f t="shared" si="1"/>
        <v/>
      </c>
      <c r="M374" s="77"/>
      <c r="N374" s="78"/>
      <c r="O374" s="66" t="str">
        <f>IF(M374="","",
 IF(M374="عدم پاسخ","بدون پاسخ",
 IF(L374="","اطلاعات ناقص",
 IF(L374&lt;=DATA!$M$1,"رعایت شده","رعایت نشده"))))</f>
        <v/>
      </c>
      <c r="P374" s="79"/>
      <c r="Q374" s="77"/>
      <c r="R374" s="79"/>
      <c r="S374" s="79"/>
      <c r="T374" s="78"/>
      <c r="U374" s="80"/>
      <c r="V374" s="78"/>
      <c r="W374" s="77" t="str">
        <f t="array" ref="W374">IF(D374="","",_xlfn.XLOOKUP(D374,DATA!B:B,DATA!L:L,""))</f>
        <v/>
      </c>
      <c r="X374" s="78" t="str">
        <f t="array" ref="X374">IF(F374="","",_xlfn.XLOOKUP(F374,DATA!B:B,DATA!L:L,""))</f>
        <v/>
      </c>
    </row>
    <row r="375">
      <c r="A375" s="81"/>
      <c r="B375" s="79"/>
      <c r="C375" s="57" t="str">
        <f t="array" ref="C375">iferror(_xlfn.XLOOKUP(D375,DATA!B:B,DATA!A:A),"")</f>
        <v/>
      </c>
      <c r="D375" s="82"/>
      <c r="E375" s="89"/>
      <c r="F375" s="83"/>
      <c r="G375" s="78"/>
      <c r="H375" s="64" t="str">
        <f t="array" ref="H375">_xlfn.XLOOKUP(G375,DATA!D:D,DATA!E:E,"")</f>
        <v/>
      </c>
      <c r="I375" s="84"/>
      <c r="J375" s="23"/>
      <c r="K375" s="23"/>
      <c r="L375" s="66" t="str">
        <f t="shared" si="1"/>
        <v/>
      </c>
      <c r="M375" s="77"/>
      <c r="N375" s="78"/>
      <c r="O375" s="66" t="str">
        <f>IF(M375="","",
 IF(M375="عدم پاسخ","بدون پاسخ",
 IF(L375="","اطلاعات ناقص",
 IF(L375&lt;=DATA!$M$1,"رعایت شده","رعایت نشده"))))</f>
        <v/>
      </c>
      <c r="P375" s="79"/>
      <c r="Q375" s="77"/>
      <c r="R375" s="79"/>
      <c r="S375" s="79"/>
      <c r="T375" s="78"/>
      <c r="U375" s="80"/>
      <c r="V375" s="78"/>
      <c r="W375" s="77" t="str">
        <f t="array" ref="W375">IF(D375="","",_xlfn.XLOOKUP(D375,DATA!B:B,DATA!L:L,""))</f>
        <v/>
      </c>
      <c r="X375" s="78" t="str">
        <f t="array" ref="X375">IF(F375="","",_xlfn.XLOOKUP(F375,DATA!B:B,DATA!L:L,""))</f>
        <v/>
      </c>
    </row>
    <row r="376">
      <c r="A376" s="81"/>
      <c r="B376" s="79"/>
      <c r="C376" s="57" t="str">
        <f t="array" ref="C376">iferror(_xlfn.XLOOKUP(D376,DATA!B:B,DATA!A:A),"")</f>
        <v/>
      </c>
      <c r="D376" s="82"/>
      <c r="E376" s="89"/>
      <c r="F376" s="83"/>
      <c r="G376" s="78"/>
      <c r="H376" s="64" t="str">
        <f t="array" ref="H376">_xlfn.XLOOKUP(G376,DATA!D:D,DATA!E:E,"")</f>
        <v/>
      </c>
      <c r="I376" s="84"/>
      <c r="J376" s="23"/>
      <c r="K376" s="23"/>
      <c r="L376" s="66" t="str">
        <f t="shared" si="1"/>
        <v/>
      </c>
      <c r="M376" s="77"/>
      <c r="N376" s="78"/>
      <c r="O376" s="66" t="str">
        <f>IF(M376="","",
 IF(M376="عدم پاسخ","بدون پاسخ",
 IF(L376="","اطلاعات ناقص",
 IF(L376&lt;=DATA!$M$1,"رعایت شده","رعایت نشده"))))</f>
        <v/>
      </c>
      <c r="P376" s="79"/>
      <c r="Q376" s="77"/>
      <c r="R376" s="79"/>
      <c r="S376" s="79"/>
      <c r="T376" s="78"/>
      <c r="U376" s="80"/>
      <c r="V376" s="78"/>
      <c r="W376" s="77" t="str">
        <f t="array" ref="W376">IF(D376="","",_xlfn.XLOOKUP(D376,DATA!B:B,DATA!L:L,""))</f>
        <v/>
      </c>
      <c r="X376" s="78" t="str">
        <f t="array" ref="X376">IF(F376="","",_xlfn.XLOOKUP(F376,DATA!B:B,DATA!L:L,""))</f>
        <v/>
      </c>
    </row>
    <row r="377">
      <c r="A377" s="81"/>
      <c r="B377" s="79"/>
      <c r="C377" s="57" t="str">
        <f t="array" ref="C377">iferror(_xlfn.XLOOKUP(D377,DATA!B:B,DATA!A:A),"")</f>
        <v/>
      </c>
      <c r="D377" s="82"/>
      <c r="E377" s="89"/>
      <c r="F377" s="83"/>
      <c r="G377" s="78"/>
      <c r="H377" s="64" t="str">
        <f t="array" ref="H377">_xlfn.XLOOKUP(G377,DATA!D:D,DATA!E:E,"")</f>
        <v/>
      </c>
      <c r="I377" s="84"/>
      <c r="J377" s="23"/>
      <c r="K377" s="23"/>
      <c r="L377" s="66" t="str">
        <f t="shared" si="1"/>
        <v/>
      </c>
      <c r="M377" s="77"/>
      <c r="N377" s="78"/>
      <c r="O377" s="66" t="str">
        <f>IF(M377="","",
 IF(M377="عدم پاسخ","بدون پاسخ",
 IF(L377="","اطلاعات ناقص",
 IF(L377&lt;=DATA!$M$1,"رعایت شده","رعایت نشده"))))</f>
        <v/>
      </c>
      <c r="P377" s="79"/>
      <c r="Q377" s="77"/>
      <c r="R377" s="79"/>
      <c r="S377" s="79"/>
      <c r="T377" s="78"/>
      <c r="U377" s="80"/>
      <c r="V377" s="78"/>
      <c r="W377" s="77" t="str">
        <f t="array" ref="W377">IF(D377="","",_xlfn.XLOOKUP(D377,DATA!B:B,DATA!L:L,""))</f>
        <v/>
      </c>
      <c r="X377" s="78" t="str">
        <f t="array" ref="X377">IF(F377="","",_xlfn.XLOOKUP(F377,DATA!B:B,DATA!L:L,""))</f>
        <v/>
      </c>
    </row>
    <row r="378">
      <c r="A378" s="81"/>
      <c r="B378" s="79"/>
      <c r="C378" s="57" t="str">
        <f t="array" ref="C378">iferror(_xlfn.XLOOKUP(D378,DATA!B:B,DATA!A:A),"")</f>
        <v/>
      </c>
      <c r="D378" s="82"/>
      <c r="E378" s="89"/>
      <c r="F378" s="83"/>
      <c r="G378" s="78"/>
      <c r="H378" s="64" t="str">
        <f t="array" ref="H378">_xlfn.XLOOKUP(G378,DATA!D:D,DATA!E:E,"")</f>
        <v/>
      </c>
      <c r="I378" s="84"/>
      <c r="J378" s="23"/>
      <c r="K378" s="23"/>
      <c r="L378" s="66" t="str">
        <f t="shared" si="1"/>
        <v/>
      </c>
      <c r="M378" s="77"/>
      <c r="N378" s="78"/>
      <c r="O378" s="66" t="str">
        <f>IF(M378="","",
 IF(M378="عدم پاسخ","بدون پاسخ",
 IF(L378="","اطلاعات ناقص",
 IF(L378&lt;=DATA!$M$1,"رعایت شده","رعایت نشده"))))</f>
        <v/>
      </c>
      <c r="P378" s="79"/>
      <c r="Q378" s="77"/>
      <c r="R378" s="79"/>
      <c r="S378" s="79"/>
      <c r="T378" s="78"/>
      <c r="U378" s="80"/>
      <c r="V378" s="78"/>
      <c r="W378" s="77" t="str">
        <f t="array" ref="W378">IF(D378="","",_xlfn.XLOOKUP(D378,DATA!B:B,DATA!L:L,""))</f>
        <v/>
      </c>
      <c r="X378" s="78" t="str">
        <f t="array" ref="X378">IF(F378="","",_xlfn.XLOOKUP(F378,DATA!B:B,DATA!L:L,""))</f>
        <v/>
      </c>
    </row>
    <row r="379">
      <c r="A379" s="81"/>
      <c r="B379" s="79"/>
      <c r="C379" s="57" t="str">
        <f t="array" ref="C379">iferror(_xlfn.XLOOKUP(D379,DATA!B:B,DATA!A:A),"")</f>
        <v/>
      </c>
      <c r="D379" s="82"/>
      <c r="E379" s="89"/>
      <c r="F379" s="83"/>
      <c r="G379" s="78"/>
      <c r="H379" s="64" t="str">
        <f t="array" ref="H379">_xlfn.XLOOKUP(G379,DATA!D:D,DATA!E:E,"")</f>
        <v/>
      </c>
      <c r="I379" s="84"/>
      <c r="J379" s="23"/>
      <c r="K379" s="23"/>
      <c r="L379" s="66" t="str">
        <f t="shared" si="1"/>
        <v/>
      </c>
      <c r="M379" s="77"/>
      <c r="N379" s="78"/>
      <c r="O379" s="66" t="str">
        <f>IF(M379="","",
 IF(M379="عدم پاسخ","بدون پاسخ",
 IF(L379="","اطلاعات ناقص",
 IF(L379&lt;=DATA!$M$1,"رعایت شده","رعایت نشده"))))</f>
        <v/>
      </c>
      <c r="P379" s="79"/>
      <c r="Q379" s="77"/>
      <c r="R379" s="79"/>
      <c r="S379" s="79"/>
      <c r="T379" s="78"/>
      <c r="U379" s="80"/>
      <c r="V379" s="78"/>
      <c r="W379" s="77" t="str">
        <f t="array" ref="W379">IF(D379="","",_xlfn.XLOOKUP(D379,DATA!B:B,DATA!L:L,""))</f>
        <v/>
      </c>
      <c r="X379" s="78" t="str">
        <f t="array" ref="X379">IF(F379="","",_xlfn.XLOOKUP(F379,DATA!B:B,DATA!L:L,""))</f>
        <v/>
      </c>
    </row>
    <row r="380">
      <c r="A380" s="81"/>
      <c r="B380" s="79"/>
      <c r="C380" s="57" t="str">
        <f t="array" ref="C380">iferror(_xlfn.XLOOKUP(D380,DATA!B:B,DATA!A:A),"")</f>
        <v/>
      </c>
      <c r="D380" s="82"/>
      <c r="E380" s="89"/>
      <c r="F380" s="83"/>
      <c r="G380" s="78"/>
      <c r="H380" s="64" t="str">
        <f t="array" ref="H380">_xlfn.XLOOKUP(G380,DATA!D:D,DATA!E:E,"")</f>
        <v/>
      </c>
      <c r="I380" s="84"/>
      <c r="J380" s="23"/>
      <c r="K380" s="23"/>
      <c r="L380" s="66" t="str">
        <f t="shared" si="1"/>
        <v/>
      </c>
      <c r="M380" s="77"/>
      <c r="N380" s="78"/>
      <c r="O380" s="66" t="str">
        <f>IF(M380="","",
 IF(M380="عدم پاسخ","بدون پاسخ",
 IF(L380="","اطلاعات ناقص",
 IF(L380&lt;=DATA!$M$1,"رعایت شده","رعایت نشده"))))</f>
        <v/>
      </c>
      <c r="P380" s="79"/>
      <c r="Q380" s="77"/>
      <c r="R380" s="79"/>
      <c r="S380" s="79"/>
      <c r="T380" s="78"/>
      <c r="U380" s="80"/>
      <c r="V380" s="78"/>
      <c r="W380" s="77" t="str">
        <f t="array" ref="W380">IF(D380="","",_xlfn.XLOOKUP(D380,DATA!B:B,DATA!L:L,""))</f>
        <v/>
      </c>
      <c r="X380" s="78" t="str">
        <f t="array" ref="X380">IF(F380="","",_xlfn.XLOOKUP(F380,DATA!B:B,DATA!L:L,""))</f>
        <v/>
      </c>
    </row>
    <row r="381">
      <c r="A381" s="81"/>
      <c r="B381" s="79"/>
      <c r="C381" s="57" t="str">
        <f t="array" ref="C381">iferror(_xlfn.XLOOKUP(D381,DATA!B:B,DATA!A:A),"")</f>
        <v/>
      </c>
      <c r="D381" s="82"/>
      <c r="E381" s="89"/>
      <c r="F381" s="83"/>
      <c r="G381" s="78"/>
      <c r="H381" s="64" t="str">
        <f t="array" ref="H381">_xlfn.XLOOKUP(G381,DATA!D:D,DATA!E:E,"")</f>
        <v/>
      </c>
      <c r="I381" s="84"/>
      <c r="J381" s="23"/>
      <c r="K381" s="23"/>
      <c r="L381" s="66" t="str">
        <f t="shared" si="1"/>
        <v/>
      </c>
      <c r="M381" s="77"/>
      <c r="N381" s="78"/>
      <c r="O381" s="66" t="str">
        <f>IF(M381="","",
 IF(M381="عدم پاسخ","بدون پاسخ",
 IF(L381="","اطلاعات ناقص",
 IF(L381&lt;=DATA!$M$1,"رعایت شده","رعایت نشده"))))</f>
        <v/>
      </c>
      <c r="P381" s="79"/>
      <c r="Q381" s="77"/>
      <c r="R381" s="79"/>
      <c r="S381" s="79"/>
      <c r="T381" s="78"/>
      <c r="U381" s="80"/>
      <c r="V381" s="78"/>
      <c r="W381" s="77" t="str">
        <f t="array" ref="W381">IF(D381="","",_xlfn.XLOOKUP(D381,DATA!B:B,DATA!L:L,""))</f>
        <v/>
      </c>
      <c r="X381" s="78" t="str">
        <f t="array" ref="X381">IF(F381="","",_xlfn.XLOOKUP(F381,DATA!B:B,DATA!L:L,""))</f>
        <v/>
      </c>
    </row>
    <row r="382">
      <c r="A382" s="81"/>
      <c r="B382" s="79"/>
      <c r="C382" s="57" t="str">
        <f t="array" ref="C382">iferror(_xlfn.XLOOKUP(D382,DATA!B:B,DATA!A:A),"")</f>
        <v/>
      </c>
      <c r="D382" s="82"/>
      <c r="E382" s="89"/>
      <c r="F382" s="83"/>
      <c r="G382" s="78"/>
      <c r="H382" s="64" t="str">
        <f t="array" ref="H382">_xlfn.XLOOKUP(G382,DATA!D:D,DATA!E:E,"")</f>
        <v/>
      </c>
      <c r="I382" s="84"/>
      <c r="J382" s="23"/>
      <c r="K382" s="23"/>
      <c r="L382" s="66" t="str">
        <f t="shared" si="1"/>
        <v/>
      </c>
      <c r="M382" s="77"/>
      <c r="N382" s="78"/>
      <c r="O382" s="66" t="str">
        <f>IF(M382="","",
 IF(M382="عدم پاسخ","بدون پاسخ",
 IF(L382="","اطلاعات ناقص",
 IF(L382&lt;=DATA!$M$1,"رعایت شده","رعایت نشده"))))</f>
        <v/>
      </c>
      <c r="P382" s="79"/>
      <c r="Q382" s="77"/>
      <c r="R382" s="79"/>
      <c r="S382" s="79"/>
      <c r="T382" s="78"/>
      <c r="U382" s="80"/>
      <c r="V382" s="78"/>
      <c r="W382" s="77" t="str">
        <f t="array" ref="W382">IF(D382="","",_xlfn.XLOOKUP(D382,DATA!B:B,DATA!L:L,""))</f>
        <v/>
      </c>
      <c r="X382" s="78" t="str">
        <f t="array" ref="X382">IF(F382="","",_xlfn.XLOOKUP(F382,DATA!B:B,DATA!L:L,""))</f>
        <v/>
      </c>
    </row>
    <row r="383">
      <c r="A383" s="81"/>
      <c r="B383" s="79"/>
      <c r="C383" s="57" t="str">
        <f t="array" ref="C383">iferror(_xlfn.XLOOKUP(D383,DATA!B:B,DATA!A:A),"")</f>
        <v/>
      </c>
      <c r="D383" s="82"/>
      <c r="E383" s="89"/>
      <c r="F383" s="83"/>
      <c r="G383" s="78"/>
      <c r="H383" s="64" t="str">
        <f t="array" ref="H383">_xlfn.XLOOKUP(G383,DATA!D:D,DATA!E:E,"")</f>
        <v/>
      </c>
      <c r="I383" s="84"/>
      <c r="J383" s="23"/>
      <c r="K383" s="23"/>
      <c r="L383" s="66" t="str">
        <f t="shared" si="1"/>
        <v/>
      </c>
      <c r="M383" s="77"/>
      <c r="N383" s="78"/>
      <c r="O383" s="66" t="str">
        <f>IF(M383="","",
 IF(M383="عدم پاسخ","بدون پاسخ",
 IF(L383="","اطلاعات ناقص",
 IF(L383&lt;=DATA!$M$1,"رعایت شده","رعایت نشده"))))</f>
        <v/>
      </c>
      <c r="P383" s="79"/>
      <c r="Q383" s="77"/>
      <c r="R383" s="79"/>
      <c r="S383" s="79"/>
      <c r="T383" s="78"/>
      <c r="U383" s="80"/>
      <c r="V383" s="78"/>
      <c r="W383" s="77" t="str">
        <f t="array" ref="W383">IF(D383="","",_xlfn.XLOOKUP(D383,DATA!B:B,DATA!L:L,""))</f>
        <v/>
      </c>
      <c r="X383" s="78" t="str">
        <f t="array" ref="X383">IF(F383="","",_xlfn.XLOOKUP(F383,DATA!B:B,DATA!L:L,""))</f>
        <v/>
      </c>
    </row>
    <row r="384">
      <c r="A384" s="81"/>
      <c r="B384" s="79"/>
      <c r="C384" s="57" t="str">
        <f t="array" ref="C384">iferror(_xlfn.XLOOKUP(D384,DATA!B:B,DATA!A:A),"")</f>
        <v/>
      </c>
      <c r="D384" s="82"/>
      <c r="E384" s="89"/>
      <c r="F384" s="83"/>
      <c r="G384" s="78"/>
      <c r="H384" s="64" t="str">
        <f t="array" ref="H384">_xlfn.XLOOKUP(G384,DATA!D:D,DATA!E:E,"")</f>
        <v/>
      </c>
      <c r="I384" s="84"/>
      <c r="J384" s="23"/>
      <c r="K384" s="23"/>
      <c r="L384" s="66" t="str">
        <f t="shared" si="1"/>
        <v/>
      </c>
      <c r="M384" s="77"/>
      <c r="N384" s="78"/>
      <c r="O384" s="66" t="str">
        <f>IF(M384="","",
 IF(M384="عدم پاسخ","بدون پاسخ",
 IF(L384="","اطلاعات ناقص",
 IF(L384&lt;=DATA!$M$1,"رعایت شده","رعایت نشده"))))</f>
        <v/>
      </c>
      <c r="P384" s="79"/>
      <c r="Q384" s="77"/>
      <c r="R384" s="79"/>
      <c r="S384" s="79"/>
      <c r="T384" s="78"/>
      <c r="U384" s="80"/>
      <c r="V384" s="78"/>
      <c r="W384" s="77" t="str">
        <f t="array" ref="W384">IF(D384="","",_xlfn.XLOOKUP(D384,DATA!B:B,DATA!L:L,""))</f>
        <v/>
      </c>
      <c r="X384" s="78" t="str">
        <f t="array" ref="X384">IF(F384="","",_xlfn.XLOOKUP(F384,DATA!B:B,DATA!L:L,""))</f>
        <v/>
      </c>
    </row>
    <row r="385">
      <c r="A385" s="81"/>
      <c r="B385" s="79"/>
      <c r="C385" s="57" t="str">
        <f t="array" ref="C385">iferror(_xlfn.XLOOKUP(D385,DATA!B:B,DATA!A:A),"")</f>
        <v/>
      </c>
      <c r="D385" s="82"/>
      <c r="E385" s="89"/>
      <c r="F385" s="83"/>
      <c r="G385" s="78"/>
      <c r="H385" s="64" t="str">
        <f t="array" ref="H385">_xlfn.XLOOKUP(G385,DATA!D:D,DATA!E:E,"")</f>
        <v/>
      </c>
      <c r="I385" s="84"/>
      <c r="J385" s="23"/>
      <c r="K385" s="23"/>
      <c r="L385" s="66" t="str">
        <f t="shared" si="1"/>
        <v/>
      </c>
      <c r="M385" s="77"/>
      <c r="N385" s="78"/>
      <c r="O385" s="66" t="str">
        <f>IF(M385="","",
 IF(M385="عدم پاسخ","بدون پاسخ",
 IF(L385="","اطلاعات ناقص",
 IF(L385&lt;=DATA!$M$1,"رعایت شده","رعایت نشده"))))</f>
        <v/>
      </c>
      <c r="P385" s="79"/>
      <c r="Q385" s="77"/>
      <c r="R385" s="79"/>
      <c r="S385" s="79"/>
      <c r="T385" s="78"/>
      <c r="U385" s="80"/>
      <c r="V385" s="78"/>
      <c r="W385" s="77" t="str">
        <f t="array" ref="W385">IF(D385="","",_xlfn.XLOOKUP(D385,DATA!B:B,DATA!L:L,""))</f>
        <v/>
      </c>
      <c r="X385" s="78" t="str">
        <f t="array" ref="X385">IF(F385="","",_xlfn.XLOOKUP(F385,DATA!B:B,DATA!L:L,""))</f>
        <v/>
      </c>
    </row>
    <row r="386">
      <c r="A386" s="81"/>
      <c r="B386" s="79"/>
      <c r="C386" s="57" t="str">
        <f t="array" ref="C386">iferror(_xlfn.XLOOKUP(D386,DATA!B:B,DATA!A:A),"")</f>
        <v/>
      </c>
      <c r="D386" s="82"/>
      <c r="E386" s="89"/>
      <c r="F386" s="83"/>
      <c r="G386" s="78"/>
      <c r="H386" s="64" t="str">
        <f t="array" ref="H386">_xlfn.XLOOKUP(G386,DATA!D:D,DATA!E:E,"")</f>
        <v/>
      </c>
      <c r="I386" s="84"/>
      <c r="J386" s="23"/>
      <c r="K386" s="23"/>
      <c r="L386" s="66" t="str">
        <f t="shared" si="1"/>
        <v/>
      </c>
      <c r="M386" s="77"/>
      <c r="N386" s="78"/>
      <c r="O386" s="66" t="str">
        <f>IF(M386="","",
 IF(M386="عدم پاسخ","بدون پاسخ",
 IF(L386="","اطلاعات ناقص",
 IF(L386&lt;=DATA!$M$1,"رعایت شده","رعایت نشده"))))</f>
        <v/>
      </c>
      <c r="P386" s="79"/>
      <c r="Q386" s="77"/>
      <c r="R386" s="79"/>
      <c r="S386" s="79"/>
      <c r="T386" s="78"/>
      <c r="U386" s="80"/>
      <c r="V386" s="78"/>
      <c r="W386" s="77" t="str">
        <f t="array" ref="W386">IF(D386="","",_xlfn.XLOOKUP(D386,DATA!B:B,DATA!L:L,""))</f>
        <v/>
      </c>
      <c r="X386" s="78" t="str">
        <f t="array" ref="X386">IF(F386="","",_xlfn.XLOOKUP(F386,DATA!B:B,DATA!L:L,""))</f>
        <v/>
      </c>
    </row>
    <row r="387">
      <c r="A387" s="81"/>
      <c r="B387" s="79"/>
      <c r="C387" s="57" t="str">
        <f t="array" ref="C387">iferror(_xlfn.XLOOKUP(D387,DATA!B:B,DATA!A:A),"")</f>
        <v/>
      </c>
      <c r="D387" s="82"/>
      <c r="E387" s="89"/>
      <c r="F387" s="83"/>
      <c r="G387" s="78"/>
      <c r="H387" s="64" t="str">
        <f t="array" ref="H387">_xlfn.XLOOKUP(G387,DATA!D:D,DATA!E:E,"")</f>
        <v/>
      </c>
      <c r="I387" s="84"/>
      <c r="J387" s="23"/>
      <c r="K387" s="23"/>
      <c r="L387" s="66" t="str">
        <f t="shared" si="1"/>
        <v/>
      </c>
      <c r="M387" s="77"/>
      <c r="N387" s="78"/>
      <c r="O387" s="66" t="str">
        <f>IF(M387="","",
 IF(M387="عدم پاسخ","بدون پاسخ",
 IF(L387="","اطلاعات ناقص",
 IF(L387&lt;=DATA!$M$1,"رعایت شده","رعایت نشده"))))</f>
        <v/>
      </c>
      <c r="P387" s="79"/>
      <c r="Q387" s="77"/>
      <c r="R387" s="79"/>
      <c r="S387" s="79"/>
      <c r="T387" s="78"/>
      <c r="U387" s="80"/>
      <c r="V387" s="78"/>
      <c r="W387" s="77" t="str">
        <f t="array" ref="W387">IF(D387="","",_xlfn.XLOOKUP(D387,DATA!B:B,DATA!L:L,""))</f>
        <v/>
      </c>
      <c r="X387" s="78" t="str">
        <f t="array" ref="X387">IF(F387="","",_xlfn.XLOOKUP(F387,DATA!B:B,DATA!L:L,""))</f>
        <v/>
      </c>
    </row>
    <row r="388">
      <c r="A388" s="81"/>
      <c r="B388" s="79"/>
      <c r="C388" s="57" t="str">
        <f t="array" ref="C388">iferror(_xlfn.XLOOKUP(D388,DATA!B:B,DATA!A:A),"")</f>
        <v/>
      </c>
      <c r="D388" s="82"/>
      <c r="E388" s="89"/>
      <c r="F388" s="83"/>
      <c r="G388" s="78"/>
      <c r="H388" s="64" t="str">
        <f t="array" ref="H388">_xlfn.XLOOKUP(G388,DATA!D:D,DATA!E:E,"")</f>
        <v/>
      </c>
      <c r="I388" s="84"/>
      <c r="J388" s="23"/>
      <c r="K388" s="23"/>
      <c r="L388" s="66" t="str">
        <f t="shared" si="1"/>
        <v/>
      </c>
      <c r="M388" s="77"/>
      <c r="N388" s="78"/>
      <c r="O388" s="66" t="str">
        <f>IF(M388="","",
 IF(M388="عدم پاسخ","بدون پاسخ",
 IF(L388="","اطلاعات ناقص",
 IF(L388&lt;=DATA!$M$1,"رعایت شده","رعایت نشده"))))</f>
        <v/>
      </c>
      <c r="P388" s="79"/>
      <c r="Q388" s="77"/>
      <c r="R388" s="79"/>
      <c r="S388" s="79"/>
      <c r="T388" s="78"/>
      <c r="U388" s="80"/>
      <c r="V388" s="78"/>
      <c r="W388" s="77" t="str">
        <f t="array" ref="W388">IF(D388="","",_xlfn.XLOOKUP(D388,DATA!B:B,DATA!L:L,""))</f>
        <v/>
      </c>
      <c r="X388" s="78" t="str">
        <f t="array" ref="X388">IF(F388="","",_xlfn.XLOOKUP(F388,DATA!B:B,DATA!L:L,""))</f>
        <v/>
      </c>
    </row>
    <row r="389">
      <c r="A389" s="81"/>
      <c r="B389" s="79"/>
      <c r="C389" s="57" t="str">
        <f t="array" ref="C389">iferror(_xlfn.XLOOKUP(D389,DATA!B:B,DATA!A:A),"")</f>
        <v/>
      </c>
      <c r="D389" s="82"/>
      <c r="E389" s="89"/>
      <c r="F389" s="83"/>
      <c r="G389" s="78"/>
      <c r="H389" s="64" t="str">
        <f t="array" ref="H389">_xlfn.XLOOKUP(G389,DATA!D:D,DATA!E:E,"")</f>
        <v/>
      </c>
      <c r="I389" s="84"/>
      <c r="J389" s="23"/>
      <c r="K389" s="23"/>
      <c r="L389" s="66" t="str">
        <f t="shared" si="1"/>
        <v/>
      </c>
      <c r="M389" s="77"/>
      <c r="N389" s="78"/>
      <c r="O389" s="66" t="str">
        <f>IF(M389="","",
 IF(M389="عدم پاسخ","بدون پاسخ",
 IF(L389="","اطلاعات ناقص",
 IF(L389&lt;=DATA!$M$1,"رعایت شده","رعایت نشده"))))</f>
        <v/>
      </c>
      <c r="P389" s="79"/>
      <c r="Q389" s="77"/>
      <c r="R389" s="79"/>
      <c r="S389" s="79"/>
      <c r="T389" s="78"/>
      <c r="U389" s="80"/>
      <c r="V389" s="78"/>
      <c r="W389" s="77" t="str">
        <f t="array" ref="W389">IF(D389="","",_xlfn.XLOOKUP(D389,DATA!B:B,DATA!L:L,""))</f>
        <v/>
      </c>
      <c r="X389" s="78" t="str">
        <f t="array" ref="X389">IF(F389="","",_xlfn.XLOOKUP(F389,DATA!B:B,DATA!L:L,""))</f>
        <v/>
      </c>
    </row>
    <row r="390">
      <c r="A390" s="81"/>
      <c r="B390" s="79"/>
      <c r="C390" s="57" t="str">
        <f t="array" ref="C390">iferror(_xlfn.XLOOKUP(D390,DATA!B:B,DATA!A:A),"")</f>
        <v/>
      </c>
      <c r="D390" s="82"/>
      <c r="E390" s="89"/>
      <c r="F390" s="83"/>
      <c r="G390" s="78"/>
      <c r="H390" s="64" t="str">
        <f t="array" ref="H390">_xlfn.XLOOKUP(G390,DATA!D:D,DATA!E:E,"")</f>
        <v/>
      </c>
      <c r="I390" s="84"/>
      <c r="J390" s="23"/>
      <c r="K390" s="23"/>
      <c r="L390" s="66" t="str">
        <f t="shared" si="1"/>
        <v/>
      </c>
      <c r="M390" s="77"/>
      <c r="N390" s="78"/>
      <c r="O390" s="66" t="str">
        <f>IF(M390="","",
 IF(M390="عدم پاسخ","بدون پاسخ",
 IF(L390="","اطلاعات ناقص",
 IF(L390&lt;=DATA!$M$1,"رعایت شده","رعایت نشده"))))</f>
        <v/>
      </c>
      <c r="P390" s="79"/>
      <c r="Q390" s="77"/>
      <c r="R390" s="79"/>
      <c r="S390" s="79"/>
      <c r="T390" s="78"/>
      <c r="U390" s="80"/>
      <c r="V390" s="78"/>
      <c r="W390" s="77" t="str">
        <f t="array" ref="W390">IF(D390="","",_xlfn.XLOOKUP(D390,DATA!B:B,DATA!L:L,""))</f>
        <v/>
      </c>
      <c r="X390" s="78" t="str">
        <f t="array" ref="X390">IF(F390="","",_xlfn.XLOOKUP(F390,DATA!B:B,DATA!L:L,""))</f>
        <v/>
      </c>
    </row>
    <row r="391">
      <c r="A391" s="81"/>
      <c r="B391" s="79"/>
      <c r="C391" s="57" t="str">
        <f t="array" ref="C391">iferror(_xlfn.XLOOKUP(D391,DATA!B:B,DATA!A:A),"")</f>
        <v/>
      </c>
      <c r="D391" s="82"/>
      <c r="E391" s="89"/>
      <c r="F391" s="83"/>
      <c r="G391" s="78"/>
      <c r="H391" s="64" t="str">
        <f t="array" ref="H391">_xlfn.XLOOKUP(G391,DATA!D:D,DATA!E:E,"")</f>
        <v/>
      </c>
      <c r="I391" s="84"/>
      <c r="J391" s="23"/>
      <c r="K391" s="23"/>
      <c r="L391" s="66" t="str">
        <f t="shared" si="1"/>
        <v/>
      </c>
      <c r="M391" s="77"/>
      <c r="N391" s="78"/>
      <c r="O391" s="66" t="str">
        <f>IF(M391="","",
 IF(M391="عدم پاسخ","بدون پاسخ",
 IF(L391="","اطلاعات ناقص",
 IF(L391&lt;=DATA!$M$1,"رعایت شده","رعایت نشده"))))</f>
        <v/>
      </c>
      <c r="P391" s="79"/>
      <c r="Q391" s="77"/>
      <c r="R391" s="79"/>
      <c r="S391" s="79"/>
      <c r="T391" s="78"/>
      <c r="U391" s="80"/>
      <c r="V391" s="78"/>
      <c r="W391" s="77" t="str">
        <f t="array" ref="W391">IF(D391="","",_xlfn.XLOOKUP(D391,DATA!B:B,DATA!L:L,""))</f>
        <v/>
      </c>
      <c r="X391" s="78" t="str">
        <f t="array" ref="X391">IF(F391="","",_xlfn.XLOOKUP(F391,DATA!B:B,DATA!L:L,""))</f>
        <v/>
      </c>
    </row>
    <row r="392">
      <c r="A392" s="81"/>
      <c r="B392" s="79"/>
      <c r="C392" s="57" t="str">
        <f t="array" ref="C392">iferror(_xlfn.XLOOKUP(D392,DATA!B:B,DATA!A:A),"")</f>
        <v/>
      </c>
      <c r="D392" s="82"/>
      <c r="E392" s="89"/>
      <c r="F392" s="83"/>
      <c r="G392" s="78"/>
      <c r="H392" s="64" t="str">
        <f t="array" ref="H392">_xlfn.XLOOKUP(G392,DATA!D:D,DATA!E:E,"")</f>
        <v/>
      </c>
      <c r="I392" s="84"/>
      <c r="J392" s="23"/>
      <c r="K392" s="23"/>
      <c r="L392" s="66" t="str">
        <f t="shared" si="1"/>
        <v/>
      </c>
      <c r="M392" s="77"/>
      <c r="N392" s="78"/>
      <c r="O392" s="66" t="str">
        <f>IF(M392="","",
 IF(M392="عدم پاسخ","بدون پاسخ",
 IF(L392="","اطلاعات ناقص",
 IF(L392&lt;=DATA!$M$1,"رعایت شده","رعایت نشده"))))</f>
        <v/>
      </c>
      <c r="P392" s="79"/>
      <c r="Q392" s="77"/>
      <c r="R392" s="79"/>
      <c r="S392" s="79"/>
      <c r="T392" s="78"/>
      <c r="U392" s="80"/>
      <c r="V392" s="78"/>
      <c r="W392" s="77" t="str">
        <f t="array" ref="W392">IF(D392="","",_xlfn.XLOOKUP(D392,DATA!B:B,DATA!L:L,""))</f>
        <v/>
      </c>
      <c r="X392" s="78" t="str">
        <f t="array" ref="X392">IF(F392="","",_xlfn.XLOOKUP(F392,DATA!B:B,DATA!L:L,""))</f>
        <v/>
      </c>
    </row>
    <row r="393">
      <c r="A393" s="81"/>
      <c r="B393" s="79"/>
      <c r="C393" s="57" t="str">
        <f t="array" ref="C393">iferror(_xlfn.XLOOKUP(D393,DATA!B:B,DATA!A:A),"")</f>
        <v/>
      </c>
      <c r="D393" s="82"/>
      <c r="E393" s="89"/>
      <c r="F393" s="83"/>
      <c r="G393" s="78"/>
      <c r="H393" s="64" t="str">
        <f t="array" ref="H393">_xlfn.XLOOKUP(G393,DATA!D:D,DATA!E:E,"")</f>
        <v/>
      </c>
      <c r="I393" s="84"/>
      <c r="J393" s="23"/>
      <c r="K393" s="23"/>
      <c r="L393" s="66" t="str">
        <f t="shared" si="1"/>
        <v/>
      </c>
      <c r="M393" s="77"/>
      <c r="N393" s="78"/>
      <c r="O393" s="66" t="str">
        <f>IF(M393="","",
 IF(M393="عدم پاسخ","بدون پاسخ",
 IF(L393="","اطلاعات ناقص",
 IF(L393&lt;=DATA!$M$1,"رعایت شده","رعایت نشده"))))</f>
        <v/>
      </c>
      <c r="P393" s="79"/>
      <c r="Q393" s="77"/>
      <c r="R393" s="79"/>
      <c r="S393" s="79"/>
      <c r="T393" s="78"/>
      <c r="U393" s="80"/>
      <c r="V393" s="78"/>
      <c r="W393" s="77" t="str">
        <f t="array" ref="W393">IF(D393="","",_xlfn.XLOOKUP(D393,DATA!B:B,DATA!L:L,""))</f>
        <v/>
      </c>
      <c r="X393" s="78" t="str">
        <f t="array" ref="X393">IF(F393="","",_xlfn.XLOOKUP(F393,DATA!B:B,DATA!L:L,""))</f>
        <v/>
      </c>
    </row>
    <row r="394">
      <c r="A394" s="81"/>
      <c r="B394" s="79"/>
      <c r="C394" s="57" t="str">
        <f t="array" ref="C394">iferror(_xlfn.XLOOKUP(D394,DATA!B:B,DATA!A:A),"")</f>
        <v/>
      </c>
      <c r="D394" s="82"/>
      <c r="E394" s="89"/>
      <c r="F394" s="83"/>
      <c r="G394" s="78"/>
      <c r="H394" s="64" t="str">
        <f t="array" ref="H394">_xlfn.XLOOKUP(G394,DATA!D:D,DATA!E:E,"")</f>
        <v/>
      </c>
      <c r="I394" s="84"/>
      <c r="J394" s="23"/>
      <c r="K394" s="23"/>
      <c r="L394" s="66" t="str">
        <f t="shared" si="1"/>
        <v/>
      </c>
      <c r="M394" s="77"/>
      <c r="N394" s="78"/>
      <c r="O394" s="66" t="str">
        <f>IF(M394="","",
 IF(M394="عدم پاسخ","بدون پاسخ",
 IF(L394="","اطلاعات ناقص",
 IF(L394&lt;=DATA!$M$1,"رعایت شده","رعایت نشده"))))</f>
        <v/>
      </c>
      <c r="P394" s="79"/>
      <c r="Q394" s="77"/>
      <c r="R394" s="79"/>
      <c r="S394" s="79"/>
      <c r="T394" s="78"/>
      <c r="U394" s="80"/>
      <c r="V394" s="78"/>
      <c r="W394" s="77" t="str">
        <f t="array" ref="W394">IF(D394="","",_xlfn.XLOOKUP(D394,DATA!B:B,DATA!L:L,""))</f>
        <v/>
      </c>
      <c r="X394" s="78" t="str">
        <f t="array" ref="X394">IF(F394="","",_xlfn.XLOOKUP(F394,DATA!B:B,DATA!L:L,""))</f>
        <v/>
      </c>
    </row>
    <row r="395">
      <c r="A395" s="81"/>
      <c r="B395" s="79"/>
      <c r="C395" s="57" t="str">
        <f t="array" ref="C395">iferror(_xlfn.XLOOKUP(D395,DATA!B:B,DATA!A:A),"")</f>
        <v/>
      </c>
      <c r="D395" s="82"/>
      <c r="E395" s="89"/>
      <c r="F395" s="83"/>
      <c r="G395" s="78"/>
      <c r="H395" s="64" t="str">
        <f t="array" ref="H395">_xlfn.XLOOKUP(G395,DATA!D:D,DATA!E:E,"")</f>
        <v/>
      </c>
      <c r="I395" s="84"/>
      <c r="J395" s="23"/>
      <c r="K395" s="23"/>
      <c r="L395" s="66" t="str">
        <f t="shared" si="1"/>
        <v/>
      </c>
      <c r="M395" s="77"/>
      <c r="N395" s="78"/>
      <c r="O395" s="66" t="str">
        <f>IF(M395="","",
 IF(M395="عدم پاسخ","بدون پاسخ",
 IF(L395="","اطلاعات ناقص",
 IF(L395&lt;=DATA!$M$1,"رعایت شده","رعایت نشده"))))</f>
        <v/>
      </c>
      <c r="P395" s="79"/>
      <c r="Q395" s="77"/>
      <c r="R395" s="79"/>
      <c r="S395" s="79"/>
      <c r="T395" s="78"/>
      <c r="U395" s="80"/>
      <c r="V395" s="78"/>
      <c r="W395" s="77" t="str">
        <f t="array" ref="W395">IF(D395="","",_xlfn.XLOOKUP(D395,DATA!B:B,DATA!L:L,""))</f>
        <v/>
      </c>
      <c r="X395" s="78" t="str">
        <f t="array" ref="X395">IF(F395="","",_xlfn.XLOOKUP(F395,DATA!B:B,DATA!L:L,""))</f>
        <v/>
      </c>
    </row>
    <row r="396">
      <c r="A396" s="81"/>
      <c r="B396" s="79"/>
      <c r="C396" s="57" t="str">
        <f t="array" ref="C396">iferror(_xlfn.XLOOKUP(D396,DATA!B:B,DATA!A:A),"")</f>
        <v/>
      </c>
      <c r="D396" s="82"/>
      <c r="E396" s="89"/>
      <c r="F396" s="83"/>
      <c r="G396" s="78"/>
      <c r="H396" s="64" t="str">
        <f t="array" ref="H396">_xlfn.XLOOKUP(G396,DATA!D:D,DATA!E:E,"")</f>
        <v/>
      </c>
      <c r="I396" s="84"/>
      <c r="J396" s="23"/>
      <c r="K396" s="23"/>
      <c r="L396" s="66" t="str">
        <f t="shared" si="1"/>
        <v/>
      </c>
      <c r="M396" s="77"/>
      <c r="N396" s="78"/>
      <c r="O396" s="66" t="str">
        <f>IF(M396="","",
 IF(M396="عدم پاسخ","بدون پاسخ",
 IF(L396="","اطلاعات ناقص",
 IF(L396&lt;=DATA!$M$1,"رعایت شده","رعایت نشده"))))</f>
        <v/>
      </c>
      <c r="P396" s="79"/>
      <c r="Q396" s="77"/>
      <c r="R396" s="79"/>
      <c r="S396" s="79"/>
      <c r="T396" s="78"/>
      <c r="U396" s="80"/>
      <c r="V396" s="78"/>
      <c r="W396" s="77" t="str">
        <f t="array" ref="W396">IF(D396="","",_xlfn.XLOOKUP(D396,DATA!B:B,DATA!L:L,""))</f>
        <v/>
      </c>
      <c r="X396" s="78" t="str">
        <f t="array" ref="X396">IF(F396="","",_xlfn.XLOOKUP(F396,DATA!B:B,DATA!L:L,""))</f>
        <v/>
      </c>
    </row>
    <row r="397">
      <c r="A397" s="81"/>
      <c r="B397" s="79"/>
      <c r="C397" s="57" t="str">
        <f t="array" ref="C397">iferror(_xlfn.XLOOKUP(D397,DATA!B:B,DATA!A:A),"")</f>
        <v/>
      </c>
      <c r="D397" s="82"/>
      <c r="E397" s="89"/>
      <c r="F397" s="83"/>
      <c r="G397" s="78"/>
      <c r="H397" s="64" t="str">
        <f t="array" ref="H397">_xlfn.XLOOKUP(G397,DATA!D:D,DATA!E:E,"")</f>
        <v/>
      </c>
      <c r="I397" s="84"/>
      <c r="J397" s="23"/>
      <c r="K397" s="23"/>
      <c r="L397" s="66" t="str">
        <f t="shared" si="1"/>
        <v/>
      </c>
      <c r="M397" s="77"/>
      <c r="N397" s="78"/>
      <c r="O397" s="66" t="str">
        <f>IF(M397="","",
 IF(M397="عدم پاسخ","بدون پاسخ",
 IF(L397="","اطلاعات ناقص",
 IF(L397&lt;=DATA!$M$1,"رعایت شده","رعایت نشده"))))</f>
        <v/>
      </c>
      <c r="P397" s="79"/>
      <c r="Q397" s="77"/>
      <c r="R397" s="79"/>
      <c r="S397" s="79"/>
      <c r="T397" s="78"/>
      <c r="U397" s="80"/>
      <c r="V397" s="78"/>
      <c r="W397" s="77" t="str">
        <f t="array" ref="W397">IF(D397="","",_xlfn.XLOOKUP(D397,DATA!B:B,DATA!L:L,""))</f>
        <v/>
      </c>
      <c r="X397" s="78" t="str">
        <f t="array" ref="X397">IF(F397="","",_xlfn.XLOOKUP(F397,DATA!B:B,DATA!L:L,""))</f>
        <v/>
      </c>
    </row>
    <row r="398">
      <c r="A398" s="81"/>
      <c r="B398" s="79"/>
      <c r="C398" s="57" t="str">
        <f t="array" ref="C398">iferror(_xlfn.XLOOKUP(D398,DATA!B:B,DATA!A:A),"")</f>
        <v/>
      </c>
      <c r="D398" s="82"/>
      <c r="E398" s="89"/>
      <c r="F398" s="83"/>
      <c r="G398" s="78"/>
      <c r="H398" s="64" t="str">
        <f t="array" ref="H398">_xlfn.XLOOKUP(G398,DATA!D:D,DATA!E:E,"")</f>
        <v/>
      </c>
      <c r="I398" s="84"/>
      <c r="J398" s="23"/>
      <c r="K398" s="23"/>
      <c r="L398" s="66" t="str">
        <f t="shared" si="1"/>
        <v/>
      </c>
      <c r="M398" s="77"/>
      <c r="N398" s="78"/>
      <c r="O398" s="66" t="str">
        <f>IF(M398="","",
 IF(M398="عدم پاسخ","بدون پاسخ",
 IF(L398="","اطلاعات ناقص",
 IF(L398&lt;=DATA!$M$1,"رعایت شده","رعایت نشده"))))</f>
        <v/>
      </c>
      <c r="P398" s="79"/>
      <c r="Q398" s="77"/>
      <c r="R398" s="79"/>
      <c r="S398" s="79"/>
      <c r="T398" s="78"/>
      <c r="U398" s="80"/>
      <c r="V398" s="78"/>
      <c r="W398" s="77" t="str">
        <f t="array" ref="W398">IF(D398="","",_xlfn.XLOOKUP(D398,DATA!B:B,DATA!L:L,""))</f>
        <v/>
      </c>
      <c r="X398" s="78" t="str">
        <f t="array" ref="X398">IF(F398="","",_xlfn.XLOOKUP(F398,DATA!B:B,DATA!L:L,""))</f>
        <v/>
      </c>
    </row>
    <row r="399">
      <c r="A399" s="81"/>
      <c r="B399" s="79"/>
      <c r="C399" s="57" t="str">
        <f t="array" ref="C399">iferror(_xlfn.XLOOKUP(D399,DATA!B:B,DATA!A:A),"")</f>
        <v/>
      </c>
      <c r="D399" s="82"/>
      <c r="E399" s="89"/>
      <c r="F399" s="83"/>
      <c r="G399" s="78"/>
      <c r="H399" s="64" t="str">
        <f t="array" ref="H399">_xlfn.XLOOKUP(G399,DATA!D:D,DATA!E:E,"")</f>
        <v/>
      </c>
      <c r="I399" s="84"/>
      <c r="J399" s="23"/>
      <c r="K399" s="23"/>
      <c r="L399" s="66" t="str">
        <f t="shared" si="1"/>
        <v/>
      </c>
      <c r="M399" s="77"/>
      <c r="N399" s="78"/>
      <c r="O399" s="66" t="str">
        <f>IF(M399="","",
 IF(M399="عدم پاسخ","بدون پاسخ",
 IF(L399="","اطلاعات ناقص",
 IF(L399&lt;=DATA!$M$1,"رعایت شده","رعایت نشده"))))</f>
        <v/>
      </c>
      <c r="P399" s="79"/>
      <c r="Q399" s="77"/>
      <c r="R399" s="79"/>
      <c r="S399" s="79"/>
      <c r="T399" s="78"/>
      <c r="U399" s="80"/>
      <c r="V399" s="78"/>
      <c r="W399" s="77" t="str">
        <f t="array" ref="W399">IF(D399="","",_xlfn.XLOOKUP(D399,DATA!B:B,DATA!L:L,""))</f>
        <v/>
      </c>
      <c r="X399" s="78" t="str">
        <f t="array" ref="X399">IF(F399="","",_xlfn.XLOOKUP(F399,DATA!B:B,DATA!L:L,""))</f>
        <v/>
      </c>
    </row>
    <row r="400">
      <c r="A400" s="81"/>
      <c r="B400" s="79"/>
      <c r="C400" s="57" t="str">
        <f t="array" ref="C400">iferror(_xlfn.XLOOKUP(D400,DATA!B:B,DATA!A:A),"")</f>
        <v/>
      </c>
      <c r="D400" s="82"/>
      <c r="E400" s="89"/>
      <c r="F400" s="83"/>
      <c r="G400" s="78"/>
      <c r="H400" s="64" t="str">
        <f t="array" ref="H400">_xlfn.XLOOKUP(G400,DATA!D:D,DATA!E:E,"")</f>
        <v/>
      </c>
      <c r="I400" s="84"/>
      <c r="J400" s="23"/>
      <c r="K400" s="23"/>
      <c r="L400" s="66" t="str">
        <f t="shared" si="1"/>
        <v/>
      </c>
      <c r="M400" s="77"/>
      <c r="N400" s="78"/>
      <c r="O400" s="66" t="str">
        <f>IF(M400="","",
 IF(M400="عدم پاسخ","بدون پاسخ",
 IF(L400="","اطلاعات ناقص",
 IF(L400&lt;=DATA!$M$1,"رعایت شده","رعایت نشده"))))</f>
        <v/>
      </c>
      <c r="P400" s="79"/>
      <c r="Q400" s="77"/>
      <c r="R400" s="79"/>
      <c r="S400" s="79"/>
      <c r="T400" s="78"/>
      <c r="U400" s="80"/>
      <c r="V400" s="78"/>
      <c r="W400" s="77" t="str">
        <f t="array" ref="W400">IF(D400="","",_xlfn.XLOOKUP(D400,DATA!B:B,DATA!L:L,""))</f>
        <v/>
      </c>
      <c r="X400" s="78" t="str">
        <f t="array" ref="X400">IF(F400="","",_xlfn.XLOOKUP(F400,DATA!B:B,DATA!L:L,""))</f>
        <v/>
      </c>
    </row>
    <row r="401">
      <c r="A401" s="81"/>
      <c r="B401" s="79"/>
      <c r="C401" s="57" t="str">
        <f t="array" ref="C401">iferror(_xlfn.XLOOKUP(D401,DATA!B:B,DATA!A:A),"")</f>
        <v/>
      </c>
      <c r="D401" s="82"/>
      <c r="E401" s="89"/>
      <c r="F401" s="83"/>
      <c r="G401" s="78"/>
      <c r="H401" s="64" t="str">
        <f t="array" ref="H401">_xlfn.XLOOKUP(G401,DATA!D:D,DATA!E:E,"")</f>
        <v/>
      </c>
      <c r="I401" s="84"/>
      <c r="J401" s="23"/>
      <c r="K401" s="23"/>
      <c r="L401" s="66" t="str">
        <f t="shared" si="1"/>
        <v/>
      </c>
      <c r="M401" s="77"/>
      <c r="N401" s="78"/>
      <c r="O401" s="66" t="str">
        <f>IF(M401="","",
 IF(M401="عدم پاسخ","بدون پاسخ",
 IF(L401="","اطلاعات ناقص",
 IF(L401&lt;=DATA!$M$1,"رعایت شده","رعایت نشده"))))</f>
        <v/>
      </c>
      <c r="P401" s="79"/>
      <c r="Q401" s="77"/>
      <c r="R401" s="79"/>
      <c r="S401" s="79"/>
      <c r="T401" s="78"/>
      <c r="U401" s="80"/>
      <c r="V401" s="78"/>
      <c r="W401" s="77" t="str">
        <f t="array" ref="W401">IF(D401="","",_xlfn.XLOOKUP(D401,DATA!B:B,DATA!L:L,""))</f>
        <v/>
      </c>
      <c r="X401" s="78" t="str">
        <f t="array" ref="X401">IF(F401="","",_xlfn.XLOOKUP(F401,DATA!B:B,DATA!L:L,""))</f>
        <v/>
      </c>
    </row>
    <row r="402">
      <c r="A402" s="81"/>
      <c r="B402" s="79"/>
      <c r="C402" s="57" t="str">
        <f t="array" ref="C402">iferror(_xlfn.XLOOKUP(D402,DATA!B:B,DATA!A:A),"")</f>
        <v/>
      </c>
      <c r="D402" s="82"/>
      <c r="E402" s="89"/>
      <c r="F402" s="83"/>
      <c r="G402" s="78"/>
      <c r="H402" s="64" t="str">
        <f t="array" ref="H402">_xlfn.XLOOKUP(G402,DATA!D:D,DATA!E:E,"")</f>
        <v/>
      </c>
      <c r="I402" s="84"/>
      <c r="J402" s="23"/>
      <c r="K402" s="23"/>
      <c r="L402" s="66" t="str">
        <f t="shared" si="1"/>
        <v/>
      </c>
      <c r="M402" s="77"/>
      <c r="N402" s="78"/>
      <c r="O402" s="66" t="str">
        <f>IF(M402="","",
 IF(M402="عدم پاسخ","بدون پاسخ",
 IF(L402="","اطلاعات ناقص",
 IF(L402&lt;=DATA!$M$1,"رعایت شده","رعایت نشده"))))</f>
        <v/>
      </c>
      <c r="P402" s="79"/>
      <c r="Q402" s="77"/>
      <c r="R402" s="79"/>
      <c r="S402" s="79"/>
      <c r="T402" s="78"/>
      <c r="U402" s="80"/>
      <c r="V402" s="78"/>
      <c r="W402" s="77" t="str">
        <f t="array" ref="W402">IF(D402="","",_xlfn.XLOOKUP(D402,DATA!B:B,DATA!L:L,""))</f>
        <v/>
      </c>
      <c r="X402" s="78" t="str">
        <f t="array" ref="X402">IF(F402="","",_xlfn.XLOOKUP(F402,DATA!B:B,DATA!L:L,""))</f>
        <v/>
      </c>
    </row>
    <row r="403">
      <c r="A403" s="81"/>
      <c r="B403" s="79"/>
      <c r="C403" s="57" t="str">
        <f t="array" ref="C403">iferror(_xlfn.XLOOKUP(D403,DATA!B:B,DATA!A:A),"")</f>
        <v/>
      </c>
      <c r="D403" s="82"/>
      <c r="E403" s="89"/>
      <c r="F403" s="83"/>
      <c r="G403" s="78"/>
      <c r="H403" s="64" t="str">
        <f t="array" ref="H403">_xlfn.XLOOKUP(G403,DATA!D:D,DATA!E:E,"")</f>
        <v/>
      </c>
      <c r="I403" s="84"/>
      <c r="J403" s="23"/>
      <c r="K403" s="23"/>
      <c r="L403" s="66" t="str">
        <f t="shared" si="1"/>
        <v/>
      </c>
      <c r="M403" s="77"/>
      <c r="N403" s="78"/>
      <c r="O403" s="66" t="str">
        <f>IF(M403="","",
 IF(M403="عدم پاسخ","بدون پاسخ",
 IF(L403="","اطلاعات ناقص",
 IF(L403&lt;=DATA!$M$1,"رعایت شده","رعایت نشده"))))</f>
        <v/>
      </c>
      <c r="P403" s="79"/>
      <c r="Q403" s="77"/>
      <c r="R403" s="79"/>
      <c r="S403" s="79"/>
      <c r="T403" s="78"/>
      <c r="U403" s="80"/>
      <c r="V403" s="78"/>
      <c r="W403" s="77" t="str">
        <f t="array" ref="W403">IF(D403="","",_xlfn.XLOOKUP(D403,DATA!B:B,DATA!L:L,""))</f>
        <v/>
      </c>
      <c r="X403" s="78" t="str">
        <f t="array" ref="X403">IF(F403="","",_xlfn.XLOOKUP(F403,DATA!B:B,DATA!L:L,""))</f>
        <v/>
      </c>
    </row>
    <row r="404">
      <c r="A404" s="81"/>
      <c r="B404" s="79"/>
      <c r="C404" s="57" t="str">
        <f t="array" ref="C404">iferror(_xlfn.XLOOKUP(D404,DATA!B:B,DATA!A:A),"")</f>
        <v/>
      </c>
      <c r="D404" s="82"/>
      <c r="E404" s="89"/>
      <c r="F404" s="83"/>
      <c r="G404" s="78"/>
      <c r="H404" s="64" t="str">
        <f t="array" ref="H404">_xlfn.XLOOKUP(G404,DATA!D:D,DATA!E:E,"")</f>
        <v/>
      </c>
      <c r="I404" s="84"/>
      <c r="J404" s="23"/>
      <c r="K404" s="23"/>
      <c r="L404" s="66" t="str">
        <f t="shared" si="1"/>
        <v/>
      </c>
      <c r="M404" s="77"/>
      <c r="N404" s="78"/>
      <c r="O404" s="66" t="str">
        <f>IF(M404="","",
 IF(M404="عدم پاسخ","بدون پاسخ",
 IF(L404="","اطلاعات ناقص",
 IF(L404&lt;=DATA!$M$1,"رعایت شده","رعایت نشده"))))</f>
        <v/>
      </c>
      <c r="P404" s="79"/>
      <c r="Q404" s="77"/>
      <c r="R404" s="79"/>
      <c r="S404" s="79"/>
      <c r="T404" s="78"/>
      <c r="U404" s="80"/>
      <c r="V404" s="78"/>
      <c r="W404" s="77" t="str">
        <f t="array" ref="W404">IF(D404="","",_xlfn.XLOOKUP(D404,DATA!B:B,DATA!L:L,""))</f>
        <v/>
      </c>
      <c r="X404" s="78" t="str">
        <f t="array" ref="X404">IF(F404="","",_xlfn.XLOOKUP(F404,DATA!B:B,DATA!L:L,""))</f>
        <v/>
      </c>
    </row>
    <row r="405">
      <c r="A405" s="81"/>
      <c r="B405" s="79"/>
      <c r="C405" s="57" t="str">
        <f t="array" ref="C405">iferror(_xlfn.XLOOKUP(D405,DATA!B:B,DATA!A:A),"")</f>
        <v/>
      </c>
      <c r="D405" s="82"/>
      <c r="E405" s="89"/>
      <c r="F405" s="83"/>
      <c r="G405" s="78"/>
      <c r="H405" s="64" t="str">
        <f t="array" ref="H405">_xlfn.XLOOKUP(G405,DATA!D:D,DATA!E:E,"")</f>
        <v/>
      </c>
      <c r="I405" s="84"/>
      <c r="J405" s="23"/>
      <c r="K405" s="23"/>
      <c r="L405" s="66" t="str">
        <f t="shared" si="1"/>
        <v/>
      </c>
      <c r="M405" s="77"/>
      <c r="N405" s="78"/>
      <c r="O405" s="66" t="str">
        <f>IF(M405="","",
 IF(M405="عدم پاسخ","بدون پاسخ",
 IF(L405="","اطلاعات ناقص",
 IF(L405&lt;=DATA!$M$1,"رعایت شده","رعایت نشده"))))</f>
        <v/>
      </c>
      <c r="P405" s="79"/>
      <c r="Q405" s="77"/>
      <c r="R405" s="79"/>
      <c r="S405" s="79"/>
      <c r="T405" s="78"/>
      <c r="U405" s="80"/>
      <c r="V405" s="78"/>
      <c r="W405" s="77" t="str">
        <f t="array" ref="W405">IF(D405="","",_xlfn.XLOOKUP(D405,DATA!B:B,DATA!L:L,""))</f>
        <v/>
      </c>
      <c r="X405" s="78" t="str">
        <f t="array" ref="X405">IF(F405="","",_xlfn.XLOOKUP(F405,DATA!B:B,DATA!L:L,""))</f>
        <v/>
      </c>
    </row>
    <row r="406">
      <c r="A406" s="81"/>
      <c r="B406" s="79"/>
      <c r="C406" s="57" t="str">
        <f t="array" ref="C406">iferror(_xlfn.XLOOKUP(D406,DATA!B:B,DATA!A:A),"")</f>
        <v/>
      </c>
      <c r="D406" s="82"/>
      <c r="E406" s="89"/>
      <c r="F406" s="83"/>
      <c r="G406" s="78"/>
      <c r="H406" s="64" t="str">
        <f t="array" ref="H406">_xlfn.XLOOKUP(G406,DATA!D:D,DATA!E:E,"")</f>
        <v/>
      </c>
      <c r="I406" s="84"/>
      <c r="J406" s="23"/>
      <c r="K406" s="23"/>
      <c r="L406" s="66" t="str">
        <f t="shared" si="1"/>
        <v/>
      </c>
      <c r="M406" s="77"/>
      <c r="N406" s="78"/>
      <c r="O406" s="66" t="str">
        <f>IF(M406="","",
 IF(M406="عدم پاسخ","بدون پاسخ",
 IF(L406="","اطلاعات ناقص",
 IF(L406&lt;=DATA!$M$1,"رعایت شده","رعایت نشده"))))</f>
        <v/>
      </c>
      <c r="P406" s="79"/>
      <c r="Q406" s="77"/>
      <c r="R406" s="79"/>
      <c r="S406" s="79"/>
      <c r="T406" s="78"/>
      <c r="U406" s="80"/>
      <c r="V406" s="78"/>
      <c r="W406" s="77" t="str">
        <f t="array" ref="W406">IF(D406="","",_xlfn.XLOOKUP(D406,DATA!B:B,DATA!L:L,""))</f>
        <v/>
      </c>
      <c r="X406" s="78" t="str">
        <f t="array" ref="X406">IF(F406="","",_xlfn.XLOOKUP(F406,DATA!B:B,DATA!L:L,""))</f>
        <v/>
      </c>
    </row>
    <row r="407">
      <c r="A407" s="81"/>
      <c r="B407" s="79"/>
      <c r="C407" s="57" t="str">
        <f t="array" ref="C407">iferror(_xlfn.XLOOKUP(D407,DATA!B:B,DATA!A:A),"")</f>
        <v/>
      </c>
      <c r="D407" s="82"/>
      <c r="E407" s="89"/>
      <c r="F407" s="83"/>
      <c r="G407" s="78"/>
      <c r="H407" s="64" t="str">
        <f t="array" ref="H407">_xlfn.XLOOKUP(G407,DATA!D:D,DATA!E:E,"")</f>
        <v/>
      </c>
      <c r="I407" s="84"/>
      <c r="J407" s="23"/>
      <c r="K407" s="23"/>
      <c r="L407" s="66" t="str">
        <f t="shared" si="1"/>
        <v/>
      </c>
      <c r="M407" s="77"/>
      <c r="N407" s="78"/>
      <c r="O407" s="66" t="str">
        <f>IF(M407="","",
 IF(M407="عدم پاسخ","بدون پاسخ",
 IF(L407="","اطلاعات ناقص",
 IF(L407&lt;=DATA!$M$1,"رعایت شده","رعایت نشده"))))</f>
        <v/>
      </c>
      <c r="P407" s="79"/>
      <c r="Q407" s="77"/>
      <c r="R407" s="79"/>
      <c r="S407" s="79"/>
      <c r="T407" s="78"/>
      <c r="U407" s="80"/>
      <c r="V407" s="78"/>
      <c r="W407" s="77" t="str">
        <f t="array" ref="W407">IF(D407="","",_xlfn.XLOOKUP(D407,DATA!B:B,DATA!L:L,""))</f>
        <v/>
      </c>
      <c r="X407" s="78" t="str">
        <f t="array" ref="X407">IF(F407="","",_xlfn.XLOOKUP(F407,DATA!B:B,DATA!L:L,""))</f>
        <v/>
      </c>
    </row>
    <row r="408">
      <c r="A408" s="81"/>
      <c r="B408" s="79"/>
      <c r="C408" s="57" t="str">
        <f t="array" ref="C408">iferror(_xlfn.XLOOKUP(D408,DATA!B:B,DATA!A:A),"")</f>
        <v/>
      </c>
      <c r="D408" s="82"/>
      <c r="E408" s="89"/>
      <c r="F408" s="83"/>
      <c r="G408" s="78"/>
      <c r="H408" s="64" t="str">
        <f t="array" ref="H408">_xlfn.XLOOKUP(G408,DATA!D:D,DATA!E:E,"")</f>
        <v/>
      </c>
      <c r="I408" s="84"/>
      <c r="J408" s="23"/>
      <c r="K408" s="23"/>
      <c r="L408" s="66" t="str">
        <f t="shared" si="1"/>
        <v/>
      </c>
      <c r="M408" s="77"/>
      <c r="N408" s="78"/>
      <c r="O408" s="66" t="str">
        <f>IF(M408="","",
 IF(M408="عدم پاسخ","بدون پاسخ",
 IF(L408="","اطلاعات ناقص",
 IF(L408&lt;=DATA!$M$1,"رعایت شده","رعایت نشده"))))</f>
        <v/>
      </c>
      <c r="P408" s="79"/>
      <c r="Q408" s="77"/>
      <c r="R408" s="79"/>
      <c r="S408" s="79"/>
      <c r="T408" s="78"/>
      <c r="U408" s="80"/>
      <c r="V408" s="78"/>
      <c r="W408" s="77" t="str">
        <f t="array" ref="W408">IF(D408="","",_xlfn.XLOOKUP(D408,DATA!B:B,DATA!L:L,""))</f>
        <v/>
      </c>
      <c r="X408" s="78" t="str">
        <f t="array" ref="X408">IF(F408="","",_xlfn.XLOOKUP(F408,DATA!B:B,DATA!L:L,""))</f>
        <v/>
      </c>
    </row>
    <row r="409">
      <c r="A409" s="81"/>
      <c r="B409" s="79"/>
      <c r="C409" s="57" t="str">
        <f t="array" ref="C409">iferror(_xlfn.XLOOKUP(D409,DATA!B:B,DATA!A:A),"")</f>
        <v/>
      </c>
      <c r="D409" s="82"/>
      <c r="E409" s="89"/>
      <c r="F409" s="83"/>
      <c r="G409" s="78"/>
      <c r="H409" s="64" t="str">
        <f t="array" ref="H409">_xlfn.XLOOKUP(G409,DATA!D:D,DATA!E:E,"")</f>
        <v/>
      </c>
      <c r="I409" s="84"/>
      <c r="J409" s="23"/>
      <c r="K409" s="23"/>
      <c r="L409" s="66" t="str">
        <f t="shared" si="1"/>
        <v/>
      </c>
      <c r="M409" s="77"/>
      <c r="N409" s="78"/>
      <c r="O409" s="66" t="str">
        <f>IF(M409="","",
 IF(M409="عدم پاسخ","بدون پاسخ",
 IF(L409="","اطلاعات ناقص",
 IF(L409&lt;=DATA!$M$1,"رعایت شده","رعایت نشده"))))</f>
        <v/>
      </c>
      <c r="P409" s="79"/>
      <c r="Q409" s="77"/>
      <c r="R409" s="79"/>
      <c r="S409" s="79"/>
      <c r="T409" s="78"/>
      <c r="U409" s="80"/>
      <c r="V409" s="78"/>
      <c r="W409" s="77" t="str">
        <f t="array" ref="W409">IF(D409="","",_xlfn.XLOOKUP(D409,DATA!B:B,DATA!L:L,""))</f>
        <v/>
      </c>
      <c r="X409" s="78" t="str">
        <f t="array" ref="X409">IF(F409="","",_xlfn.XLOOKUP(F409,DATA!B:B,DATA!L:L,""))</f>
        <v/>
      </c>
    </row>
    <row r="410">
      <c r="A410" s="81"/>
      <c r="B410" s="79"/>
      <c r="C410" s="57" t="str">
        <f t="array" ref="C410">iferror(_xlfn.XLOOKUP(D410,DATA!B:B,DATA!A:A),"")</f>
        <v/>
      </c>
      <c r="D410" s="82"/>
      <c r="E410" s="89"/>
      <c r="F410" s="83"/>
      <c r="G410" s="78"/>
      <c r="H410" s="64" t="str">
        <f t="array" ref="H410">_xlfn.XLOOKUP(G410,DATA!D:D,DATA!E:E,"")</f>
        <v/>
      </c>
      <c r="I410" s="84"/>
      <c r="J410" s="23"/>
      <c r="K410" s="23"/>
      <c r="L410" s="66" t="str">
        <f t="shared" si="1"/>
        <v/>
      </c>
      <c r="M410" s="77"/>
      <c r="N410" s="78"/>
      <c r="O410" s="66" t="str">
        <f>IF(M410="","",
 IF(M410="عدم پاسخ","بدون پاسخ",
 IF(L410="","اطلاعات ناقص",
 IF(L410&lt;=DATA!$M$1,"رعایت شده","رعایت نشده"))))</f>
        <v/>
      </c>
      <c r="P410" s="79"/>
      <c r="Q410" s="77"/>
      <c r="R410" s="79"/>
      <c r="S410" s="79"/>
      <c r="T410" s="78"/>
      <c r="U410" s="80"/>
      <c r="V410" s="78"/>
      <c r="W410" s="77" t="str">
        <f t="array" ref="W410">IF(D410="","",_xlfn.XLOOKUP(D410,DATA!B:B,DATA!L:L,""))</f>
        <v/>
      </c>
      <c r="X410" s="78" t="str">
        <f t="array" ref="X410">IF(F410="","",_xlfn.XLOOKUP(F410,DATA!B:B,DATA!L:L,""))</f>
        <v/>
      </c>
    </row>
    <row r="411">
      <c r="A411" s="81"/>
      <c r="B411" s="79"/>
      <c r="C411" s="57" t="str">
        <f t="array" ref="C411">iferror(_xlfn.XLOOKUP(D411,DATA!B:B,DATA!A:A),"")</f>
        <v/>
      </c>
      <c r="D411" s="82"/>
      <c r="E411" s="89"/>
      <c r="F411" s="83"/>
      <c r="G411" s="78"/>
      <c r="H411" s="64" t="str">
        <f t="array" ref="H411">_xlfn.XLOOKUP(G411,DATA!D:D,DATA!E:E,"")</f>
        <v/>
      </c>
      <c r="I411" s="84"/>
      <c r="J411" s="23"/>
      <c r="K411" s="23"/>
      <c r="L411" s="66" t="str">
        <f t="shared" si="1"/>
        <v/>
      </c>
      <c r="M411" s="77"/>
      <c r="N411" s="78"/>
      <c r="O411" s="66" t="str">
        <f>IF(M411="","",
 IF(M411="عدم پاسخ","بدون پاسخ",
 IF(L411="","اطلاعات ناقص",
 IF(L411&lt;=DATA!$M$1,"رعایت شده","رعایت نشده"))))</f>
        <v/>
      </c>
      <c r="P411" s="79"/>
      <c r="Q411" s="77"/>
      <c r="R411" s="79"/>
      <c r="S411" s="79"/>
      <c r="T411" s="78"/>
      <c r="U411" s="80"/>
      <c r="V411" s="78"/>
      <c r="W411" s="77" t="str">
        <f t="array" ref="W411">IF(D411="","",_xlfn.XLOOKUP(D411,DATA!B:B,DATA!L:L,""))</f>
        <v/>
      </c>
      <c r="X411" s="78" t="str">
        <f t="array" ref="X411">IF(F411="","",_xlfn.XLOOKUP(F411,DATA!B:B,DATA!L:L,""))</f>
        <v/>
      </c>
    </row>
    <row r="412">
      <c r="A412" s="81"/>
      <c r="B412" s="79"/>
      <c r="C412" s="57" t="str">
        <f t="array" ref="C412">iferror(_xlfn.XLOOKUP(D412,DATA!B:B,DATA!A:A),"")</f>
        <v/>
      </c>
      <c r="D412" s="82"/>
      <c r="E412" s="89"/>
      <c r="F412" s="83"/>
      <c r="G412" s="78"/>
      <c r="H412" s="64" t="str">
        <f t="array" ref="H412">_xlfn.XLOOKUP(G412,DATA!D:D,DATA!E:E,"")</f>
        <v/>
      </c>
      <c r="I412" s="84"/>
      <c r="J412" s="23"/>
      <c r="K412" s="23"/>
      <c r="L412" s="66" t="str">
        <f t="shared" si="1"/>
        <v/>
      </c>
      <c r="M412" s="77"/>
      <c r="N412" s="78"/>
      <c r="O412" s="66" t="str">
        <f>IF(M412="","",
 IF(M412="عدم پاسخ","بدون پاسخ",
 IF(L412="","اطلاعات ناقص",
 IF(L412&lt;=DATA!$M$1,"رعایت شده","رعایت نشده"))))</f>
        <v/>
      </c>
      <c r="P412" s="79"/>
      <c r="Q412" s="77"/>
      <c r="R412" s="79"/>
      <c r="S412" s="79"/>
      <c r="T412" s="78"/>
      <c r="U412" s="80"/>
      <c r="V412" s="78"/>
      <c r="W412" s="77" t="str">
        <f t="array" ref="W412">IF(D412="","",_xlfn.XLOOKUP(D412,DATA!B:B,DATA!L:L,""))</f>
        <v/>
      </c>
      <c r="X412" s="78" t="str">
        <f t="array" ref="X412">IF(F412="","",_xlfn.XLOOKUP(F412,DATA!B:B,DATA!L:L,""))</f>
        <v/>
      </c>
    </row>
    <row r="413">
      <c r="A413" s="81"/>
      <c r="B413" s="79"/>
      <c r="C413" s="57" t="str">
        <f t="array" ref="C413">iferror(_xlfn.XLOOKUP(D413,DATA!B:B,DATA!A:A),"")</f>
        <v/>
      </c>
      <c r="D413" s="82"/>
      <c r="E413" s="89"/>
      <c r="F413" s="83"/>
      <c r="G413" s="78"/>
      <c r="H413" s="64" t="str">
        <f t="array" ref="H413">_xlfn.XLOOKUP(G413,DATA!D:D,DATA!E:E,"")</f>
        <v/>
      </c>
      <c r="I413" s="84"/>
      <c r="J413" s="23"/>
      <c r="K413" s="23"/>
      <c r="L413" s="66" t="str">
        <f t="shared" si="1"/>
        <v/>
      </c>
      <c r="M413" s="77"/>
      <c r="N413" s="78"/>
      <c r="O413" s="66" t="str">
        <f>IF(M413="","",
 IF(M413="عدم پاسخ","بدون پاسخ",
 IF(L413="","اطلاعات ناقص",
 IF(L413&lt;=DATA!$M$1,"رعایت شده","رعایت نشده"))))</f>
        <v/>
      </c>
      <c r="P413" s="79"/>
      <c r="Q413" s="77"/>
      <c r="R413" s="79"/>
      <c r="S413" s="79"/>
      <c r="T413" s="78"/>
      <c r="U413" s="80"/>
      <c r="V413" s="78"/>
      <c r="W413" s="77" t="str">
        <f t="array" ref="W413">IF(D413="","",_xlfn.XLOOKUP(D413,DATA!B:B,DATA!L:L,""))</f>
        <v/>
      </c>
      <c r="X413" s="78" t="str">
        <f t="array" ref="X413">IF(F413="","",_xlfn.XLOOKUP(F413,DATA!B:B,DATA!L:L,""))</f>
        <v/>
      </c>
    </row>
    <row r="414">
      <c r="A414" s="81"/>
      <c r="B414" s="79"/>
      <c r="C414" s="57" t="str">
        <f t="array" ref="C414">iferror(_xlfn.XLOOKUP(D414,DATA!B:B,DATA!A:A),"")</f>
        <v/>
      </c>
      <c r="D414" s="82"/>
      <c r="E414" s="89"/>
      <c r="F414" s="83"/>
      <c r="G414" s="78"/>
      <c r="H414" s="64" t="str">
        <f t="array" ref="H414">_xlfn.XLOOKUP(G414,DATA!D:D,DATA!E:E,"")</f>
        <v/>
      </c>
      <c r="I414" s="84"/>
      <c r="J414" s="23"/>
      <c r="K414" s="23"/>
      <c r="L414" s="66" t="str">
        <f t="shared" si="1"/>
        <v/>
      </c>
      <c r="M414" s="77"/>
      <c r="N414" s="78"/>
      <c r="O414" s="66" t="str">
        <f>IF(M414="","",
 IF(M414="عدم پاسخ","بدون پاسخ",
 IF(L414="","اطلاعات ناقص",
 IF(L414&lt;=DATA!$M$1,"رعایت شده","رعایت نشده"))))</f>
        <v/>
      </c>
      <c r="P414" s="79"/>
      <c r="Q414" s="77"/>
      <c r="R414" s="79"/>
      <c r="S414" s="79"/>
      <c r="T414" s="78"/>
      <c r="U414" s="80"/>
      <c r="V414" s="78"/>
      <c r="W414" s="77" t="str">
        <f t="array" ref="W414">IF(D414="","",_xlfn.XLOOKUP(D414,DATA!B:B,DATA!L:L,""))</f>
        <v/>
      </c>
      <c r="X414" s="78" t="str">
        <f t="array" ref="X414">IF(F414="","",_xlfn.XLOOKUP(F414,DATA!B:B,DATA!L:L,""))</f>
        <v/>
      </c>
    </row>
    <row r="415">
      <c r="A415" s="81"/>
      <c r="B415" s="79"/>
      <c r="C415" s="57" t="str">
        <f t="array" ref="C415">iferror(_xlfn.XLOOKUP(D415,DATA!B:B,DATA!A:A),"")</f>
        <v/>
      </c>
      <c r="D415" s="82"/>
      <c r="E415" s="89"/>
      <c r="F415" s="83"/>
      <c r="G415" s="78"/>
      <c r="H415" s="64" t="str">
        <f t="array" ref="H415">_xlfn.XLOOKUP(G415,DATA!D:D,DATA!E:E,"")</f>
        <v/>
      </c>
      <c r="I415" s="84"/>
      <c r="J415" s="23"/>
      <c r="K415" s="23"/>
      <c r="L415" s="66" t="str">
        <f t="shared" si="1"/>
        <v/>
      </c>
      <c r="M415" s="77"/>
      <c r="N415" s="78"/>
      <c r="O415" s="66" t="str">
        <f>IF(M415="","",
 IF(M415="عدم پاسخ","بدون پاسخ",
 IF(L415="","اطلاعات ناقص",
 IF(L415&lt;=DATA!$M$1,"رعایت شده","رعایت نشده"))))</f>
        <v/>
      </c>
      <c r="P415" s="79"/>
      <c r="Q415" s="77"/>
      <c r="R415" s="79"/>
      <c r="S415" s="79"/>
      <c r="T415" s="78"/>
      <c r="U415" s="80"/>
      <c r="V415" s="78"/>
      <c r="W415" s="77" t="str">
        <f t="array" ref="W415">IF(D415="","",_xlfn.XLOOKUP(D415,DATA!B:B,DATA!L:L,""))</f>
        <v/>
      </c>
      <c r="X415" s="78" t="str">
        <f t="array" ref="X415">IF(F415="","",_xlfn.XLOOKUP(F415,DATA!B:B,DATA!L:L,""))</f>
        <v/>
      </c>
    </row>
    <row r="416">
      <c r="A416" s="81"/>
      <c r="B416" s="79"/>
      <c r="C416" s="57" t="str">
        <f t="array" ref="C416">iferror(_xlfn.XLOOKUP(D416,DATA!B:B,DATA!A:A),"")</f>
        <v/>
      </c>
      <c r="D416" s="82"/>
      <c r="E416" s="89"/>
      <c r="F416" s="83"/>
      <c r="G416" s="78"/>
      <c r="H416" s="64" t="str">
        <f t="array" ref="H416">_xlfn.XLOOKUP(G416,DATA!D:D,DATA!E:E,"")</f>
        <v/>
      </c>
      <c r="I416" s="84"/>
      <c r="J416" s="23"/>
      <c r="K416" s="23"/>
      <c r="L416" s="66" t="str">
        <f t="shared" si="1"/>
        <v/>
      </c>
      <c r="M416" s="77"/>
      <c r="N416" s="78"/>
      <c r="O416" s="66" t="str">
        <f>IF(M416="","",
 IF(M416="عدم پاسخ","بدون پاسخ",
 IF(L416="","اطلاعات ناقص",
 IF(L416&lt;=DATA!$M$1,"رعایت شده","رعایت نشده"))))</f>
        <v/>
      </c>
      <c r="P416" s="79"/>
      <c r="Q416" s="77"/>
      <c r="R416" s="79"/>
      <c r="S416" s="79"/>
      <c r="T416" s="78"/>
      <c r="U416" s="80"/>
      <c r="V416" s="78"/>
      <c r="W416" s="77" t="str">
        <f t="array" ref="W416">IF(D416="","",_xlfn.XLOOKUP(D416,DATA!B:B,DATA!L:L,""))</f>
        <v/>
      </c>
      <c r="X416" s="78" t="str">
        <f t="array" ref="X416">IF(F416="","",_xlfn.XLOOKUP(F416,DATA!B:B,DATA!L:L,""))</f>
        <v/>
      </c>
    </row>
    <row r="417">
      <c r="A417" s="81"/>
      <c r="B417" s="79"/>
      <c r="C417" s="57" t="str">
        <f t="array" ref="C417">iferror(_xlfn.XLOOKUP(D417,DATA!B:B,DATA!A:A),"")</f>
        <v/>
      </c>
      <c r="D417" s="82"/>
      <c r="E417" s="89"/>
      <c r="F417" s="83"/>
      <c r="G417" s="78"/>
      <c r="H417" s="64" t="str">
        <f t="array" ref="H417">_xlfn.XLOOKUP(G417,DATA!D:D,DATA!E:E,"")</f>
        <v/>
      </c>
      <c r="I417" s="84"/>
      <c r="J417" s="23"/>
      <c r="K417" s="23"/>
      <c r="L417" s="66" t="str">
        <f t="shared" si="1"/>
        <v/>
      </c>
      <c r="M417" s="77"/>
      <c r="N417" s="78"/>
      <c r="O417" s="66" t="str">
        <f>IF(M417="","",
 IF(M417="عدم پاسخ","بدون پاسخ",
 IF(L417="","اطلاعات ناقص",
 IF(L417&lt;=DATA!$M$1,"رعایت شده","رعایت نشده"))))</f>
        <v/>
      </c>
      <c r="P417" s="79"/>
      <c r="Q417" s="77"/>
      <c r="R417" s="79"/>
      <c r="S417" s="79"/>
      <c r="T417" s="78"/>
      <c r="U417" s="80"/>
      <c r="V417" s="78"/>
      <c r="W417" s="77" t="str">
        <f t="array" ref="W417">IF(D417="","",_xlfn.XLOOKUP(D417,DATA!B:B,DATA!L:L,""))</f>
        <v/>
      </c>
      <c r="X417" s="78" t="str">
        <f t="array" ref="X417">IF(F417="","",_xlfn.XLOOKUP(F417,DATA!B:B,DATA!L:L,""))</f>
        <v/>
      </c>
    </row>
    <row r="418">
      <c r="A418" s="81"/>
      <c r="B418" s="79"/>
      <c r="C418" s="57" t="str">
        <f t="array" ref="C418">iferror(_xlfn.XLOOKUP(D418,DATA!B:B,DATA!A:A),"")</f>
        <v/>
      </c>
      <c r="D418" s="82"/>
      <c r="E418" s="89"/>
      <c r="F418" s="83"/>
      <c r="G418" s="78"/>
      <c r="H418" s="64" t="str">
        <f t="array" ref="H418">_xlfn.XLOOKUP(G418,DATA!D:D,DATA!E:E,"")</f>
        <v/>
      </c>
      <c r="I418" s="84"/>
      <c r="J418" s="23"/>
      <c r="K418" s="23"/>
      <c r="L418" s="66" t="str">
        <f t="shared" si="1"/>
        <v/>
      </c>
      <c r="M418" s="77"/>
      <c r="N418" s="78"/>
      <c r="O418" s="66" t="str">
        <f>IF(M418="","",
 IF(M418="عدم پاسخ","بدون پاسخ",
 IF(L418="","اطلاعات ناقص",
 IF(L418&lt;=DATA!$M$1,"رعایت شده","رعایت نشده"))))</f>
        <v/>
      </c>
      <c r="P418" s="79"/>
      <c r="Q418" s="77"/>
      <c r="R418" s="79"/>
      <c r="S418" s="79"/>
      <c r="T418" s="78"/>
      <c r="U418" s="80"/>
      <c r="V418" s="78"/>
      <c r="W418" s="77" t="str">
        <f t="array" ref="W418">IF(D418="","",_xlfn.XLOOKUP(D418,DATA!B:B,DATA!L:L,""))</f>
        <v/>
      </c>
      <c r="X418" s="78" t="str">
        <f t="array" ref="X418">IF(F418="","",_xlfn.XLOOKUP(F418,DATA!B:B,DATA!L:L,""))</f>
        <v/>
      </c>
    </row>
    <row r="419">
      <c r="A419" s="81"/>
      <c r="B419" s="79"/>
      <c r="C419" s="57" t="str">
        <f t="array" ref="C419">iferror(_xlfn.XLOOKUP(D419,DATA!B:B,DATA!A:A),"")</f>
        <v/>
      </c>
      <c r="D419" s="82"/>
      <c r="E419" s="89"/>
      <c r="F419" s="83"/>
      <c r="G419" s="78"/>
      <c r="H419" s="64" t="str">
        <f t="array" ref="H419">_xlfn.XLOOKUP(G419,DATA!D:D,DATA!E:E,"")</f>
        <v/>
      </c>
      <c r="I419" s="84"/>
      <c r="J419" s="23"/>
      <c r="K419" s="23"/>
      <c r="L419" s="66" t="str">
        <f t="shared" si="1"/>
        <v/>
      </c>
      <c r="M419" s="77"/>
      <c r="N419" s="78"/>
      <c r="O419" s="66" t="str">
        <f>IF(M419="","",
 IF(M419="عدم پاسخ","بدون پاسخ",
 IF(L419="","اطلاعات ناقص",
 IF(L419&lt;=DATA!$M$1,"رعایت شده","رعایت نشده"))))</f>
        <v/>
      </c>
      <c r="P419" s="79"/>
      <c r="Q419" s="77"/>
      <c r="R419" s="79"/>
      <c r="S419" s="79"/>
      <c r="T419" s="78"/>
      <c r="U419" s="80"/>
      <c r="V419" s="78"/>
      <c r="W419" s="77" t="str">
        <f t="array" ref="W419">IF(D419="","",_xlfn.XLOOKUP(D419,DATA!B:B,DATA!L:L,""))</f>
        <v/>
      </c>
      <c r="X419" s="78" t="str">
        <f t="array" ref="X419">IF(F419="","",_xlfn.XLOOKUP(F419,DATA!B:B,DATA!L:L,""))</f>
        <v/>
      </c>
    </row>
    <row r="420">
      <c r="A420" s="81"/>
      <c r="B420" s="79"/>
      <c r="C420" s="57" t="str">
        <f t="array" ref="C420">iferror(_xlfn.XLOOKUP(D420,DATA!B:B,DATA!A:A),"")</f>
        <v/>
      </c>
      <c r="D420" s="82"/>
      <c r="E420" s="89"/>
      <c r="F420" s="83"/>
      <c r="G420" s="78"/>
      <c r="H420" s="64" t="str">
        <f t="array" ref="H420">_xlfn.XLOOKUP(G420,DATA!D:D,DATA!E:E,"")</f>
        <v/>
      </c>
      <c r="I420" s="84"/>
      <c r="J420" s="23"/>
      <c r="K420" s="23"/>
      <c r="L420" s="66" t="str">
        <f t="shared" si="1"/>
        <v/>
      </c>
      <c r="M420" s="77"/>
      <c r="N420" s="78"/>
      <c r="O420" s="66" t="str">
        <f>IF(M420="","",
 IF(M420="عدم پاسخ","بدون پاسخ",
 IF(L420="","اطلاعات ناقص",
 IF(L420&lt;=DATA!$M$1,"رعایت شده","رعایت نشده"))))</f>
        <v/>
      </c>
      <c r="P420" s="79"/>
      <c r="Q420" s="77"/>
      <c r="R420" s="79"/>
      <c r="S420" s="79"/>
      <c r="T420" s="78"/>
      <c r="U420" s="80"/>
      <c r="V420" s="78"/>
      <c r="W420" s="77" t="str">
        <f t="array" ref="W420">IF(D420="","",_xlfn.XLOOKUP(D420,DATA!B:B,DATA!L:L,""))</f>
        <v/>
      </c>
      <c r="X420" s="78" t="str">
        <f t="array" ref="X420">IF(F420="","",_xlfn.XLOOKUP(F420,DATA!B:B,DATA!L:L,""))</f>
        <v/>
      </c>
    </row>
    <row r="421">
      <c r="A421" s="81"/>
      <c r="B421" s="79"/>
      <c r="C421" s="57" t="str">
        <f t="array" ref="C421">iferror(_xlfn.XLOOKUP(D421,DATA!B:B,DATA!A:A),"")</f>
        <v/>
      </c>
      <c r="D421" s="82"/>
      <c r="E421" s="89"/>
      <c r="F421" s="83"/>
      <c r="G421" s="78"/>
      <c r="H421" s="64" t="str">
        <f t="array" ref="H421">_xlfn.XLOOKUP(G421,DATA!D:D,DATA!E:E,"")</f>
        <v/>
      </c>
      <c r="I421" s="84"/>
      <c r="J421" s="23"/>
      <c r="K421" s="23"/>
      <c r="L421" s="66" t="str">
        <f t="shared" si="1"/>
        <v/>
      </c>
      <c r="M421" s="77"/>
      <c r="N421" s="78"/>
      <c r="O421" s="66" t="str">
        <f>IF(M421="","",
 IF(M421="عدم پاسخ","بدون پاسخ",
 IF(L421="","اطلاعات ناقص",
 IF(L421&lt;=DATA!$M$1,"رعایت شده","رعایت نشده"))))</f>
        <v/>
      </c>
      <c r="P421" s="79"/>
      <c r="Q421" s="77"/>
      <c r="R421" s="79"/>
      <c r="S421" s="79"/>
      <c r="T421" s="78"/>
      <c r="U421" s="80"/>
      <c r="V421" s="78"/>
      <c r="W421" s="77" t="str">
        <f t="array" ref="W421">IF(D421="","",_xlfn.XLOOKUP(D421,DATA!B:B,DATA!L:L,""))</f>
        <v/>
      </c>
      <c r="X421" s="78" t="str">
        <f t="array" ref="X421">IF(F421="","",_xlfn.XLOOKUP(F421,DATA!B:B,DATA!L:L,""))</f>
        <v/>
      </c>
    </row>
    <row r="422">
      <c r="A422" s="81"/>
      <c r="B422" s="79"/>
      <c r="C422" s="57" t="str">
        <f t="array" ref="C422">iferror(_xlfn.XLOOKUP(D422,DATA!B:B,DATA!A:A),"")</f>
        <v/>
      </c>
      <c r="D422" s="82"/>
      <c r="E422" s="89"/>
      <c r="F422" s="83"/>
      <c r="G422" s="78"/>
      <c r="H422" s="64" t="str">
        <f t="array" ref="H422">_xlfn.XLOOKUP(G422,DATA!D:D,DATA!E:E,"")</f>
        <v/>
      </c>
      <c r="I422" s="84"/>
      <c r="J422" s="23"/>
      <c r="K422" s="23"/>
      <c r="L422" s="66" t="str">
        <f t="shared" si="1"/>
        <v/>
      </c>
      <c r="M422" s="77"/>
      <c r="N422" s="78"/>
      <c r="O422" s="66" t="str">
        <f>IF(M422="","",
 IF(M422="عدم پاسخ","بدون پاسخ",
 IF(L422="","اطلاعات ناقص",
 IF(L422&lt;=DATA!$M$1,"رعایت شده","رعایت نشده"))))</f>
        <v/>
      </c>
      <c r="P422" s="79"/>
      <c r="Q422" s="77"/>
      <c r="R422" s="79"/>
      <c r="S422" s="79"/>
      <c r="T422" s="78"/>
      <c r="U422" s="80"/>
      <c r="V422" s="78"/>
      <c r="W422" s="77" t="str">
        <f t="array" ref="W422">IF(D422="","",_xlfn.XLOOKUP(D422,DATA!B:B,DATA!L:L,""))</f>
        <v/>
      </c>
      <c r="X422" s="78" t="str">
        <f t="array" ref="X422">IF(F422="","",_xlfn.XLOOKUP(F422,DATA!B:B,DATA!L:L,""))</f>
        <v/>
      </c>
    </row>
    <row r="423">
      <c r="A423" s="81"/>
      <c r="B423" s="79"/>
      <c r="C423" s="57" t="str">
        <f t="array" ref="C423">iferror(_xlfn.XLOOKUP(D423,DATA!B:B,DATA!A:A),"")</f>
        <v/>
      </c>
      <c r="D423" s="82"/>
      <c r="E423" s="89"/>
      <c r="F423" s="83"/>
      <c r="G423" s="78"/>
      <c r="H423" s="64" t="str">
        <f t="array" ref="H423">_xlfn.XLOOKUP(G423,DATA!D:D,DATA!E:E,"")</f>
        <v/>
      </c>
      <c r="I423" s="84"/>
      <c r="J423" s="23"/>
      <c r="K423" s="23"/>
      <c r="L423" s="66" t="str">
        <f t="shared" si="1"/>
        <v/>
      </c>
      <c r="M423" s="77"/>
      <c r="N423" s="78"/>
      <c r="O423" s="66" t="str">
        <f>IF(M423="","",
 IF(M423="عدم پاسخ","بدون پاسخ",
 IF(L423="","اطلاعات ناقص",
 IF(L423&lt;=DATA!$M$1,"رعایت شده","رعایت نشده"))))</f>
        <v/>
      </c>
      <c r="P423" s="79"/>
      <c r="Q423" s="77"/>
      <c r="R423" s="79"/>
      <c r="S423" s="79"/>
      <c r="T423" s="78"/>
      <c r="U423" s="80"/>
      <c r="V423" s="78"/>
      <c r="W423" s="77" t="str">
        <f t="array" ref="W423">IF(D423="","",_xlfn.XLOOKUP(D423,DATA!B:B,DATA!L:L,""))</f>
        <v/>
      </c>
      <c r="X423" s="78" t="str">
        <f t="array" ref="X423">IF(F423="","",_xlfn.XLOOKUP(F423,DATA!B:B,DATA!L:L,""))</f>
        <v/>
      </c>
    </row>
    <row r="424">
      <c r="A424" s="81"/>
      <c r="B424" s="79"/>
      <c r="C424" s="57" t="str">
        <f t="array" ref="C424">iferror(_xlfn.XLOOKUP(D424,DATA!B:B,DATA!A:A),"")</f>
        <v/>
      </c>
      <c r="D424" s="82"/>
      <c r="E424" s="89"/>
      <c r="F424" s="83"/>
      <c r="G424" s="78"/>
      <c r="H424" s="64" t="str">
        <f t="array" ref="H424">_xlfn.XLOOKUP(G424,DATA!D:D,DATA!E:E,"")</f>
        <v/>
      </c>
      <c r="I424" s="84"/>
      <c r="J424" s="23"/>
      <c r="K424" s="23"/>
      <c r="L424" s="66" t="str">
        <f t="shared" si="1"/>
        <v/>
      </c>
      <c r="M424" s="77"/>
      <c r="N424" s="78"/>
      <c r="O424" s="66" t="str">
        <f>IF(M424="","",
 IF(M424="عدم پاسخ","بدون پاسخ",
 IF(L424="","اطلاعات ناقص",
 IF(L424&lt;=DATA!$M$1,"رعایت شده","رعایت نشده"))))</f>
        <v/>
      </c>
      <c r="P424" s="79"/>
      <c r="Q424" s="77"/>
      <c r="R424" s="79"/>
      <c r="S424" s="79"/>
      <c r="T424" s="78"/>
      <c r="U424" s="80"/>
      <c r="V424" s="78"/>
      <c r="W424" s="77" t="str">
        <f t="array" ref="W424">IF(D424="","",_xlfn.XLOOKUP(D424,DATA!B:B,DATA!L:L,""))</f>
        <v/>
      </c>
      <c r="X424" s="78" t="str">
        <f t="array" ref="X424">IF(F424="","",_xlfn.XLOOKUP(F424,DATA!B:B,DATA!L:L,""))</f>
        <v/>
      </c>
    </row>
    <row r="425">
      <c r="A425" s="81"/>
      <c r="B425" s="79"/>
      <c r="C425" s="57" t="str">
        <f t="array" ref="C425">iferror(_xlfn.XLOOKUP(D425,DATA!B:B,DATA!A:A),"")</f>
        <v/>
      </c>
      <c r="D425" s="82"/>
      <c r="E425" s="89"/>
      <c r="F425" s="83"/>
      <c r="G425" s="78"/>
      <c r="H425" s="64" t="str">
        <f t="array" ref="H425">_xlfn.XLOOKUP(G425,DATA!D:D,DATA!E:E,"")</f>
        <v/>
      </c>
      <c r="I425" s="84"/>
      <c r="J425" s="23"/>
      <c r="K425" s="23"/>
      <c r="L425" s="66" t="str">
        <f t="shared" si="1"/>
        <v/>
      </c>
      <c r="M425" s="77"/>
      <c r="N425" s="78"/>
      <c r="O425" s="66" t="str">
        <f>IF(M425="","",
 IF(M425="عدم پاسخ","بدون پاسخ",
 IF(L425="","اطلاعات ناقص",
 IF(L425&lt;=DATA!$M$1,"رعایت شده","رعایت نشده"))))</f>
        <v/>
      </c>
      <c r="P425" s="79"/>
      <c r="Q425" s="77"/>
      <c r="R425" s="79"/>
      <c r="S425" s="79"/>
      <c r="T425" s="78"/>
      <c r="U425" s="80"/>
      <c r="V425" s="78"/>
      <c r="W425" s="77" t="str">
        <f t="array" ref="W425">IF(D425="","",_xlfn.XLOOKUP(D425,DATA!B:B,DATA!L:L,""))</f>
        <v/>
      </c>
      <c r="X425" s="78" t="str">
        <f t="array" ref="X425">IF(F425="","",_xlfn.XLOOKUP(F425,DATA!B:B,DATA!L:L,""))</f>
        <v/>
      </c>
    </row>
    <row r="426">
      <c r="A426" s="81"/>
      <c r="B426" s="79"/>
      <c r="C426" s="57" t="str">
        <f t="array" ref="C426">iferror(_xlfn.XLOOKUP(D426,DATA!B:B,DATA!A:A),"")</f>
        <v/>
      </c>
      <c r="D426" s="82"/>
      <c r="E426" s="89"/>
      <c r="F426" s="83"/>
      <c r="G426" s="78"/>
      <c r="H426" s="64" t="str">
        <f t="array" ref="H426">_xlfn.XLOOKUP(G426,DATA!D:D,DATA!E:E,"")</f>
        <v/>
      </c>
      <c r="I426" s="84"/>
      <c r="J426" s="23"/>
      <c r="K426" s="23"/>
      <c r="L426" s="66" t="str">
        <f t="shared" si="1"/>
        <v/>
      </c>
      <c r="M426" s="77"/>
      <c r="N426" s="78"/>
      <c r="O426" s="66" t="str">
        <f>IF(M426="","",
 IF(M426="عدم پاسخ","بدون پاسخ",
 IF(L426="","اطلاعات ناقص",
 IF(L426&lt;=DATA!$M$1,"رعایت شده","رعایت نشده"))))</f>
        <v/>
      </c>
      <c r="P426" s="79"/>
      <c r="Q426" s="77"/>
      <c r="R426" s="79"/>
      <c r="S426" s="79"/>
      <c r="T426" s="78"/>
      <c r="U426" s="80"/>
      <c r="V426" s="78"/>
      <c r="W426" s="77" t="str">
        <f t="array" ref="W426">IF(D426="","",_xlfn.XLOOKUP(D426,DATA!B:B,DATA!L:L,""))</f>
        <v/>
      </c>
      <c r="X426" s="78" t="str">
        <f t="array" ref="X426">IF(F426="","",_xlfn.XLOOKUP(F426,DATA!B:B,DATA!L:L,""))</f>
        <v/>
      </c>
    </row>
    <row r="427">
      <c r="A427" s="81"/>
      <c r="B427" s="79"/>
      <c r="C427" s="57" t="str">
        <f t="array" ref="C427">iferror(_xlfn.XLOOKUP(D427,DATA!B:B,DATA!A:A),"")</f>
        <v/>
      </c>
      <c r="D427" s="82"/>
      <c r="E427" s="89"/>
      <c r="F427" s="83"/>
      <c r="G427" s="78"/>
      <c r="H427" s="64" t="str">
        <f t="array" ref="H427">_xlfn.XLOOKUP(G427,DATA!D:D,DATA!E:E,"")</f>
        <v/>
      </c>
      <c r="I427" s="84"/>
      <c r="J427" s="23"/>
      <c r="K427" s="23"/>
      <c r="L427" s="66" t="str">
        <f t="shared" si="1"/>
        <v/>
      </c>
      <c r="M427" s="77"/>
      <c r="N427" s="78"/>
      <c r="O427" s="66" t="str">
        <f>IF(M427="","",
 IF(M427="عدم پاسخ","بدون پاسخ",
 IF(L427="","اطلاعات ناقص",
 IF(L427&lt;=DATA!$M$1,"رعایت شده","رعایت نشده"))))</f>
        <v/>
      </c>
      <c r="P427" s="79"/>
      <c r="Q427" s="77"/>
      <c r="R427" s="79"/>
      <c r="S427" s="79"/>
      <c r="T427" s="78"/>
      <c r="U427" s="80"/>
      <c r="V427" s="78"/>
      <c r="W427" s="77" t="str">
        <f t="array" ref="W427">IF(D427="","",_xlfn.XLOOKUP(D427,DATA!B:B,DATA!L:L,""))</f>
        <v/>
      </c>
      <c r="X427" s="78" t="str">
        <f t="array" ref="X427">IF(F427="","",_xlfn.XLOOKUP(F427,DATA!B:B,DATA!L:L,""))</f>
        <v/>
      </c>
    </row>
    <row r="428">
      <c r="A428" s="81"/>
      <c r="B428" s="79"/>
      <c r="C428" s="57" t="str">
        <f t="array" ref="C428">iferror(_xlfn.XLOOKUP(D428,DATA!B:B,DATA!A:A),"")</f>
        <v/>
      </c>
      <c r="D428" s="82"/>
      <c r="E428" s="89"/>
      <c r="F428" s="83"/>
      <c r="G428" s="78"/>
      <c r="H428" s="64" t="str">
        <f t="array" ref="H428">_xlfn.XLOOKUP(G428,DATA!D:D,DATA!E:E,"")</f>
        <v/>
      </c>
      <c r="I428" s="84"/>
      <c r="J428" s="23"/>
      <c r="K428" s="23"/>
      <c r="L428" s="66" t="str">
        <f t="shared" si="1"/>
        <v/>
      </c>
      <c r="M428" s="77"/>
      <c r="N428" s="78"/>
      <c r="O428" s="66" t="str">
        <f>IF(M428="","",
 IF(M428="عدم پاسخ","بدون پاسخ",
 IF(L428="","اطلاعات ناقص",
 IF(L428&lt;=DATA!$M$1,"رعایت شده","رعایت نشده"))))</f>
        <v/>
      </c>
      <c r="P428" s="79"/>
      <c r="Q428" s="77"/>
      <c r="R428" s="79"/>
      <c r="S428" s="79"/>
      <c r="T428" s="78"/>
      <c r="U428" s="80"/>
      <c r="V428" s="78"/>
      <c r="W428" s="77" t="str">
        <f t="array" ref="W428">IF(D428="","",_xlfn.XLOOKUP(D428,DATA!B:B,DATA!L:L,""))</f>
        <v/>
      </c>
      <c r="X428" s="78" t="str">
        <f t="array" ref="X428">IF(F428="","",_xlfn.XLOOKUP(F428,DATA!B:B,DATA!L:L,""))</f>
        <v/>
      </c>
    </row>
    <row r="429">
      <c r="A429" s="81"/>
      <c r="B429" s="79"/>
      <c r="C429" s="57" t="str">
        <f t="array" ref="C429">iferror(_xlfn.XLOOKUP(D429,DATA!B:B,DATA!A:A),"")</f>
        <v/>
      </c>
      <c r="D429" s="82"/>
      <c r="E429" s="89"/>
      <c r="F429" s="83"/>
      <c r="G429" s="78"/>
      <c r="H429" s="64" t="str">
        <f t="array" ref="H429">_xlfn.XLOOKUP(G429,DATA!D:D,DATA!E:E,"")</f>
        <v/>
      </c>
      <c r="I429" s="84"/>
      <c r="J429" s="23"/>
      <c r="K429" s="23"/>
      <c r="L429" s="66" t="str">
        <f t="shared" si="1"/>
        <v/>
      </c>
      <c r="M429" s="77"/>
      <c r="N429" s="78"/>
      <c r="O429" s="66" t="str">
        <f>IF(M429="","",
 IF(M429="عدم پاسخ","بدون پاسخ",
 IF(L429="","اطلاعات ناقص",
 IF(L429&lt;=DATA!$M$1,"رعایت شده","رعایت نشده"))))</f>
        <v/>
      </c>
      <c r="P429" s="79"/>
      <c r="Q429" s="77"/>
      <c r="R429" s="79"/>
      <c r="S429" s="79"/>
      <c r="T429" s="78"/>
      <c r="U429" s="80"/>
      <c r="V429" s="78"/>
      <c r="W429" s="77" t="str">
        <f t="array" ref="W429">IF(D429="","",_xlfn.XLOOKUP(D429,DATA!B:B,DATA!L:L,""))</f>
        <v/>
      </c>
      <c r="X429" s="78" t="str">
        <f t="array" ref="X429">IF(F429="","",_xlfn.XLOOKUP(F429,DATA!B:B,DATA!L:L,""))</f>
        <v/>
      </c>
    </row>
    <row r="430">
      <c r="A430" s="81"/>
      <c r="B430" s="79"/>
      <c r="C430" s="57" t="str">
        <f t="array" ref="C430">iferror(_xlfn.XLOOKUP(D430,DATA!B:B,DATA!A:A),"")</f>
        <v/>
      </c>
      <c r="D430" s="82"/>
      <c r="E430" s="89"/>
      <c r="F430" s="83"/>
      <c r="G430" s="78"/>
      <c r="H430" s="64" t="str">
        <f t="array" ref="H430">_xlfn.XLOOKUP(G430,DATA!D:D,DATA!E:E,"")</f>
        <v/>
      </c>
      <c r="I430" s="84"/>
      <c r="J430" s="23"/>
      <c r="K430" s="23"/>
      <c r="L430" s="66" t="str">
        <f t="shared" si="1"/>
        <v/>
      </c>
      <c r="M430" s="77"/>
      <c r="N430" s="78"/>
      <c r="O430" s="66" t="str">
        <f>IF(M430="","",
 IF(M430="عدم پاسخ","بدون پاسخ",
 IF(L430="","اطلاعات ناقص",
 IF(L430&lt;=DATA!$M$1,"رعایت شده","رعایت نشده"))))</f>
        <v/>
      </c>
      <c r="P430" s="79"/>
      <c r="Q430" s="77"/>
      <c r="R430" s="79"/>
      <c r="S430" s="79"/>
      <c r="T430" s="78"/>
      <c r="U430" s="80"/>
      <c r="V430" s="78"/>
      <c r="W430" s="77" t="str">
        <f t="array" ref="W430">IF(D430="","",_xlfn.XLOOKUP(D430,DATA!B:B,DATA!L:L,""))</f>
        <v/>
      </c>
      <c r="X430" s="78" t="str">
        <f t="array" ref="X430">IF(F430="","",_xlfn.XLOOKUP(F430,DATA!B:B,DATA!L:L,""))</f>
        <v/>
      </c>
    </row>
    <row r="431">
      <c r="A431" s="81"/>
      <c r="B431" s="79"/>
      <c r="C431" s="57" t="str">
        <f t="array" ref="C431">iferror(_xlfn.XLOOKUP(D431,DATA!B:B,DATA!A:A),"")</f>
        <v/>
      </c>
      <c r="D431" s="82"/>
      <c r="E431" s="89"/>
      <c r="F431" s="83"/>
      <c r="G431" s="78"/>
      <c r="H431" s="64" t="str">
        <f t="array" ref="H431">_xlfn.XLOOKUP(G431,DATA!D:D,DATA!E:E,"")</f>
        <v/>
      </c>
      <c r="I431" s="84"/>
      <c r="J431" s="23"/>
      <c r="K431" s="23"/>
      <c r="L431" s="66" t="str">
        <f t="shared" si="1"/>
        <v/>
      </c>
      <c r="M431" s="77"/>
      <c r="N431" s="78"/>
      <c r="O431" s="66" t="str">
        <f>IF(M431="","",
 IF(M431="عدم پاسخ","بدون پاسخ",
 IF(L431="","اطلاعات ناقص",
 IF(L431&lt;=DATA!$M$1,"رعایت شده","رعایت نشده"))))</f>
        <v/>
      </c>
      <c r="P431" s="79"/>
      <c r="Q431" s="77"/>
      <c r="R431" s="79"/>
      <c r="S431" s="79"/>
      <c r="T431" s="78"/>
      <c r="U431" s="80"/>
      <c r="V431" s="78"/>
      <c r="W431" s="77" t="str">
        <f t="array" ref="W431">IF(D431="","",_xlfn.XLOOKUP(D431,DATA!B:B,DATA!L:L,""))</f>
        <v/>
      </c>
      <c r="X431" s="78" t="str">
        <f t="array" ref="X431">IF(F431="","",_xlfn.XLOOKUP(F431,DATA!B:B,DATA!L:L,""))</f>
        <v/>
      </c>
    </row>
    <row r="432">
      <c r="A432" s="81"/>
      <c r="B432" s="79"/>
      <c r="C432" s="57" t="str">
        <f t="array" ref="C432">iferror(_xlfn.XLOOKUP(D432,DATA!B:B,DATA!A:A),"")</f>
        <v/>
      </c>
      <c r="D432" s="82"/>
      <c r="E432" s="89"/>
      <c r="F432" s="83"/>
      <c r="G432" s="78"/>
      <c r="H432" s="64" t="str">
        <f t="array" ref="H432">_xlfn.XLOOKUP(G432,DATA!D:D,DATA!E:E,"")</f>
        <v/>
      </c>
      <c r="I432" s="84"/>
      <c r="J432" s="23"/>
      <c r="K432" s="23"/>
      <c r="L432" s="66" t="str">
        <f t="shared" si="1"/>
        <v/>
      </c>
      <c r="M432" s="77"/>
      <c r="N432" s="78"/>
      <c r="O432" s="66" t="str">
        <f>IF(M432="","",
 IF(M432="عدم پاسخ","بدون پاسخ",
 IF(L432="","اطلاعات ناقص",
 IF(L432&lt;=DATA!$M$1,"رعایت شده","رعایت نشده"))))</f>
        <v/>
      </c>
      <c r="P432" s="79"/>
      <c r="Q432" s="77"/>
      <c r="R432" s="79"/>
      <c r="S432" s="79"/>
      <c r="T432" s="78"/>
      <c r="U432" s="80"/>
      <c r="V432" s="78"/>
      <c r="W432" s="77" t="str">
        <f t="array" ref="W432">IF(D432="","",_xlfn.XLOOKUP(D432,DATA!B:B,DATA!L:L,""))</f>
        <v/>
      </c>
      <c r="X432" s="78" t="str">
        <f t="array" ref="X432">IF(F432="","",_xlfn.XLOOKUP(F432,DATA!B:B,DATA!L:L,""))</f>
        <v/>
      </c>
    </row>
    <row r="433">
      <c r="A433" s="81"/>
      <c r="B433" s="79"/>
      <c r="C433" s="57" t="str">
        <f t="array" ref="C433">iferror(_xlfn.XLOOKUP(D433,DATA!B:B,DATA!A:A),"")</f>
        <v/>
      </c>
      <c r="D433" s="82"/>
      <c r="E433" s="89"/>
      <c r="F433" s="83"/>
      <c r="G433" s="78"/>
      <c r="H433" s="64" t="str">
        <f t="array" ref="H433">_xlfn.XLOOKUP(G433,DATA!D:D,DATA!E:E,"")</f>
        <v/>
      </c>
      <c r="I433" s="84"/>
      <c r="J433" s="23"/>
      <c r="K433" s="23"/>
      <c r="L433" s="66" t="str">
        <f t="shared" si="1"/>
        <v/>
      </c>
      <c r="M433" s="77"/>
      <c r="N433" s="78"/>
      <c r="O433" s="66" t="str">
        <f>IF(M433="","",
 IF(M433="عدم پاسخ","بدون پاسخ",
 IF(L433="","اطلاعات ناقص",
 IF(L433&lt;=DATA!$M$1,"رعایت شده","رعایت نشده"))))</f>
        <v/>
      </c>
      <c r="P433" s="79"/>
      <c r="Q433" s="77"/>
      <c r="R433" s="79"/>
      <c r="S433" s="79"/>
      <c r="T433" s="78"/>
      <c r="U433" s="80"/>
      <c r="V433" s="78"/>
      <c r="W433" s="77" t="str">
        <f t="array" ref="W433">IF(D433="","",_xlfn.XLOOKUP(D433,DATA!B:B,DATA!L:L,""))</f>
        <v/>
      </c>
      <c r="X433" s="78" t="str">
        <f t="array" ref="X433">IF(F433="","",_xlfn.XLOOKUP(F433,DATA!B:B,DATA!L:L,""))</f>
        <v/>
      </c>
    </row>
    <row r="434">
      <c r="A434" s="81"/>
      <c r="B434" s="79"/>
      <c r="C434" s="57" t="str">
        <f t="array" ref="C434">iferror(_xlfn.XLOOKUP(D434,DATA!B:B,DATA!A:A),"")</f>
        <v/>
      </c>
      <c r="D434" s="82"/>
      <c r="E434" s="89"/>
      <c r="F434" s="83"/>
      <c r="G434" s="78"/>
      <c r="H434" s="64" t="str">
        <f t="array" ref="H434">_xlfn.XLOOKUP(G434,DATA!D:D,DATA!E:E,"")</f>
        <v/>
      </c>
      <c r="I434" s="84"/>
      <c r="J434" s="23"/>
      <c r="K434" s="23"/>
      <c r="L434" s="66" t="str">
        <f t="shared" si="1"/>
        <v/>
      </c>
      <c r="M434" s="77"/>
      <c r="N434" s="78"/>
      <c r="O434" s="66" t="str">
        <f>IF(M434="","",
 IF(M434="عدم پاسخ","بدون پاسخ",
 IF(L434="","اطلاعات ناقص",
 IF(L434&lt;=DATA!$M$1,"رعایت شده","رعایت نشده"))))</f>
        <v/>
      </c>
      <c r="P434" s="79"/>
      <c r="Q434" s="77"/>
      <c r="R434" s="79"/>
      <c r="S434" s="79"/>
      <c r="T434" s="78"/>
      <c r="U434" s="80"/>
      <c r="V434" s="78"/>
      <c r="W434" s="77" t="str">
        <f t="array" ref="W434">IF(D434="","",_xlfn.XLOOKUP(D434,DATA!B:B,DATA!L:L,""))</f>
        <v/>
      </c>
      <c r="X434" s="78" t="str">
        <f t="array" ref="X434">IF(F434="","",_xlfn.XLOOKUP(F434,DATA!B:B,DATA!L:L,""))</f>
        <v/>
      </c>
    </row>
    <row r="435">
      <c r="A435" s="81"/>
      <c r="B435" s="79"/>
      <c r="C435" s="57" t="str">
        <f t="array" ref="C435">iferror(_xlfn.XLOOKUP(D435,DATA!B:B,DATA!A:A),"")</f>
        <v/>
      </c>
      <c r="D435" s="82"/>
      <c r="E435" s="89"/>
      <c r="F435" s="83"/>
      <c r="G435" s="78"/>
      <c r="H435" s="64" t="str">
        <f t="array" ref="H435">_xlfn.XLOOKUP(G435,DATA!D:D,DATA!E:E,"")</f>
        <v/>
      </c>
      <c r="I435" s="84"/>
      <c r="J435" s="23"/>
      <c r="K435" s="23"/>
      <c r="L435" s="66" t="str">
        <f t="shared" si="1"/>
        <v/>
      </c>
      <c r="M435" s="77"/>
      <c r="N435" s="78"/>
      <c r="O435" s="66" t="str">
        <f>IF(M435="","",
 IF(M435="عدم پاسخ","بدون پاسخ",
 IF(L435="","اطلاعات ناقص",
 IF(L435&lt;=DATA!$M$1,"رعایت شده","رعایت نشده"))))</f>
        <v/>
      </c>
      <c r="P435" s="79"/>
      <c r="Q435" s="77"/>
      <c r="R435" s="79"/>
      <c r="S435" s="79"/>
      <c r="T435" s="78"/>
      <c r="U435" s="80"/>
      <c r="V435" s="78"/>
      <c r="W435" s="77" t="str">
        <f t="array" ref="W435">IF(D435="","",_xlfn.XLOOKUP(D435,DATA!B:B,DATA!L:L,""))</f>
        <v/>
      </c>
      <c r="X435" s="78" t="str">
        <f t="array" ref="X435">IF(F435="","",_xlfn.XLOOKUP(F435,DATA!B:B,DATA!L:L,""))</f>
        <v/>
      </c>
    </row>
    <row r="436">
      <c r="A436" s="81"/>
      <c r="B436" s="79"/>
      <c r="C436" s="57" t="str">
        <f t="array" ref="C436">iferror(_xlfn.XLOOKUP(D436,DATA!B:B,DATA!A:A),"")</f>
        <v/>
      </c>
      <c r="D436" s="82"/>
      <c r="E436" s="89"/>
      <c r="F436" s="83"/>
      <c r="G436" s="78"/>
      <c r="H436" s="64" t="str">
        <f t="array" ref="H436">_xlfn.XLOOKUP(G436,DATA!D:D,DATA!E:E,"")</f>
        <v/>
      </c>
      <c r="I436" s="84"/>
      <c r="J436" s="23"/>
      <c r="K436" s="23"/>
      <c r="L436" s="66" t="str">
        <f t="shared" si="1"/>
        <v/>
      </c>
      <c r="M436" s="77"/>
      <c r="N436" s="78"/>
      <c r="O436" s="66" t="str">
        <f>IF(M436="","",
 IF(M436="عدم پاسخ","بدون پاسخ",
 IF(L436="","اطلاعات ناقص",
 IF(L436&lt;=DATA!$M$1,"رعایت شده","رعایت نشده"))))</f>
        <v/>
      </c>
      <c r="P436" s="79"/>
      <c r="Q436" s="77"/>
      <c r="R436" s="79"/>
      <c r="S436" s="79"/>
      <c r="T436" s="78"/>
      <c r="U436" s="80"/>
      <c r="V436" s="78"/>
      <c r="W436" s="77" t="str">
        <f t="array" ref="W436">IF(D436="","",_xlfn.XLOOKUP(D436,DATA!B:B,DATA!L:L,""))</f>
        <v/>
      </c>
      <c r="X436" s="78" t="str">
        <f t="array" ref="X436">IF(F436="","",_xlfn.XLOOKUP(F436,DATA!B:B,DATA!L:L,""))</f>
        <v/>
      </c>
    </row>
    <row r="437">
      <c r="A437" s="81"/>
      <c r="B437" s="79"/>
      <c r="C437" s="57" t="str">
        <f t="array" ref="C437">iferror(_xlfn.XLOOKUP(D437,DATA!B:B,DATA!A:A),"")</f>
        <v/>
      </c>
      <c r="D437" s="82"/>
      <c r="E437" s="89"/>
      <c r="F437" s="83"/>
      <c r="G437" s="78"/>
      <c r="H437" s="64" t="str">
        <f t="array" ref="H437">_xlfn.XLOOKUP(G437,DATA!D:D,DATA!E:E,"")</f>
        <v/>
      </c>
      <c r="I437" s="84"/>
      <c r="J437" s="23"/>
      <c r="K437" s="23"/>
      <c r="L437" s="66" t="str">
        <f t="shared" si="1"/>
        <v/>
      </c>
      <c r="M437" s="77"/>
      <c r="N437" s="78"/>
      <c r="O437" s="66" t="str">
        <f>IF(M437="","",
 IF(M437="عدم پاسخ","بدون پاسخ",
 IF(L437="","اطلاعات ناقص",
 IF(L437&lt;=DATA!$M$1,"رعایت شده","رعایت نشده"))))</f>
        <v/>
      </c>
      <c r="P437" s="79"/>
      <c r="Q437" s="77"/>
      <c r="R437" s="79"/>
      <c r="S437" s="79"/>
      <c r="T437" s="78"/>
      <c r="U437" s="80"/>
      <c r="V437" s="78"/>
      <c r="W437" s="77" t="str">
        <f t="array" ref="W437">IF(D437="","",_xlfn.XLOOKUP(D437,DATA!B:B,DATA!L:L,""))</f>
        <v/>
      </c>
      <c r="X437" s="78" t="str">
        <f t="array" ref="X437">IF(F437="","",_xlfn.XLOOKUP(F437,DATA!B:B,DATA!L:L,""))</f>
        <v/>
      </c>
    </row>
    <row r="438">
      <c r="A438" s="81"/>
      <c r="B438" s="79"/>
      <c r="C438" s="57" t="str">
        <f t="array" ref="C438">iferror(_xlfn.XLOOKUP(D438,DATA!B:B,DATA!A:A),"")</f>
        <v/>
      </c>
      <c r="D438" s="82"/>
      <c r="E438" s="89"/>
      <c r="F438" s="83"/>
      <c r="G438" s="78"/>
      <c r="H438" s="64" t="str">
        <f t="array" ref="H438">_xlfn.XLOOKUP(G438,DATA!D:D,DATA!E:E,"")</f>
        <v/>
      </c>
      <c r="I438" s="84"/>
      <c r="J438" s="23"/>
      <c r="K438" s="23"/>
      <c r="L438" s="66" t="str">
        <f t="shared" si="1"/>
        <v/>
      </c>
      <c r="M438" s="77"/>
      <c r="N438" s="78"/>
      <c r="O438" s="66" t="str">
        <f>IF(M438="","",
 IF(M438="عدم پاسخ","بدون پاسخ",
 IF(L438="","اطلاعات ناقص",
 IF(L438&lt;=DATA!$M$1,"رعایت شده","رعایت نشده"))))</f>
        <v/>
      </c>
      <c r="P438" s="79"/>
      <c r="Q438" s="77"/>
      <c r="R438" s="79"/>
      <c r="S438" s="79"/>
      <c r="T438" s="78"/>
      <c r="U438" s="80"/>
      <c r="V438" s="78"/>
      <c r="W438" s="77" t="str">
        <f t="array" ref="W438">IF(D438="","",_xlfn.XLOOKUP(D438,DATA!B:B,DATA!L:L,""))</f>
        <v/>
      </c>
      <c r="X438" s="78" t="str">
        <f t="array" ref="X438">IF(F438="","",_xlfn.XLOOKUP(F438,DATA!B:B,DATA!L:L,""))</f>
        <v/>
      </c>
    </row>
    <row r="439">
      <c r="A439" s="81"/>
      <c r="B439" s="79"/>
      <c r="C439" s="57" t="str">
        <f t="array" ref="C439">iferror(_xlfn.XLOOKUP(D439,DATA!B:B,DATA!A:A),"")</f>
        <v/>
      </c>
      <c r="D439" s="82"/>
      <c r="E439" s="89"/>
      <c r="F439" s="83"/>
      <c r="G439" s="78"/>
      <c r="H439" s="64" t="str">
        <f t="array" ref="H439">_xlfn.XLOOKUP(G439,DATA!D:D,DATA!E:E,"")</f>
        <v/>
      </c>
      <c r="I439" s="84"/>
      <c r="J439" s="23"/>
      <c r="K439" s="23"/>
      <c r="L439" s="66" t="str">
        <f t="shared" si="1"/>
        <v/>
      </c>
      <c r="M439" s="77"/>
      <c r="N439" s="78"/>
      <c r="O439" s="66" t="str">
        <f>IF(M439="","",
 IF(M439="عدم پاسخ","بدون پاسخ",
 IF(L439="","اطلاعات ناقص",
 IF(L439&lt;=DATA!$M$1,"رعایت شده","رعایت نشده"))))</f>
        <v/>
      </c>
      <c r="P439" s="79"/>
      <c r="Q439" s="77"/>
      <c r="R439" s="79"/>
      <c r="S439" s="79"/>
      <c r="T439" s="78"/>
      <c r="U439" s="80"/>
      <c r="V439" s="78"/>
      <c r="W439" s="77" t="str">
        <f t="array" ref="W439">IF(D439="","",_xlfn.XLOOKUP(D439,DATA!B:B,DATA!L:L,""))</f>
        <v/>
      </c>
      <c r="X439" s="78" t="str">
        <f t="array" ref="X439">IF(F439="","",_xlfn.XLOOKUP(F439,DATA!B:B,DATA!L:L,""))</f>
        <v/>
      </c>
    </row>
    <row r="440">
      <c r="A440" s="81"/>
      <c r="B440" s="79"/>
      <c r="C440" s="57" t="str">
        <f t="array" ref="C440">iferror(_xlfn.XLOOKUP(D440,DATA!B:B,DATA!A:A),"")</f>
        <v/>
      </c>
      <c r="D440" s="82"/>
      <c r="E440" s="89"/>
      <c r="F440" s="83"/>
      <c r="G440" s="78"/>
      <c r="H440" s="64" t="str">
        <f t="array" ref="H440">_xlfn.XLOOKUP(G440,DATA!D:D,DATA!E:E,"")</f>
        <v/>
      </c>
      <c r="I440" s="84"/>
      <c r="J440" s="23"/>
      <c r="K440" s="23"/>
      <c r="L440" s="66" t="str">
        <f t="shared" si="1"/>
        <v/>
      </c>
      <c r="M440" s="77"/>
      <c r="N440" s="78"/>
      <c r="O440" s="66" t="str">
        <f>IF(M440="","",
 IF(M440="عدم پاسخ","بدون پاسخ",
 IF(L440="","اطلاعات ناقص",
 IF(L440&lt;=DATA!$M$1,"رعایت شده","رعایت نشده"))))</f>
        <v/>
      </c>
      <c r="P440" s="79"/>
      <c r="Q440" s="77"/>
      <c r="R440" s="79"/>
      <c r="S440" s="79"/>
      <c r="T440" s="78"/>
      <c r="U440" s="80"/>
      <c r="V440" s="78"/>
      <c r="W440" s="77" t="str">
        <f t="array" ref="W440">IF(D440="","",_xlfn.XLOOKUP(D440,DATA!B:B,DATA!L:L,""))</f>
        <v/>
      </c>
      <c r="X440" s="78" t="str">
        <f t="array" ref="X440">IF(F440="","",_xlfn.XLOOKUP(F440,DATA!B:B,DATA!L:L,""))</f>
        <v/>
      </c>
    </row>
    <row r="441">
      <c r="A441" s="81"/>
      <c r="B441" s="79"/>
      <c r="C441" s="57" t="str">
        <f t="array" ref="C441">iferror(_xlfn.XLOOKUP(D441,DATA!B:B,DATA!A:A),"")</f>
        <v/>
      </c>
      <c r="D441" s="82"/>
      <c r="E441" s="89"/>
      <c r="F441" s="83"/>
      <c r="G441" s="78"/>
      <c r="H441" s="64" t="str">
        <f t="array" ref="H441">_xlfn.XLOOKUP(G441,DATA!D:D,DATA!E:E,"")</f>
        <v/>
      </c>
      <c r="I441" s="84"/>
      <c r="J441" s="23"/>
      <c r="K441" s="23"/>
      <c r="L441" s="66" t="str">
        <f t="shared" si="1"/>
        <v/>
      </c>
      <c r="M441" s="77"/>
      <c r="N441" s="78"/>
      <c r="O441" s="66" t="str">
        <f>IF(M441="","",
 IF(M441="عدم پاسخ","بدون پاسخ",
 IF(L441="","اطلاعات ناقص",
 IF(L441&lt;=DATA!$M$1,"رعایت شده","رعایت نشده"))))</f>
        <v/>
      </c>
      <c r="P441" s="79"/>
      <c r="Q441" s="77"/>
      <c r="R441" s="79"/>
      <c r="S441" s="79"/>
      <c r="T441" s="78"/>
      <c r="U441" s="80"/>
      <c r="V441" s="78"/>
      <c r="W441" s="77" t="str">
        <f t="array" ref="W441">IF(D441="","",_xlfn.XLOOKUP(D441,DATA!B:B,DATA!L:L,""))</f>
        <v/>
      </c>
      <c r="X441" s="78" t="str">
        <f t="array" ref="X441">IF(F441="","",_xlfn.XLOOKUP(F441,DATA!B:B,DATA!L:L,""))</f>
        <v/>
      </c>
    </row>
    <row r="442">
      <c r="A442" s="81"/>
      <c r="B442" s="79"/>
      <c r="C442" s="57" t="str">
        <f t="array" ref="C442">iferror(_xlfn.XLOOKUP(D442,DATA!B:B,DATA!A:A),"")</f>
        <v/>
      </c>
      <c r="D442" s="82"/>
      <c r="E442" s="89"/>
      <c r="F442" s="83"/>
      <c r="G442" s="78"/>
      <c r="H442" s="64" t="str">
        <f t="array" ref="H442">_xlfn.XLOOKUP(G442,DATA!D:D,DATA!E:E,"")</f>
        <v/>
      </c>
      <c r="I442" s="84"/>
      <c r="J442" s="23"/>
      <c r="K442" s="23"/>
      <c r="L442" s="66" t="str">
        <f t="shared" si="1"/>
        <v/>
      </c>
      <c r="M442" s="77"/>
      <c r="N442" s="78"/>
      <c r="O442" s="66" t="str">
        <f>IF(M442="","",
 IF(M442="عدم پاسخ","بدون پاسخ",
 IF(L442="","اطلاعات ناقص",
 IF(L442&lt;=DATA!$M$1,"رعایت شده","رعایت نشده"))))</f>
        <v/>
      </c>
      <c r="P442" s="79"/>
      <c r="Q442" s="77"/>
      <c r="R442" s="79"/>
      <c r="S442" s="79"/>
      <c r="T442" s="78"/>
      <c r="U442" s="80"/>
      <c r="V442" s="78"/>
      <c r="W442" s="77" t="str">
        <f t="array" ref="W442">IF(D442="","",_xlfn.XLOOKUP(D442,DATA!B:B,DATA!L:L,""))</f>
        <v/>
      </c>
      <c r="X442" s="78" t="str">
        <f t="array" ref="X442">IF(F442="","",_xlfn.XLOOKUP(F442,DATA!B:B,DATA!L:L,""))</f>
        <v/>
      </c>
    </row>
    <row r="443">
      <c r="A443" s="81"/>
      <c r="B443" s="79"/>
      <c r="C443" s="57" t="str">
        <f t="array" ref="C443">iferror(_xlfn.XLOOKUP(D443,DATA!B:B,DATA!A:A),"")</f>
        <v/>
      </c>
      <c r="D443" s="82"/>
      <c r="E443" s="89"/>
      <c r="F443" s="83"/>
      <c r="G443" s="78"/>
      <c r="H443" s="64" t="str">
        <f t="array" ref="H443">_xlfn.XLOOKUP(G443,DATA!D:D,DATA!E:E,"")</f>
        <v/>
      </c>
      <c r="I443" s="84"/>
      <c r="J443" s="23"/>
      <c r="K443" s="23"/>
      <c r="L443" s="66" t="str">
        <f t="shared" si="1"/>
        <v/>
      </c>
      <c r="M443" s="77"/>
      <c r="N443" s="78"/>
      <c r="O443" s="66" t="str">
        <f>IF(M443="","",
 IF(M443="عدم پاسخ","بدون پاسخ",
 IF(L443="","اطلاعات ناقص",
 IF(L443&lt;=DATA!$M$1,"رعایت شده","رعایت نشده"))))</f>
        <v/>
      </c>
      <c r="P443" s="79"/>
      <c r="Q443" s="77"/>
      <c r="R443" s="79"/>
      <c r="S443" s="79"/>
      <c r="T443" s="78"/>
      <c r="U443" s="80"/>
      <c r="V443" s="78"/>
      <c r="W443" s="77" t="str">
        <f t="array" ref="W443">IF(D443="","",_xlfn.XLOOKUP(D443,DATA!B:B,DATA!L:L,""))</f>
        <v/>
      </c>
      <c r="X443" s="78" t="str">
        <f t="array" ref="X443">IF(F443="","",_xlfn.XLOOKUP(F443,DATA!B:B,DATA!L:L,""))</f>
        <v/>
      </c>
    </row>
    <row r="444">
      <c r="A444" s="81"/>
      <c r="B444" s="79"/>
      <c r="C444" s="57" t="str">
        <f t="array" ref="C444">iferror(_xlfn.XLOOKUP(D444,DATA!B:B,DATA!A:A),"")</f>
        <v/>
      </c>
      <c r="D444" s="82"/>
      <c r="E444" s="89"/>
      <c r="F444" s="83"/>
      <c r="G444" s="78"/>
      <c r="H444" s="64" t="str">
        <f t="array" ref="H444">_xlfn.XLOOKUP(G444,DATA!D:D,DATA!E:E,"")</f>
        <v/>
      </c>
      <c r="I444" s="84"/>
      <c r="J444" s="23"/>
      <c r="K444" s="23"/>
      <c r="L444" s="66" t="str">
        <f t="shared" si="1"/>
        <v/>
      </c>
      <c r="M444" s="77"/>
      <c r="N444" s="78"/>
      <c r="O444" s="66" t="str">
        <f>IF(M444="","",
 IF(M444="عدم پاسخ","بدون پاسخ",
 IF(L444="","اطلاعات ناقص",
 IF(L444&lt;=DATA!$M$1,"رعایت شده","رعایت نشده"))))</f>
        <v/>
      </c>
      <c r="P444" s="79"/>
      <c r="Q444" s="77"/>
      <c r="R444" s="79"/>
      <c r="S444" s="79"/>
      <c r="T444" s="78"/>
      <c r="U444" s="80"/>
      <c r="V444" s="78"/>
      <c r="W444" s="77" t="str">
        <f t="array" ref="W444">IF(D444="","",_xlfn.XLOOKUP(D444,DATA!B:B,DATA!L:L,""))</f>
        <v/>
      </c>
      <c r="X444" s="78" t="str">
        <f t="array" ref="X444">IF(F444="","",_xlfn.XLOOKUP(F444,DATA!B:B,DATA!L:L,""))</f>
        <v/>
      </c>
    </row>
    <row r="445">
      <c r="A445" s="81"/>
      <c r="B445" s="79"/>
      <c r="C445" s="57" t="str">
        <f t="array" ref="C445">iferror(_xlfn.XLOOKUP(D445,DATA!B:B,DATA!A:A),"")</f>
        <v/>
      </c>
      <c r="D445" s="82"/>
      <c r="E445" s="89"/>
      <c r="F445" s="83"/>
      <c r="G445" s="78"/>
      <c r="H445" s="64" t="str">
        <f t="array" ref="H445">_xlfn.XLOOKUP(G445,DATA!D:D,DATA!E:E,"")</f>
        <v/>
      </c>
      <c r="I445" s="84"/>
      <c r="J445" s="23"/>
      <c r="K445" s="23"/>
      <c r="L445" s="66" t="str">
        <f t="shared" si="1"/>
        <v/>
      </c>
      <c r="M445" s="77"/>
      <c r="N445" s="78"/>
      <c r="O445" s="66" t="str">
        <f>IF(M445="","",
 IF(M445="عدم پاسخ","بدون پاسخ",
 IF(L445="","اطلاعات ناقص",
 IF(L445&lt;=DATA!$M$1,"رعایت شده","رعایت نشده"))))</f>
        <v/>
      </c>
      <c r="P445" s="79"/>
      <c r="Q445" s="77"/>
      <c r="R445" s="79"/>
      <c r="S445" s="79"/>
      <c r="T445" s="78"/>
      <c r="U445" s="80"/>
      <c r="V445" s="78"/>
      <c r="W445" s="77" t="str">
        <f t="array" ref="W445">IF(D445="","",_xlfn.XLOOKUP(D445,DATA!B:B,DATA!L:L,""))</f>
        <v/>
      </c>
      <c r="X445" s="78" t="str">
        <f t="array" ref="X445">IF(F445="","",_xlfn.XLOOKUP(F445,DATA!B:B,DATA!L:L,""))</f>
        <v/>
      </c>
    </row>
    <row r="446">
      <c r="A446" s="81"/>
      <c r="B446" s="79"/>
      <c r="C446" s="57" t="str">
        <f t="array" ref="C446">iferror(_xlfn.XLOOKUP(D446,DATA!B:B,DATA!A:A),"")</f>
        <v/>
      </c>
      <c r="D446" s="82"/>
      <c r="E446" s="89"/>
      <c r="F446" s="83"/>
      <c r="G446" s="78"/>
      <c r="H446" s="64" t="str">
        <f t="array" ref="H446">_xlfn.XLOOKUP(G446,DATA!D:D,DATA!E:E,"")</f>
        <v/>
      </c>
      <c r="I446" s="84"/>
      <c r="J446" s="23"/>
      <c r="K446" s="23"/>
      <c r="L446" s="66" t="str">
        <f t="shared" si="1"/>
        <v/>
      </c>
      <c r="M446" s="77"/>
      <c r="N446" s="78"/>
      <c r="O446" s="66" t="str">
        <f>IF(M446="","",
 IF(M446="عدم پاسخ","بدون پاسخ",
 IF(L446="","اطلاعات ناقص",
 IF(L446&lt;=DATA!$M$1,"رعایت شده","رعایت نشده"))))</f>
        <v/>
      </c>
      <c r="P446" s="79"/>
      <c r="Q446" s="77"/>
      <c r="R446" s="79"/>
      <c r="S446" s="79"/>
      <c r="T446" s="78"/>
      <c r="U446" s="80"/>
      <c r="V446" s="78"/>
      <c r="W446" s="77" t="str">
        <f t="array" ref="W446">IF(D446="","",_xlfn.XLOOKUP(D446,DATA!B:B,DATA!L:L,""))</f>
        <v/>
      </c>
      <c r="X446" s="78" t="str">
        <f t="array" ref="X446">IF(F446="","",_xlfn.XLOOKUP(F446,DATA!B:B,DATA!L:L,""))</f>
        <v/>
      </c>
    </row>
    <row r="447">
      <c r="A447" s="81"/>
      <c r="B447" s="79"/>
      <c r="C447" s="57" t="str">
        <f t="array" ref="C447">iferror(_xlfn.XLOOKUP(D447,DATA!B:B,DATA!A:A),"")</f>
        <v/>
      </c>
      <c r="D447" s="82"/>
      <c r="E447" s="89"/>
      <c r="F447" s="83"/>
      <c r="G447" s="78"/>
      <c r="H447" s="64" t="str">
        <f t="array" ref="H447">_xlfn.XLOOKUP(G447,DATA!D:D,DATA!E:E,"")</f>
        <v/>
      </c>
      <c r="I447" s="84"/>
      <c r="J447" s="23"/>
      <c r="K447" s="23"/>
      <c r="L447" s="66" t="str">
        <f t="shared" si="1"/>
        <v/>
      </c>
      <c r="M447" s="77"/>
      <c r="N447" s="78"/>
      <c r="O447" s="66" t="str">
        <f>IF(M447="","",
 IF(M447="عدم پاسخ","بدون پاسخ",
 IF(L447="","اطلاعات ناقص",
 IF(L447&lt;=DATA!$M$1,"رعایت شده","رعایت نشده"))))</f>
        <v/>
      </c>
      <c r="P447" s="79"/>
      <c r="Q447" s="77"/>
      <c r="R447" s="79"/>
      <c r="S447" s="79"/>
      <c r="T447" s="78"/>
      <c r="U447" s="80"/>
      <c r="V447" s="78"/>
      <c r="W447" s="77" t="str">
        <f t="array" ref="W447">IF(D447="","",_xlfn.XLOOKUP(D447,DATA!B:B,DATA!L:L,""))</f>
        <v/>
      </c>
      <c r="X447" s="78" t="str">
        <f t="array" ref="X447">IF(F447="","",_xlfn.XLOOKUP(F447,DATA!B:B,DATA!L:L,""))</f>
        <v/>
      </c>
    </row>
    <row r="448">
      <c r="A448" s="81"/>
      <c r="B448" s="79"/>
      <c r="C448" s="57" t="str">
        <f t="array" ref="C448">iferror(_xlfn.XLOOKUP(D448,DATA!B:B,DATA!A:A),"")</f>
        <v/>
      </c>
      <c r="D448" s="82"/>
      <c r="E448" s="89"/>
      <c r="F448" s="83"/>
      <c r="G448" s="78"/>
      <c r="H448" s="64" t="str">
        <f t="array" ref="H448">_xlfn.XLOOKUP(G448,DATA!D:D,DATA!E:E,"")</f>
        <v/>
      </c>
      <c r="I448" s="84"/>
      <c r="J448" s="23"/>
      <c r="K448" s="23"/>
      <c r="L448" s="66" t="str">
        <f t="shared" si="1"/>
        <v/>
      </c>
      <c r="M448" s="77"/>
      <c r="N448" s="78"/>
      <c r="O448" s="66" t="str">
        <f>IF(M448="","",
 IF(M448="عدم پاسخ","بدون پاسخ",
 IF(L448="","اطلاعات ناقص",
 IF(L448&lt;=DATA!$M$1,"رعایت شده","رعایت نشده"))))</f>
        <v/>
      </c>
      <c r="P448" s="79"/>
      <c r="Q448" s="77"/>
      <c r="R448" s="79"/>
      <c r="S448" s="79"/>
      <c r="T448" s="78"/>
      <c r="U448" s="80"/>
      <c r="V448" s="78"/>
      <c r="W448" s="77" t="str">
        <f t="array" ref="W448">IF(D448="","",_xlfn.XLOOKUP(D448,DATA!B:B,DATA!L:L,""))</f>
        <v/>
      </c>
      <c r="X448" s="78" t="str">
        <f t="array" ref="X448">IF(F448="","",_xlfn.XLOOKUP(F448,DATA!B:B,DATA!L:L,""))</f>
        <v/>
      </c>
    </row>
    <row r="449">
      <c r="A449" s="81"/>
      <c r="B449" s="79"/>
      <c r="C449" s="57" t="str">
        <f t="array" ref="C449">iferror(_xlfn.XLOOKUP(D449,DATA!B:B,DATA!A:A),"")</f>
        <v/>
      </c>
      <c r="D449" s="82"/>
      <c r="E449" s="89"/>
      <c r="F449" s="83"/>
      <c r="G449" s="78"/>
      <c r="H449" s="64" t="str">
        <f t="array" ref="H449">_xlfn.XLOOKUP(G449,DATA!D:D,DATA!E:E,"")</f>
        <v/>
      </c>
      <c r="I449" s="84"/>
      <c r="J449" s="23"/>
      <c r="K449" s="23"/>
      <c r="L449" s="66" t="str">
        <f t="shared" si="1"/>
        <v/>
      </c>
      <c r="M449" s="77"/>
      <c r="N449" s="78"/>
      <c r="O449" s="66" t="str">
        <f>IF(M449="","",
 IF(M449="عدم پاسخ","بدون پاسخ",
 IF(L449="","اطلاعات ناقص",
 IF(L449&lt;=DATA!$M$1,"رعایت شده","رعایت نشده"))))</f>
        <v/>
      </c>
      <c r="P449" s="79"/>
      <c r="Q449" s="77"/>
      <c r="R449" s="79"/>
      <c r="S449" s="79"/>
      <c r="T449" s="78"/>
      <c r="U449" s="80"/>
      <c r="V449" s="78"/>
      <c r="W449" s="77" t="str">
        <f t="array" ref="W449">IF(D449="","",_xlfn.XLOOKUP(D449,DATA!B:B,DATA!L:L,""))</f>
        <v/>
      </c>
      <c r="X449" s="78" t="str">
        <f t="array" ref="X449">IF(F449="","",_xlfn.XLOOKUP(F449,DATA!B:B,DATA!L:L,""))</f>
        <v/>
      </c>
    </row>
    <row r="450">
      <c r="A450" s="81"/>
      <c r="B450" s="79"/>
      <c r="C450" s="57" t="str">
        <f t="array" ref="C450">iferror(_xlfn.XLOOKUP(D450,DATA!B:B,DATA!A:A),"")</f>
        <v/>
      </c>
      <c r="D450" s="82"/>
      <c r="E450" s="89"/>
      <c r="F450" s="83"/>
      <c r="G450" s="78"/>
      <c r="H450" s="64" t="str">
        <f t="array" ref="H450">_xlfn.XLOOKUP(G450,DATA!D:D,DATA!E:E,"")</f>
        <v/>
      </c>
      <c r="I450" s="84"/>
      <c r="J450" s="23"/>
      <c r="K450" s="23"/>
      <c r="L450" s="66" t="str">
        <f t="shared" si="1"/>
        <v/>
      </c>
      <c r="M450" s="77"/>
      <c r="N450" s="78"/>
      <c r="O450" s="66" t="str">
        <f>IF(M450="","",
 IF(M450="عدم پاسخ","بدون پاسخ",
 IF(L450="","اطلاعات ناقص",
 IF(L450&lt;=DATA!$M$1,"رعایت شده","رعایت نشده"))))</f>
        <v/>
      </c>
      <c r="P450" s="79"/>
      <c r="Q450" s="77"/>
      <c r="R450" s="79"/>
      <c r="S450" s="79"/>
      <c r="T450" s="78"/>
      <c r="U450" s="80"/>
      <c r="V450" s="78"/>
      <c r="W450" s="77" t="str">
        <f t="array" ref="W450">IF(D450="","",_xlfn.XLOOKUP(D450,DATA!B:B,DATA!L:L,""))</f>
        <v/>
      </c>
      <c r="X450" s="78" t="str">
        <f t="array" ref="X450">IF(F450="","",_xlfn.XLOOKUP(F450,DATA!B:B,DATA!L:L,""))</f>
        <v/>
      </c>
    </row>
    <row r="451">
      <c r="A451" s="81"/>
      <c r="B451" s="79"/>
      <c r="C451" s="57" t="str">
        <f t="array" ref="C451">iferror(_xlfn.XLOOKUP(D451,DATA!B:B,DATA!A:A),"")</f>
        <v/>
      </c>
      <c r="D451" s="82"/>
      <c r="E451" s="89"/>
      <c r="F451" s="83"/>
      <c r="G451" s="78"/>
      <c r="H451" s="64" t="str">
        <f t="array" ref="H451">_xlfn.XLOOKUP(G451,DATA!D:D,DATA!E:E,"")</f>
        <v/>
      </c>
      <c r="I451" s="84"/>
      <c r="J451" s="23"/>
      <c r="K451" s="23"/>
      <c r="L451" s="66" t="str">
        <f t="shared" si="1"/>
        <v/>
      </c>
      <c r="M451" s="77"/>
      <c r="N451" s="78"/>
      <c r="O451" s="66" t="str">
        <f>IF(M451="","",
 IF(M451="عدم پاسخ","بدون پاسخ",
 IF(L451="","اطلاعات ناقص",
 IF(L451&lt;=DATA!$M$1,"رعایت شده","رعایت نشده"))))</f>
        <v/>
      </c>
      <c r="P451" s="79"/>
      <c r="Q451" s="77"/>
      <c r="R451" s="79"/>
      <c r="S451" s="79"/>
      <c r="T451" s="78"/>
      <c r="U451" s="80"/>
      <c r="V451" s="78"/>
      <c r="W451" s="77" t="str">
        <f t="array" ref="W451">IF(D451="","",_xlfn.XLOOKUP(D451,DATA!B:B,DATA!L:L,""))</f>
        <v/>
      </c>
      <c r="X451" s="78" t="str">
        <f t="array" ref="X451">IF(F451="","",_xlfn.XLOOKUP(F451,DATA!B:B,DATA!L:L,""))</f>
        <v/>
      </c>
    </row>
    <row r="452">
      <c r="A452" s="81"/>
      <c r="B452" s="79"/>
      <c r="C452" s="57" t="str">
        <f t="array" ref="C452">iferror(_xlfn.XLOOKUP(D452,DATA!B:B,DATA!A:A),"")</f>
        <v/>
      </c>
      <c r="D452" s="82"/>
      <c r="E452" s="89"/>
      <c r="F452" s="83"/>
      <c r="G452" s="78"/>
      <c r="H452" s="64" t="str">
        <f t="array" ref="H452">_xlfn.XLOOKUP(G452,DATA!D:D,DATA!E:E,"")</f>
        <v/>
      </c>
      <c r="I452" s="84"/>
      <c r="J452" s="23"/>
      <c r="K452" s="23"/>
      <c r="L452" s="66" t="str">
        <f t="shared" si="1"/>
        <v/>
      </c>
      <c r="M452" s="77"/>
      <c r="N452" s="78"/>
      <c r="O452" s="66" t="str">
        <f>IF(M452="","",
 IF(M452="عدم پاسخ","بدون پاسخ",
 IF(L452="","اطلاعات ناقص",
 IF(L452&lt;=DATA!$M$1,"رعایت شده","رعایت نشده"))))</f>
        <v/>
      </c>
      <c r="P452" s="79"/>
      <c r="Q452" s="77"/>
      <c r="R452" s="79"/>
      <c r="S452" s="79"/>
      <c r="T452" s="78"/>
      <c r="U452" s="80"/>
      <c r="V452" s="78"/>
      <c r="W452" s="77" t="str">
        <f t="array" ref="W452">IF(D452="","",_xlfn.XLOOKUP(D452,DATA!B:B,DATA!L:L,""))</f>
        <v/>
      </c>
      <c r="X452" s="78" t="str">
        <f t="array" ref="X452">IF(F452="","",_xlfn.XLOOKUP(F452,DATA!B:B,DATA!L:L,""))</f>
        <v/>
      </c>
    </row>
    <row r="453">
      <c r="A453" s="81"/>
      <c r="B453" s="79"/>
      <c r="C453" s="57" t="str">
        <f t="array" ref="C453">iferror(_xlfn.XLOOKUP(D453,DATA!B:B,DATA!A:A),"")</f>
        <v/>
      </c>
      <c r="D453" s="82"/>
      <c r="E453" s="89"/>
      <c r="F453" s="83"/>
      <c r="G453" s="78"/>
      <c r="H453" s="64" t="str">
        <f t="array" ref="H453">_xlfn.XLOOKUP(G453,DATA!D:D,DATA!E:E,"")</f>
        <v/>
      </c>
      <c r="I453" s="84"/>
      <c r="J453" s="23"/>
      <c r="K453" s="23"/>
      <c r="L453" s="66" t="str">
        <f t="shared" si="1"/>
        <v/>
      </c>
      <c r="M453" s="77"/>
      <c r="N453" s="78"/>
      <c r="O453" s="66" t="str">
        <f>IF(M453="","",
 IF(M453="عدم پاسخ","بدون پاسخ",
 IF(L453="","اطلاعات ناقص",
 IF(L453&lt;=DATA!$M$1,"رعایت شده","رعایت نشده"))))</f>
        <v/>
      </c>
      <c r="P453" s="79"/>
      <c r="Q453" s="77"/>
      <c r="R453" s="79"/>
      <c r="S453" s="79"/>
      <c r="T453" s="78"/>
      <c r="U453" s="80"/>
      <c r="V453" s="78"/>
      <c r="W453" s="77" t="str">
        <f t="array" ref="W453">IF(D453="","",_xlfn.XLOOKUP(D453,DATA!B:B,DATA!L:L,""))</f>
        <v/>
      </c>
      <c r="X453" s="78" t="str">
        <f t="array" ref="X453">IF(F453="","",_xlfn.XLOOKUP(F453,DATA!B:B,DATA!L:L,""))</f>
        <v/>
      </c>
    </row>
    <row r="454">
      <c r="A454" s="81"/>
      <c r="B454" s="79"/>
      <c r="C454" s="57" t="str">
        <f t="array" ref="C454">iferror(_xlfn.XLOOKUP(D454,DATA!B:B,DATA!A:A),"")</f>
        <v/>
      </c>
      <c r="D454" s="82"/>
      <c r="E454" s="89"/>
      <c r="F454" s="83"/>
      <c r="G454" s="78"/>
      <c r="H454" s="64" t="str">
        <f t="array" ref="H454">_xlfn.XLOOKUP(G454,DATA!D:D,DATA!E:E,"")</f>
        <v/>
      </c>
      <c r="I454" s="84"/>
      <c r="J454" s="23"/>
      <c r="K454" s="23"/>
      <c r="L454" s="66" t="str">
        <f t="shared" si="1"/>
        <v/>
      </c>
      <c r="M454" s="77"/>
      <c r="N454" s="78"/>
      <c r="O454" s="66" t="str">
        <f>IF(M454="","",
 IF(M454="عدم پاسخ","بدون پاسخ",
 IF(L454="","اطلاعات ناقص",
 IF(L454&lt;=DATA!$M$1,"رعایت شده","رعایت نشده"))))</f>
        <v/>
      </c>
      <c r="P454" s="79"/>
      <c r="Q454" s="77"/>
      <c r="R454" s="79"/>
      <c r="S454" s="79"/>
      <c r="T454" s="78"/>
      <c r="U454" s="80"/>
      <c r="V454" s="78"/>
      <c r="W454" s="77" t="str">
        <f t="array" ref="W454">IF(D454="","",_xlfn.XLOOKUP(D454,DATA!B:B,DATA!L:L,""))</f>
        <v/>
      </c>
      <c r="X454" s="78" t="str">
        <f t="array" ref="X454">IF(F454="","",_xlfn.XLOOKUP(F454,DATA!B:B,DATA!L:L,""))</f>
        <v/>
      </c>
    </row>
    <row r="455">
      <c r="A455" s="81"/>
      <c r="B455" s="79"/>
      <c r="C455" s="57" t="str">
        <f t="array" ref="C455">iferror(_xlfn.XLOOKUP(D455,DATA!B:B,DATA!A:A),"")</f>
        <v/>
      </c>
      <c r="D455" s="82"/>
      <c r="E455" s="89"/>
      <c r="F455" s="83"/>
      <c r="G455" s="78"/>
      <c r="H455" s="64" t="str">
        <f t="array" ref="H455">_xlfn.XLOOKUP(G455,DATA!D:D,DATA!E:E,"")</f>
        <v/>
      </c>
      <c r="I455" s="84"/>
      <c r="J455" s="23"/>
      <c r="K455" s="23"/>
      <c r="L455" s="66" t="str">
        <f t="shared" si="1"/>
        <v/>
      </c>
      <c r="M455" s="77"/>
      <c r="N455" s="78"/>
      <c r="O455" s="66" t="str">
        <f>IF(M455="","",
 IF(M455="عدم پاسخ","بدون پاسخ",
 IF(L455="","اطلاعات ناقص",
 IF(L455&lt;=DATA!$M$1,"رعایت شده","رعایت نشده"))))</f>
        <v/>
      </c>
      <c r="P455" s="79"/>
      <c r="Q455" s="77"/>
      <c r="R455" s="79"/>
      <c r="S455" s="79"/>
      <c r="T455" s="78"/>
      <c r="U455" s="80"/>
      <c r="V455" s="78"/>
      <c r="W455" s="77" t="str">
        <f t="array" ref="W455">IF(D455="","",_xlfn.XLOOKUP(D455,DATA!B:B,DATA!L:L,""))</f>
        <v/>
      </c>
      <c r="X455" s="78" t="str">
        <f t="array" ref="X455">IF(F455="","",_xlfn.XLOOKUP(F455,DATA!B:B,DATA!L:L,""))</f>
        <v/>
      </c>
    </row>
    <row r="456">
      <c r="A456" s="81"/>
      <c r="B456" s="79"/>
      <c r="C456" s="57" t="str">
        <f t="array" ref="C456">iferror(_xlfn.XLOOKUP(D456,DATA!B:B,DATA!A:A),"")</f>
        <v/>
      </c>
      <c r="D456" s="82"/>
      <c r="E456" s="89"/>
      <c r="F456" s="83"/>
      <c r="G456" s="78"/>
      <c r="H456" s="64" t="str">
        <f t="array" ref="H456">_xlfn.XLOOKUP(G456,DATA!D:D,DATA!E:E,"")</f>
        <v/>
      </c>
      <c r="I456" s="84"/>
      <c r="J456" s="23"/>
      <c r="K456" s="23"/>
      <c r="L456" s="66" t="str">
        <f t="shared" si="1"/>
        <v/>
      </c>
      <c r="M456" s="77"/>
      <c r="N456" s="78"/>
      <c r="O456" s="66" t="str">
        <f>IF(M456="","",
 IF(M456="عدم پاسخ","بدون پاسخ",
 IF(L456="","اطلاعات ناقص",
 IF(L456&lt;=DATA!$M$1,"رعایت شده","رعایت نشده"))))</f>
        <v/>
      </c>
      <c r="P456" s="79"/>
      <c r="Q456" s="77"/>
      <c r="R456" s="79"/>
      <c r="S456" s="79"/>
      <c r="T456" s="78"/>
      <c r="U456" s="80"/>
      <c r="V456" s="78"/>
      <c r="W456" s="77" t="str">
        <f t="array" ref="W456">IF(D456="","",_xlfn.XLOOKUP(D456,DATA!B:B,DATA!L:L,""))</f>
        <v/>
      </c>
      <c r="X456" s="78" t="str">
        <f t="array" ref="X456">IF(F456="","",_xlfn.XLOOKUP(F456,DATA!B:B,DATA!L:L,""))</f>
        <v/>
      </c>
    </row>
    <row r="457">
      <c r="A457" s="81"/>
      <c r="B457" s="79"/>
      <c r="C457" s="57" t="str">
        <f t="array" ref="C457">iferror(_xlfn.XLOOKUP(D457,DATA!B:B,DATA!A:A),"")</f>
        <v/>
      </c>
      <c r="D457" s="82"/>
      <c r="E457" s="89"/>
      <c r="F457" s="83"/>
      <c r="G457" s="78"/>
      <c r="H457" s="64" t="str">
        <f t="array" ref="H457">_xlfn.XLOOKUP(G457,DATA!D:D,DATA!E:E,"")</f>
        <v/>
      </c>
      <c r="I457" s="84"/>
      <c r="J457" s="23"/>
      <c r="K457" s="23"/>
      <c r="L457" s="66" t="str">
        <f t="shared" si="1"/>
        <v/>
      </c>
      <c r="M457" s="77"/>
      <c r="N457" s="78"/>
      <c r="O457" s="66" t="str">
        <f>IF(M457="","",
 IF(M457="عدم پاسخ","بدون پاسخ",
 IF(L457="","اطلاعات ناقص",
 IF(L457&lt;=DATA!$M$1,"رعایت شده","رعایت نشده"))))</f>
        <v/>
      </c>
      <c r="P457" s="79"/>
      <c r="Q457" s="77"/>
      <c r="R457" s="79"/>
      <c r="S457" s="79"/>
      <c r="T457" s="78"/>
      <c r="U457" s="80"/>
      <c r="V457" s="78"/>
      <c r="W457" s="77" t="str">
        <f t="array" ref="W457">IF(D457="","",_xlfn.XLOOKUP(D457,DATA!B:B,DATA!L:L,""))</f>
        <v/>
      </c>
      <c r="X457" s="78" t="str">
        <f t="array" ref="X457">IF(F457="","",_xlfn.XLOOKUP(F457,DATA!B:B,DATA!L:L,""))</f>
        <v/>
      </c>
    </row>
    <row r="458">
      <c r="A458" s="81"/>
      <c r="B458" s="79"/>
      <c r="C458" s="57" t="str">
        <f t="array" ref="C458">iferror(_xlfn.XLOOKUP(D458,DATA!B:B,DATA!A:A),"")</f>
        <v/>
      </c>
      <c r="D458" s="82"/>
      <c r="E458" s="89"/>
      <c r="F458" s="83"/>
      <c r="G458" s="78"/>
      <c r="H458" s="64" t="str">
        <f t="array" ref="H458">_xlfn.XLOOKUP(G458,DATA!D:D,DATA!E:E,"")</f>
        <v/>
      </c>
      <c r="I458" s="84"/>
      <c r="J458" s="23"/>
      <c r="K458" s="23"/>
      <c r="L458" s="66" t="str">
        <f t="shared" si="1"/>
        <v/>
      </c>
      <c r="M458" s="77"/>
      <c r="N458" s="78"/>
      <c r="O458" s="66" t="str">
        <f>IF(M458="","",
 IF(M458="عدم پاسخ","بدون پاسخ",
 IF(L458="","اطلاعات ناقص",
 IF(L458&lt;=DATA!$M$1,"رعایت شده","رعایت نشده"))))</f>
        <v/>
      </c>
      <c r="P458" s="79"/>
      <c r="Q458" s="77"/>
      <c r="R458" s="79"/>
      <c r="S458" s="79"/>
      <c r="T458" s="78"/>
      <c r="U458" s="80"/>
      <c r="V458" s="78"/>
      <c r="W458" s="77" t="str">
        <f t="array" ref="W458">IF(D458="","",_xlfn.XLOOKUP(D458,DATA!B:B,DATA!L:L,""))</f>
        <v/>
      </c>
      <c r="X458" s="78" t="str">
        <f t="array" ref="X458">IF(F458="","",_xlfn.XLOOKUP(F458,DATA!B:B,DATA!L:L,""))</f>
        <v/>
      </c>
    </row>
    <row r="459">
      <c r="A459" s="81"/>
      <c r="B459" s="79"/>
      <c r="C459" s="57" t="str">
        <f t="array" ref="C459">iferror(_xlfn.XLOOKUP(D459,DATA!B:B,DATA!A:A),"")</f>
        <v/>
      </c>
      <c r="D459" s="82"/>
      <c r="E459" s="89"/>
      <c r="F459" s="83"/>
      <c r="G459" s="78"/>
      <c r="H459" s="64" t="str">
        <f t="array" ref="H459">_xlfn.XLOOKUP(G459,DATA!D:D,DATA!E:E,"")</f>
        <v/>
      </c>
      <c r="I459" s="84"/>
      <c r="J459" s="23"/>
      <c r="K459" s="23"/>
      <c r="L459" s="66" t="str">
        <f t="shared" si="1"/>
        <v/>
      </c>
      <c r="M459" s="77"/>
      <c r="N459" s="78"/>
      <c r="O459" s="66" t="str">
        <f>IF(M459="","",
 IF(M459="عدم پاسخ","بدون پاسخ",
 IF(L459="","اطلاعات ناقص",
 IF(L459&lt;=DATA!$M$1,"رعایت شده","رعایت نشده"))))</f>
        <v/>
      </c>
      <c r="P459" s="79"/>
      <c r="Q459" s="77"/>
      <c r="R459" s="79"/>
      <c r="S459" s="79"/>
      <c r="T459" s="78"/>
      <c r="U459" s="80"/>
      <c r="V459" s="78"/>
      <c r="W459" s="77" t="str">
        <f t="array" ref="W459">IF(D459="","",_xlfn.XLOOKUP(D459,DATA!B:B,DATA!L:L,""))</f>
        <v/>
      </c>
      <c r="X459" s="78" t="str">
        <f t="array" ref="X459">IF(F459="","",_xlfn.XLOOKUP(F459,DATA!B:B,DATA!L:L,""))</f>
        <v/>
      </c>
    </row>
    <row r="460">
      <c r="A460" s="81"/>
      <c r="B460" s="79"/>
      <c r="C460" s="57" t="str">
        <f t="array" ref="C460">iferror(_xlfn.XLOOKUP(D460,DATA!B:B,DATA!A:A),"")</f>
        <v/>
      </c>
      <c r="D460" s="82"/>
      <c r="E460" s="89"/>
      <c r="F460" s="83"/>
      <c r="G460" s="78"/>
      <c r="H460" s="64" t="str">
        <f t="array" ref="H460">_xlfn.XLOOKUP(G460,DATA!D:D,DATA!E:E,"")</f>
        <v/>
      </c>
      <c r="I460" s="84"/>
      <c r="J460" s="23"/>
      <c r="K460" s="23"/>
      <c r="L460" s="66" t="str">
        <f t="shared" si="1"/>
        <v/>
      </c>
      <c r="M460" s="77"/>
      <c r="N460" s="78"/>
      <c r="O460" s="66" t="str">
        <f>IF(M460="","",
 IF(M460="عدم پاسخ","بدون پاسخ",
 IF(L460="","اطلاعات ناقص",
 IF(L460&lt;=DATA!$M$1,"رعایت شده","رعایت نشده"))))</f>
        <v/>
      </c>
      <c r="P460" s="79"/>
      <c r="Q460" s="77"/>
      <c r="R460" s="79"/>
      <c r="S460" s="79"/>
      <c r="T460" s="78"/>
      <c r="U460" s="80"/>
      <c r="V460" s="78"/>
      <c r="W460" s="77" t="str">
        <f t="array" ref="W460">IF(D460="","",_xlfn.XLOOKUP(D460,DATA!B:B,DATA!L:L,""))</f>
        <v/>
      </c>
      <c r="X460" s="78" t="str">
        <f t="array" ref="X460">IF(F460="","",_xlfn.XLOOKUP(F460,DATA!B:B,DATA!L:L,""))</f>
        <v/>
      </c>
    </row>
    <row r="461">
      <c r="A461" s="81"/>
      <c r="B461" s="79"/>
      <c r="C461" s="57" t="str">
        <f t="array" ref="C461">iferror(_xlfn.XLOOKUP(D461,DATA!B:B,DATA!A:A),"")</f>
        <v/>
      </c>
      <c r="D461" s="82"/>
      <c r="E461" s="89"/>
      <c r="F461" s="83"/>
      <c r="G461" s="78"/>
      <c r="H461" s="64" t="str">
        <f t="array" ref="H461">_xlfn.XLOOKUP(G461,DATA!D:D,DATA!E:E,"")</f>
        <v/>
      </c>
      <c r="I461" s="84"/>
      <c r="J461" s="23"/>
      <c r="K461" s="23"/>
      <c r="L461" s="66" t="str">
        <f t="shared" si="1"/>
        <v/>
      </c>
      <c r="M461" s="77"/>
      <c r="N461" s="78"/>
      <c r="O461" s="66" t="str">
        <f>IF(M461="","",
 IF(M461="عدم پاسخ","بدون پاسخ",
 IF(L461="","اطلاعات ناقص",
 IF(L461&lt;=DATA!$M$1,"رعایت شده","رعایت نشده"))))</f>
        <v/>
      </c>
      <c r="P461" s="79"/>
      <c r="Q461" s="77"/>
      <c r="R461" s="79"/>
      <c r="S461" s="79"/>
      <c r="T461" s="78"/>
      <c r="U461" s="80"/>
      <c r="V461" s="78"/>
      <c r="W461" s="77" t="str">
        <f t="array" ref="W461">IF(D461="","",_xlfn.XLOOKUP(D461,DATA!B:B,DATA!L:L,""))</f>
        <v/>
      </c>
      <c r="X461" s="78" t="str">
        <f t="array" ref="X461">IF(F461="","",_xlfn.XLOOKUP(F461,DATA!B:B,DATA!L:L,""))</f>
        <v/>
      </c>
    </row>
    <row r="462">
      <c r="A462" s="81"/>
      <c r="B462" s="79"/>
      <c r="C462" s="57" t="str">
        <f t="array" ref="C462">iferror(_xlfn.XLOOKUP(D462,DATA!B:B,DATA!A:A),"")</f>
        <v/>
      </c>
      <c r="D462" s="82"/>
      <c r="E462" s="89"/>
      <c r="F462" s="83"/>
      <c r="G462" s="78"/>
      <c r="H462" s="64" t="str">
        <f t="array" ref="H462">_xlfn.XLOOKUP(G462,DATA!D:D,DATA!E:E,"")</f>
        <v/>
      </c>
      <c r="I462" s="84"/>
      <c r="J462" s="23"/>
      <c r="K462" s="23"/>
      <c r="L462" s="66" t="str">
        <f t="shared" si="1"/>
        <v/>
      </c>
      <c r="M462" s="77"/>
      <c r="N462" s="78"/>
      <c r="O462" s="66" t="str">
        <f>IF(M462="","",
 IF(M462="عدم پاسخ","بدون پاسخ",
 IF(L462="","اطلاعات ناقص",
 IF(L462&lt;=DATA!$M$1,"رعایت شده","رعایت نشده"))))</f>
        <v/>
      </c>
      <c r="P462" s="79"/>
      <c r="Q462" s="77"/>
      <c r="R462" s="79"/>
      <c r="S462" s="79"/>
      <c r="T462" s="78"/>
      <c r="U462" s="80"/>
      <c r="V462" s="78"/>
      <c r="W462" s="77" t="str">
        <f t="array" ref="W462">IF(D462="","",_xlfn.XLOOKUP(D462,DATA!B:B,DATA!L:L,""))</f>
        <v/>
      </c>
      <c r="X462" s="78" t="str">
        <f t="array" ref="X462">IF(F462="","",_xlfn.XLOOKUP(F462,DATA!B:B,DATA!L:L,""))</f>
        <v/>
      </c>
    </row>
    <row r="463">
      <c r="A463" s="81"/>
      <c r="B463" s="79"/>
      <c r="C463" s="57" t="str">
        <f t="array" ref="C463">iferror(_xlfn.XLOOKUP(D463,DATA!B:B,DATA!A:A),"")</f>
        <v/>
      </c>
      <c r="D463" s="82"/>
      <c r="E463" s="89"/>
      <c r="F463" s="83"/>
      <c r="G463" s="78"/>
      <c r="H463" s="64" t="str">
        <f t="array" ref="H463">_xlfn.XLOOKUP(G463,DATA!D:D,DATA!E:E,"")</f>
        <v/>
      </c>
      <c r="I463" s="84"/>
      <c r="J463" s="23"/>
      <c r="K463" s="23"/>
      <c r="L463" s="66" t="str">
        <f t="shared" si="1"/>
        <v/>
      </c>
      <c r="M463" s="77"/>
      <c r="N463" s="78"/>
      <c r="O463" s="66" t="str">
        <f>IF(M463="","",
 IF(M463="عدم پاسخ","بدون پاسخ",
 IF(L463="","اطلاعات ناقص",
 IF(L463&lt;=DATA!$M$1,"رعایت شده","رعایت نشده"))))</f>
        <v/>
      </c>
      <c r="P463" s="79"/>
      <c r="Q463" s="77"/>
      <c r="R463" s="79"/>
      <c r="S463" s="79"/>
      <c r="T463" s="78"/>
      <c r="U463" s="80"/>
      <c r="V463" s="78"/>
      <c r="W463" s="77" t="str">
        <f t="array" ref="W463">IF(D463="","",_xlfn.XLOOKUP(D463,DATA!B:B,DATA!L:L,""))</f>
        <v/>
      </c>
      <c r="X463" s="78" t="str">
        <f t="array" ref="X463">IF(F463="","",_xlfn.XLOOKUP(F463,DATA!B:B,DATA!L:L,""))</f>
        <v/>
      </c>
    </row>
    <row r="464">
      <c r="A464" s="81"/>
      <c r="B464" s="79"/>
      <c r="C464" s="57" t="str">
        <f t="array" ref="C464">iferror(_xlfn.XLOOKUP(D464,DATA!B:B,DATA!A:A),"")</f>
        <v/>
      </c>
      <c r="D464" s="82"/>
      <c r="E464" s="89"/>
      <c r="F464" s="83"/>
      <c r="G464" s="78"/>
      <c r="H464" s="64" t="str">
        <f t="array" ref="H464">_xlfn.XLOOKUP(G464,DATA!D:D,DATA!E:E,"")</f>
        <v/>
      </c>
      <c r="I464" s="84"/>
      <c r="J464" s="23"/>
      <c r="K464" s="23"/>
      <c r="L464" s="66" t="str">
        <f t="shared" si="1"/>
        <v/>
      </c>
      <c r="M464" s="77"/>
      <c r="N464" s="78"/>
      <c r="O464" s="66" t="str">
        <f>IF(M464="","",
 IF(M464="عدم پاسخ","بدون پاسخ",
 IF(L464="","اطلاعات ناقص",
 IF(L464&lt;=DATA!$M$1,"رعایت شده","رعایت نشده"))))</f>
        <v/>
      </c>
      <c r="P464" s="79"/>
      <c r="Q464" s="77"/>
      <c r="R464" s="79"/>
      <c r="S464" s="79"/>
      <c r="T464" s="78"/>
      <c r="U464" s="80"/>
      <c r="V464" s="78"/>
      <c r="W464" s="77" t="str">
        <f t="array" ref="W464">IF(D464="","",_xlfn.XLOOKUP(D464,DATA!B:B,DATA!L:L,""))</f>
        <v/>
      </c>
      <c r="X464" s="78" t="str">
        <f t="array" ref="X464">IF(F464="","",_xlfn.XLOOKUP(F464,DATA!B:B,DATA!L:L,""))</f>
        <v/>
      </c>
    </row>
    <row r="465">
      <c r="A465" s="81"/>
      <c r="B465" s="79"/>
      <c r="C465" s="57" t="str">
        <f t="array" ref="C465">iferror(_xlfn.XLOOKUP(D465,DATA!B:B,DATA!A:A),"")</f>
        <v/>
      </c>
      <c r="D465" s="82"/>
      <c r="E465" s="89"/>
      <c r="F465" s="83"/>
      <c r="G465" s="78"/>
      <c r="H465" s="64" t="str">
        <f t="array" ref="H465">_xlfn.XLOOKUP(G465,DATA!D:D,DATA!E:E,"")</f>
        <v/>
      </c>
      <c r="I465" s="84"/>
      <c r="J465" s="23"/>
      <c r="K465" s="23"/>
      <c r="L465" s="66" t="str">
        <f t="shared" si="1"/>
        <v/>
      </c>
      <c r="M465" s="77"/>
      <c r="N465" s="78"/>
      <c r="O465" s="66" t="str">
        <f>IF(M465="","",
 IF(M465="عدم پاسخ","بدون پاسخ",
 IF(L465="","اطلاعات ناقص",
 IF(L465&lt;=DATA!$M$1,"رعایت شده","رعایت نشده"))))</f>
        <v/>
      </c>
      <c r="P465" s="79"/>
      <c r="Q465" s="77"/>
      <c r="R465" s="79"/>
      <c r="S465" s="79"/>
      <c r="T465" s="78"/>
      <c r="U465" s="80"/>
      <c r="V465" s="78"/>
      <c r="W465" s="77" t="str">
        <f t="array" ref="W465">IF(D465="","",_xlfn.XLOOKUP(D465,DATA!B:B,DATA!L:L,""))</f>
        <v/>
      </c>
      <c r="X465" s="78" t="str">
        <f t="array" ref="X465">IF(F465="","",_xlfn.XLOOKUP(F465,DATA!B:B,DATA!L:L,""))</f>
        <v/>
      </c>
    </row>
    <row r="466">
      <c r="A466" s="81"/>
      <c r="B466" s="79"/>
      <c r="C466" s="57" t="str">
        <f t="array" ref="C466">iferror(_xlfn.XLOOKUP(D466,DATA!B:B,DATA!A:A),"")</f>
        <v/>
      </c>
      <c r="D466" s="82"/>
      <c r="E466" s="89"/>
      <c r="F466" s="83"/>
      <c r="G466" s="78"/>
      <c r="H466" s="64" t="str">
        <f t="array" ref="H466">_xlfn.XLOOKUP(G466,DATA!D:D,DATA!E:E,"")</f>
        <v/>
      </c>
      <c r="I466" s="84"/>
      <c r="J466" s="23"/>
      <c r="K466" s="23"/>
      <c r="L466" s="66" t="str">
        <f t="shared" si="1"/>
        <v/>
      </c>
      <c r="M466" s="77"/>
      <c r="N466" s="78"/>
      <c r="O466" s="66" t="str">
        <f>IF(M466="","",
 IF(M466="عدم پاسخ","بدون پاسخ",
 IF(L466="","اطلاعات ناقص",
 IF(L466&lt;=DATA!$M$1,"رعایت شده","رعایت نشده"))))</f>
        <v/>
      </c>
      <c r="P466" s="79"/>
      <c r="Q466" s="77"/>
      <c r="R466" s="79"/>
      <c r="S466" s="79"/>
      <c r="T466" s="78"/>
      <c r="U466" s="80"/>
      <c r="V466" s="78"/>
      <c r="W466" s="77" t="str">
        <f t="array" ref="W466">IF(D466="","",_xlfn.XLOOKUP(D466,DATA!B:B,DATA!L:L,""))</f>
        <v/>
      </c>
      <c r="X466" s="78" t="str">
        <f t="array" ref="X466">IF(F466="","",_xlfn.XLOOKUP(F466,DATA!B:B,DATA!L:L,""))</f>
        <v/>
      </c>
    </row>
    <row r="467">
      <c r="A467" s="81"/>
      <c r="B467" s="79"/>
      <c r="C467" s="57" t="str">
        <f t="array" ref="C467">iferror(_xlfn.XLOOKUP(D467,DATA!B:B,DATA!A:A),"")</f>
        <v/>
      </c>
      <c r="D467" s="82"/>
      <c r="E467" s="89"/>
      <c r="F467" s="83"/>
      <c r="G467" s="78"/>
      <c r="H467" s="64" t="str">
        <f t="array" ref="H467">_xlfn.XLOOKUP(G467,DATA!D:D,DATA!E:E,"")</f>
        <v/>
      </c>
      <c r="I467" s="84"/>
      <c r="J467" s="23"/>
      <c r="K467" s="23"/>
      <c r="L467" s="66" t="str">
        <f t="shared" si="1"/>
        <v/>
      </c>
      <c r="M467" s="77"/>
      <c r="N467" s="78"/>
      <c r="O467" s="66" t="str">
        <f>IF(M467="","",
 IF(M467="عدم پاسخ","بدون پاسخ",
 IF(L467="","اطلاعات ناقص",
 IF(L467&lt;=DATA!$M$1,"رعایت شده","رعایت نشده"))))</f>
        <v/>
      </c>
      <c r="P467" s="79"/>
      <c r="Q467" s="77"/>
      <c r="R467" s="79"/>
      <c r="S467" s="79"/>
      <c r="T467" s="78"/>
      <c r="U467" s="80"/>
      <c r="V467" s="78"/>
      <c r="W467" s="77" t="str">
        <f t="array" ref="W467">IF(D467="","",_xlfn.XLOOKUP(D467,DATA!B:B,DATA!L:L,""))</f>
        <v/>
      </c>
      <c r="X467" s="78" t="str">
        <f t="array" ref="X467">IF(F467="","",_xlfn.XLOOKUP(F467,DATA!B:B,DATA!L:L,""))</f>
        <v/>
      </c>
    </row>
    <row r="468">
      <c r="A468" s="81"/>
      <c r="B468" s="79"/>
      <c r="C468" s="57" t="str">
        <f t="array" ref="C468">iferror(_xlfn.XLOOKUP(D468,DATA!B:B,DATA!A:A),"")</f>
        <v/>
      </c>
      <c r="D468" s="82"/>
      <c r="E468" s="89"/>
      <c r="F468" s="83"/>
      <c r="G468" s="78"/>
      <c r="H468" s="64" t="str">
        <f t="array" ref="H468">_xlfn.XLOOKUP(G468,DATA!D:D,DATA!E:E,"")</f>
        <v/>
      </c>
      <c r="I468" s="84"/>
      <c r="J468" s="23"/>
      <c r="K468" s="23"/>
      <c r="L468" s="66" t="str">
        <f t="shared" si="1"/>
        <v/>
      </c>
      <c r="M468" s="77"/>
      <c r="N468" s="78"/>
      <c r="O468" s="66" t="str">
        <f>IF(M468="","",
 IF(M468="عدم پاسخ","بدون پاسخ",
 IF(L468="","اطلاعات ناقص",
 IF(L468&lt;=DATA!$M$1,"رعایت شده","رعایت نشده"))))</f>
        <v/>
      </c>
      <c r="P468" s="79"/>
      <c r="Q468" s="77"/>
      <c r="R468" s="79"/>
      <c r="S468" s="79"/>
      <c r="T468" s="78"/>
      <c r="U468" s="80"/>
      <c r="V468" s="78"/>
      <c r="W468" s="77" t="str">
        <f t="array" ref="W468">IF(D468="","",_xlfn.XLOOKUP(D468,DATA!B:B,DATA!L:L,""))</f>
        <v/>
      </c>
      <c r="X468" s="78" t="str">
        <f t="array" ref="X468">IF(F468="","",_xlfn.XLOOKUP(F468,DATA!B:B,DATA!L:L,""))</f>
        <v/>
      </c>
    </row>
    <row r="469">
      <c r="A469" s="81"/>
      <c r="B469" s="79"/>
      <c r="C469" s="57" t="str">
        <f t="array" ref="C469">iferror(_xlfn.XLOOKUP(D469,DATA!B:B,DATA!A:A),"")</f>
        <v/>
      </c>
      <c r="D469" s="82"/>
      <c r="E469" s="89"/>
      <c r="F469" s="83"/>
      <c r="G469" s="78"/>
      <c r="H469" s="64" t="str">
        <f t="array" ref="H469">_xlfn.XLOOKUP(G469,DATA!D:D,DATA!E:E,"")</f>
        <v/>
      </c>
      <c r="I469" s="84"/>
      <c r="J469" s="23"/>
      <c r="K469" s="23"/>
      <c r="L469" s="66" t="str">
        <f t="shared" si="1"/>
        <v/>
      </c>
      <c r="M469" s="77"/>
      <c r="N469" s="78"/>
      <c r="O469" s="66" t="str">
        <f>IF(M469="","",
 IF(M469="عدم پاسخ","بدون پاسخ",
 IF(L469="","اطلاعات ناقص",
 IF(L469&lt;=DATA!$M$1,"رعایت شده","رعایت نشده"))))</f>
        <v/>
      </c>
      <c r="P469" s="79"/>
      <c r="Q469" s="77"/>
      <c r="R469" s="79"/>
      <c r="S469" s="79"/>
      <c r="T469" s="78"/>
      <c r="U469" s="80"/>
      <c r="V469" s="78"/>
      <c r="W469" s="77" t="str">
        <f t="array" ref="W469">IF(D469="","",_xlfn.XLOOKUP(D469,DATA!B:B,DATA!L:L,""))</f>
        <v/>
      </c>
      <c r="X469" s="78" t="str">
        <f t="array" ref="X469">IF(F469="","",_xlfn.XLOOKUP(F469,DATA!B:B,DATA!L:L,""))</f>
        <v/>
      </c>
    </row>
    <row r="470">
      <c r="A470" s="81"/>
      <c r="B470" s="79"/>
      <c r="C470" s="57" t="str">
        <f t="array" ref="C470">iferror(_xlfn.XLOOKUP(D470,DATA!B:B,DATA!A:A),"")</f>
        <v/>
      </c>
      <c r="D470" s="82"/>
      <c r="E470" s="89"/>
      <c r="F470" s="83"/>
      <c r="G470" s="78"/>
      <c r="H470" s="64" t="str">
        <f t="array" ref="H470">_xlfn.XLOOKUP(G470,DATA!D:D,DATA!E:E,"")</f>
        <v/>
      </c>
      <c r="I470" s="84"/>
      <c r="J470" s="23"/>
      <c r="K470" s="23"/>
      <c r="L470" s="66" t="str">
        <f t="shared" si="1"/>
        <v/>
      </c>
      <c r="M470" s="77"/>
      <c r="N470" s="78"/>
      <c r="O470" s="66" t="str">
        <f>IF(M470="","",
 IF(M470="عدم پاسخ","بدون پاسخ",
 IF(L470="","اطلاعات ناقص",
 IF(L470&lt;=DATA!$M$1,"رعایت شده","رعایت نشده"))))</f>
        <v/>
      </c>
      <c r="P470" s="79"/>
      <c r="Q470" s="77"/>
      <c r="R470" s="79"/>
      <c r="S470" s="79"/>
      <c r="T470" s="78"/>
      <c r="U470" s="80"/>
      <c r="V470" s="78"/>
      <c r="W470" s="77" t="str">
        <f t="array" ref="W470">IF(D470="","",_xlfn.XLOOKUP(D470,DATA!B:B,DATA!L:L,""))</f>
        <v/>
      </c>
      <c r="X470" s="78" t="str">
        <f t="array" ref="X470">IF(F470="","",_xlfn.XLOOKUP(F470,DATA!B:B,DATA!L:L,""))</f>
        <v/>
      </c>
    </row>
    <row r="471">
      <c r="A471" s="81"/>
      <c r="B471" s="79"/>
      <c r="C471" s="57" t="str">
        <f t="array" ref="C471">iferror(_xlfn.XLOOKUP(D471,DATA!B:B,DATA!A:A),"")</f>
        <v/>
      </c>
      <c r="D471" s="82"/>
      <c r="E471" s="89"/>
      <c r="F471" s="83"/>
      <c r="G471" s="78"/>
      <c r="H471" s="64" t="str">
        <f t="array" ref="H471">_xlfn.XLOOKUP(G471,DATA!D:D,DATA!E:E,"")</f>
        <v/>
      </c>
      <c r="I471" s="84"/>
      <c r="J471" s="23"/>
      <c r="K471" s="23"/>
      <c r="L471" s="66" t="str">
        <f t="shared" si="1"/>
        <v/>
      </c>
      <c r="M471" s="77"/>
      <c r="N471" s="78"/>
      <c r="O471" s="66" t="str">
        <f>IF(M471="","",
 IF(M471="عدم پاسخ","بدون پاسخ",
 IF(L471="","اطلاعات ناقص",
 IF(L471&lt;=DATA!$M$1,"رعایت شده","رعایت نشده"))))</f>
        <v/>
      </c>
      <c r="P471" s="79"/>
      <c r="Q471" s="77"/>
      <c r="R471" s="79"/>
      <c r="S471" s="79"/>
      <c r="T471" s="78"/>
      <c r="U471" s="80"/>
      <c r="V471" s="78"/>
      <c r="W471" s="77" t="str">
        <f t="array" ref="W471">IF(D471="","",_xlfn.XLOOKUP(D471,DATA!B:B,DATA!L:L,""))</f>
        <v/>
      </c>
      <c r="X471" s="78" t="str">
        <f t="array" ref="X471">IF(F471="","",_xlfn.XLOOKUP(F471,DATA!B:B,DATA!L:L,""))</f>
        <v/>
      </c>
    </row>
    <row r="472">
      <c r="A472" s="81"/>
      <c r="B472" s="79"/>
      <c r="C472" s="57" t="str">
        <f t="array" ref="C472">iferror(_xlfn.XLOOKUP(D472,DATA!B:B,DATA!A:A),"")</f>
        <v/>
      </c>
      <c r="D472" s="82"/>
      <c r="E472" s="89"/>
      <c r="F472" s="83"/>
      <c r="G472" s="78"/>
      <c r="H472" s="64" t="str">
        <f t="array" ref="H472">_xlfn.XLOOKUP(G472,DATA!D:D,DATA!E:E,"")</f>
        <v/>
      </c>
      <c r="I472" s="84"/>
      <c r="J472" s="23"/>
      <c r="K472" s="23"/>
      <c r="L472" s="66" t="str">
        <f t="shared" si="1"/>
        <v/>
      </c>
      <c r="M472" s="77"/>
      <c r="N472" s="78"/>
      <c r="O472" s="66" t="str">
        <f>IF(M472="","",
 IF(M472="عدم پاسخ","بدون پاسخ",
 IF(L472="","اطلاعات ناقص",
 IF(L472&lt;=DATA!$M$1,"رعایت شده","رعایت نشده"))))</f>
        <v/>
      </c>
      <c r="P472" s="79"/>
      <c r="Q472" s="77"/>
      <c r="R472" s="79"/>
      <c r="S472" s="79"/>
      <c r="T472" s="78"/>
      <c r="U472" s="80"/>
      <c r="V472" s="78"/>
      <c r="W472" s="77" t="str">
        <f t="array" ref="W472">IF(D472="","",_xlfn.XLOOKUP(D472,DATA!B:B,DATA!L:L,""))</f>
        <v/>
      </c>
      <c r="X472" s="78" t="str">
        <f t="array" ref="X472">IF(F472="","",_xlfn.XLOOKUP(F472,DATA!B:B,DATA!L:L,""))</f>
        <v/>
      </c>
    </row>
    <row r="473">
      <c r="A473" s="81"/>
      <c r="B473" s="79"/>
      <c r="C473" s="57" t="str">
        <f t="array" ref="C473">iferror(_xlfn.XLOOKUP(D473,DATA!B:B,DATA!A:A),"")</f>
        <v/>
      </c>
      <c r="D473" s="82"/>
      <c r="E473" s="89"/>
      <c r="F473" s="83"/>
      <c r="G473" s="78"/>
      <c r="H473" s="64" t="str">
        <f t="array" ref="H473">_xlfn.XLOOKUP(G473,DATA!D:D,DATA!E:E,"")</f>
        <v/>
      </c>
      <c r="I473" s="84"/>
      <c r="J473" s="23"/>
      <c r="K473" s="23"/>
      <c r="L473" s="66" t="str">
        <f t="shared" si="1"/>
        <v/>
      </c>
      <c r="M473" s="77"/>
      <c r="N473" s="78"/>
      <c r="O473" s="66" t="str">
        <f>IF(M473="","",
 IF(M473="عدم پاسخ","بدون پاسخ",
 IF(L473="","اطلاعات ناقص",
 IF(L473&lt;=DATA!$M$1,"رعایت شده","رعایت نشده"))))</f>
        <v/>
      </c>
      <c r="P473" s="79"/>
      <c r="Q473" s="77"/>
      <c r="R473" s="79"/>
      <c r="S473" s="79"/>
      <c r="T473" s="78"/>
      <c r="U473" s="80"/>
      <c r="V473" s="78"/>
      <c r="W473" s="77" t="str">
        <f t="array" ref="W473">IF(D473="","",_xlfn.XLOOKUP(D473,DATA!B:B,DATA!L:L,""))</f>
        <v/>
      </c>
      <c r="X473" s="78" t="str">
        <f t="array" ref="X473">IF(F473="","",_xlfn.XLOOKUP(F473,DATA!B:B,DATA!L:L,""))</f>
        <v/>
      </c>
    </row>
    <row r="474">
      <c r="A474" s="81"/>
      <c r="B474" s="79"/>
      <c r="C474" s="57" t="str">
        <f t="array" ref="C474">iferror(_xlfn.XLOOKUP(D474,DATA!B:B,DATA!A:A),"")</f>
        <v/>
      </c>
      <c r="D474" s="82"/>
      <c r="E474" s="89"/>
      <c r="F474" s="83"/>
      <c r="G474" s="78"/>
      <c r="H474" s="64" t="str">
        <f t="array" ref="H474">_xlfn.XLOOKUP(G474,DATA!D:D,DATA!E:E,"")</f>
        <v/>
      </c>
      <c r="I474" s="84"/>
      <c r="J474" s="23"/>
      <c r="K474" s="23"/>
      <c r="L474" s="66" t="str">
        <f t="shared" si="1"/>
        <v/>
      </c>
      <c r="M474" s="77"/>
      <c r="N474" s="78"/>
      <c r="O474" s="66" t="str">
        <f>IF(M474="","",
 IF(M474="عدم پاسخ","بدون پاسخ",
 IF(L474="","اطلاعات ناقص",
 IF(L474&lt;=DATA!$M$1,"رعایت شده","رعایت نشده"))))</f>
        <v/>
      </c>
      <c r="P474" s="79"/>
      <c r="Q474" s="77"/>
      <c r="R474" s="79"/>
      <c r="S474" s="79"/>
      <c r="T474" s="78"/>
      <c r="U474" s="80"/>
      <c r="V474" s="78"/>
      <c r="W474" s="77" t="str">
        <f t="array" ref="W474">IF(D474="","",_xlfn.XLOOKUP(D474,DATA!B:B,DATA!L:L,""))</f>
        <v/>
      </c>
      <c r="X474" s="78" t="str">
        <f t="array" ref="X474">IF(F474="","",_xlfn.XLOOKUP(F474,DATA!B:B,DATA!L:L,""))</f>
        <v/>
      </c>
    </row>
    <row r="475">
      <c r="A475" s="81"/>
      <c r="B475" s="79"/>
      <c r="C475" s="57" t="str">
        <f t="array" ref="C475">iferror(_xlfn.XLOOKUP(D475,DATA!B:B,DATA!A:A),"")</f>
        <v/>
      </c>
      <c r="D475" s="82"/>
      <c r="E475" s="89"/>
      <c r="F475" s="83"/>
      <c r="G475" s="78"/>
      <c r="H475" s="64" t="str">
        <f t="array" ref="H475">_xlfn.XLOOKUP(G475,DATA!D:D,DATA!E:E,"")</f>
        <v/>
      </c>
      <c r="I475" s="84"/>
      <c r="J475" s="23"/>
      <c r="K475" s="23"/>
      <c r="L475" s="66" t="str">
        <f t="shared" si="1"/>
        <v/>
      </c>
      <c r="M475" s="77"/>
      <c r="N475" s="78"/>
      <c r="O475" s="66" t="str">
        <f>IF(M475="","",
 IF(M475="عدم پاسخ","بدون پاسخ",
 IF(L475="","اطلاعات ناقص",
 IF(L475&lt;=DATA!$M$1,"رعایت شده","رعایت نشده"))))</f>
        <v/>
      </c>
      <c r="P475" s="79"/>
      <c r="Q475" s="77"/>
      <c r="R475" s="79"/>
      <c r="S475" s="79"/>
      <c r="T475" s="78"/>
      <c r="U475" s="80"/>
      <c r="V475" s="78"/>
      <c r="W475" s="77" t="str">
        <f t="array" ref="W475">IF(D475="","",_xlfn.XLOOKUP(D475,DATA!B:B,DATA!L:L,""))</f>
        <v/>
      </c>
      <c r="X475" s="78" t="str">
        <f t="array" ref="X475">IF(F475="","",_xlfn.XLOOKUP(F475,DATA!B:B,DATA!L:L,""))</f>
        <v/>
      </c>
    </row>
    <row r="476">
      <c r="A476" s="81"/>
      <c r="B476" s="79"/>
      <c r="C476" s="57" t="str">
        <f t="array" ref="C476">iferror(_xlfn.XLOOKUP(D476,DATA!B:B,DATA!A:A),"")</f>
        <v/>
      </c>
      <c r="D476" s="82"/>
      <c r="E476" s="89"/>
      <c r="F476" s="83"/>
      <c r="G476" s="78"/>
      <c r="H476" s="64" t="str">
        <f t="array" ref="H476">_xlfn.XLOOKUP(G476,DATA!D:D,DATA!E:E,"")</f>
        <v/>
      </c>
      <c r="I476" s="84"/>
      <c r="J476" s="23"/>
      <c r="K476" s="23"/>
      <c r="L476" s="66" t="str">
        <f t="shared" si="1"/>
        <v/>
      </c>
      <c r="M476" s="77"/>
      <c r="N476" s="78"/>
      <c r="O476" s="66" t="str">
        <f>IF(M476="","",
 IF(M476="عدم پاسخ","بدون پاسخ",
 IF(L476="","اطلاعات ناقص",
 IF(L476&lt;=DATA!$M$1,"رعایت شده","رعایت نشده"))))</f>
        <v/>
      </c>
      <c r="P476" s="79"/>
      <c r="Q476" s="77"/>
      <c r="R476" s="79"/>
      <c r="S476" s="79"/>
      <c r="T476" s="78"/>
      <c r="U476" s="80"/>
      <c r="V476" s="78"/>
      <c r="W476" s="77" t="str">
        <f t="array" ref="W476">IF(D476="","",_xlfn.XLOOKUP(D476,DATA!B:B,DATA!L:L,""))</f>
        <v/>
      </c>
      <c r="X476" s="78" t="str">
        <f t="array" ref="X476">IF(F476="","",_xlfn.XLOOKUP(F476,DATA!B:B,DATA!L:L,""))</f>
        <v/>
      </c>
    </row>
    <row r="477">
      <c r="A477" s="81"/>
      <c r="B477" s="79"/>
      <c r="C477" s="57" t="str">
        <f t="array" ref="C477">iferror(_xlfn.XLOOKUP(D477,DATA!B:B,DATA!A:A),"")</f>
        <v/>
      </c>
      <c r="D477" s="82"/>
      <c r="E477" s="89"/>
      <c r="F477" s="83"/>
      <c r="G477" s="78"/>
      <c r="H477" s="64" t="str">
        <f t="array" ref="H477">_xlfn.XLOOKUP(G477,DATA!D:D,DATA!E:E,"")</f>
        <v/>
      </c>
      <c r="I477" s="84"/>
      <c r="J477" s="23"/>
      <c r="K477" s="23"/>
      <c r="L477" s="66" t="str">
        <f t="shared" si="1"/>
        <v/>
      </c>
      <c r="M477" s="77"/>
      <c r="N477" s="78"/>
      <c r="O477" s="66" t="str">
        <f>IF(M477="","",
 IF(M477="عدم پاسخ","بدون پاسخ",
 IF(L477="","اطلاعات ناقص",
 IF(L477&lt;=DATA!$M$1,"رعایت شده","رعایت نشده"))))</f>
        <v/>
      </c>
      <c r="P477" s="79"/>
      <c r="Q477" s="77"/>
      <c r="R477" s="79"/>
      <c r="S477" s="79"/>
      <c r="T477" s="78"/>
      <c r="U477" s="80"/>
      <c r="V477" s="78"/>
      <c r="W477" s="77" t="str">
        <f t="array" ref="W477">IF(D477="","",_xlfn.XLOOKUP(D477,DATA!B:B,DATA!L:L,""))</f>
        <v/>
      </c>
      <c r="X477" s="78" t="str">
        <f t="array" ref="X477">IF(F477="","",_xlfn.XLOOKUP(F477,DATA!B:B,DATA!L:L,""))</f>
        <v/>
      </c>
    </row>
    <row r="478">
      <c r="A478" s="81"/>
      <c r="B478" s="79"/>
      <c r="C478" s="57" t="str">
        <f t="array" ref="C478">iferror(_xlfn.XLOOKUP(D478,DATA!B:B,DATA!A:A),"")</f>
        <v/>
      </c>
      <c r="D478" s="82"/>
      <c r="E478" s="89"/>
      <c r="F478" s="83"/>
      <c r="G478" s="78"/>
      <c r="H478" s="64" t="str">
        <f t="array" ref="H478">_xlfn.XLOOKUP(G478,DATA!D:D,DATA!E:E,"")</f>
        <v/>
      </c>
      <c r="I478" s="84"/>
      <c r="J478" s="23"/>
      <c r="K478" s="23"/>
      <c r="L478" s="66" t="str">
        <f t="shared" si="1"/>
        <v/>
      </c>
      <c r="M478" s="77"/>
      <c r="N478" s="78"/>
      <c r="O478" s="66" t="str">
        <f>IF(M478="","",
 IF(M478="عدم پاسخ","بدون پاسخ",
 IF(L478="","اطلاعات ناقص",
 IF(L478&lt;=DATA!$M$1,"رعایت شده","رعایت نشده"))))</f>
        <v/>
      </c>
      <c r="P478" s="79"/>
      <c r="Q478" s="77"/>
      <c r="R478" s="79"/>
      <c r="S478" s="79"/>
      <c r="T478" s="78"/>
      <c r="U478" s="80"/>
      <c r="V478" s="78"/>
      <c r="W478" s="77" t="str">
        <f t="array" ref="W478">IF(D478="","",_xlfn.XLOOKUP(D478,DATA!B:B,DATA!L:L,""))</f>
        <v/>
      </c>
      <c r="X478" s="78" t="str">
        <f t="array" ref="X478">IF(F478="","",_xlfn.XLOOKUP(F478,DATA!B:B,DATA!L:L,""))</f>
        <v/>
      </c>
    </row>
    <row r="479">
      <c r="A479" s="81"/>
      <c r="B479" s="79"/>
      <c r="C479" s="57" t="str">
        <f t="array" ref="C479">iferror(_xlfn.XLOOKUP(D479,DATA!B:B,DATA!A:A),"")</f>
        <v/>
      </c>
      <c r="D479" s="82"/>
      <c r="E479" s="89"/>
      <c r="F479" s="83"/>
      <c r="G479" s="78"/>
      <c r="H479" s="64" t="str">
        <f t="array" ref="H479">_xlfn.XLOOKUP(G479,DATA!D:D,DATA!E:E,"")</f>
        <v/>
      </c>
      <c r="I479" s="84"/>
      <c r="J479" s="23"/>
      <c r="K479" s="23"/>
      <c r="L479" s="66" t="str">
        <f t="shared" si="1"/>
        <v/>
      </c>
      <c r="M479" s="77"/>
      <c r="N479" s="78"/>
      <c r="O479" s="66" t="str">
        <f>IF(M479="","",
 IF(M479="عدم پاسخ","بدون پاسخ",
 IF(L479="","اطلاعات ناقص",
 IF(L479&lt;=DATA!$M$1,"رعایت شده","رعایت نشده"))))</f>
        <v/>
      </c>
      <c r="P479" s="79"/>
      <c r="Q479" s="77"/>
      <c r="R479" s="79"/>
      <c r="S479" s="79"/>
      <c r="T479" s="78"/>
      <c r="U479" s="80"/>
      <c r="V479" s="78"/>
      <c r="W479" s="77" t="str">
        <f t="array" ref="W479">IF(D479="","",_xlfn.XLOOKUP(D479,DATA!B:B,DATA!L:L,""))</f>
        <v/>
      </c>
      <c r="X479" s="78" t="str">
        <f t="array" ref="X479">IF(F479="","",_xlfn.XLOOKUP(F479,DATA!B:B,DATA!L:L,""))</f>
        <v/>
      </c>
    </row>
    <row r="480">
      <c r="A480" s="81"/>
      <c r="B480" s="79"/>
      <c r="C480" s="57" t="str">
        <f t="array" ref="C480">iferror(_xlfn.XLOOKUP(D480,DATA!B:B,DATA!A:A),"")</f>
        <v/>
      </c>
      <c r="D480" s="82"/>
      <c r="E480" s="89"/>
      <c r="F480" s="83"/>
      <c r="G480" s="78"/>
      <c r="H480" s="64" t="str">
        <f t="array" ref="H480">_xlfn.XLOOKUP(G480,DATA!D:D,DATA!E:E,"")</f>
        <v/>
      </c>
      <c r="I480" s="84"/>
      <c r="J480" s="23"/>
      <c r="K480" s="23"/>
      <c r="L480" s="66" t="str">
        <f t="shared" si="1"/>
        <v/>
      </c>
      <c r="M480" s="77"/>
      <c r="N480" s="78"/>
      <c r="O480" s="66" t="str">
        <f>IF(M480="","",
 IF(M480="عدم پاسخ","بدون پاسخ",
 IF(L480="","اطلاعات ناقص",
 IF(L480&lt;=DATA!$M$1,"رعایت شده","رعایت نشده"))))</f>
        <v/>
      </c>
      <c r="P480" s="79"/>
      <c r="Q480" s="77"/>
      <c r="R480" s="79"/>
      <c r="S480" s="79"/>
      <c r="T480" s="78"/>
      <c r="U480" s="80"/>
      <c r="V480" s="78"/>
      <c r="W480" s="77" t="str">
        <f t="array" ref="W480">IF(D480="","",_xlfn.XLOOKUP(D480,DATA!B:B,DATA!L:L,""))</f>
        <v/>
      </c>
      <c r="X480" s="78" t="str">
        <f t="array" ref="X480">IF(F480="","",_xlfn.XLOOKUP(F480,DATA!B:B,DATA!L:L,""))</f>
        <v/>
      </c>
    </row>
    <row r="481">
      <c r="A481" s="81"/>
      <c r="B481" s="79"/>
      <c r="C481" s="57" t="str">
        <f t="array" ref="C481">iferror(_xlfn.XLOOKUP(D481,DATA!B:B,DATA!A:A),"")</f>
        <v/>
      </c>
      <c r="D481" s="82"/>
      <c r="E481" s="89"/>
      <c r="F481" s="83"/>
      <c r="G481" s="78"/>
      <c r="H481" s="64" t="str">
        <f t="array" ref="H481">_xlfn.XLOOKUP(G481,DATA!D:D,DATA!E:E,"")</f>
        <v/>
      </c>
      <c r="I481" s="84"/>
      <c r="J481" s="23"/>
      <c r="K481" s="23"/>
      <c r="L481" s="66" t="str">
        <f t="shared" si="1"/>
        <v/>
      </c>
      <c r="M481" s="77"/>
      <c r="N481" s="78"/>
      <c r="O481" s="66" t="str">
        <f>IF(M481="","",
 IF(M481="عدم پاسخ","بدون پاسخ",
 IF(L481="","اطلاعات ناقص",
 IF(L481&lt;=DATA!$M$1,"رعایت شده","رعایت نشده"))))</f>
        <v/>
      </c>
      <c r="P481" s="79"/>
      <c r="Q481" s="77"/>
      <c r="R481" s="79"/>
      <c r="S481" s="79"/>
      <c r="T481" s="78"/>
      <c r="U481" s="80"/>
      <c r="V481" s="78"/>
      <c r="W481" s="77" t="str">
        <f t="array" ref="W481">IF(D481="","",_xlfn.XLOOKUP(D481,DATA!B:B,DATA!L:L,""))</f>
        <v/>
      </c>
      <c r="X481" s="78" t="str">
        <f t="array" ref="X481">IF(F481="","",_xlfn.XLOOKUP(F481,DATA!B:B,DATA!L:L,""))</f>
        <v/>
      </c>
    </row>
    <row r="482">
      <c r="A482" s="81"/>
      <c r="B482" s="79"/>
      <c r="C482" s="57" t="str">
        <f t="array" ref="C482">iferror(_xlfn.XLOOKUP(D482,DATA!B:B,DATA!A:A),"")</f>
        <v/>
      </c>
      <c r="D482" s="82"/>
      <c r="E482" s="89"/>
      <c r="F482" s="83"/>
      <c r="G482" s="78"/>
      <c r="H482" s="64" t="str">
        <f t="array" ref="H482">_xlfn.XLOOKUP(G482,DATA!D:D,DATA!E:E,"")</f>
        <v/>
      </c>
      <c r="I482" s="84"/>
      <c r="J482" s="23"/>
      <c r="K482" s="23"/>
      <c r="L482" s="66" t="str">
        <f t="shared" si="1"/>
        <v/>
      </c>
      <c r="M482" s="77"/>
      <c r="N482" s="78"/>
      <c r="O482" s="66" t="str">
        <f>IF(M482="","",
 IF(M482="عدم پاسخ","بدون پاسخ",
 IF(L482="","اطلاعات ناقص",
 IF(L482&lt;=DATA!$M$1,"رعایت شده","رعایت نشده"))))</f>
        <v/>
      </c>
      <c r="P482" s="79"/>
      <c r="Q482" s="77"/>
      <c r="R482" s="79"/>
      <c r="S482" s="79"/>
      <c r="T482" s="78"/>
      <c r="U482" s="80"/>
      <c r="V482" s="78"/>
      <c r="W482" s="77" t="str">
        <f t="array" ref="W482">IF(D482="","",_xlfn.XLOOKUP(D482,DATA!B:B,DATA!L:L,""))</f>
        <v/>
      </c>
      <c r="X482" s="78" t="str">
        <f t="array" ref="X482">IF(F482="","",_xlfn.XLOOKUP(F482,DATA!B:B,DATA!L:L,""))</f>
        <v/>
      </c>
    </row>
    <row r="483">
      <c r="A483" s="81"/>
      <c r="B483" s="79"/>
      <c r="C483" s="57" t="str">
        <f t="array" ref="C483">iferror(_xlfn.XLOOKUP(D483,DATA!B:B,DATA!A:A),"")</f>
        <v/>
      </c>
      <c r="D483" s="82"/>
      <c r="E483" s="89"/>
      <c r="F483" s="83"/>
      <c r="G483" s="78"/>
      <c r="H483" s="64" t="str">
        <f t="array" ref="H483">_xlfn.XLOOKUP(G483,DATA!D:D,DATA!E:E,"")</f>
        <v/>
      </c>
      <c r="I483" s="84"/>
      <c r="J483" s="23"/>
      <c r="K483" s="23"/>
      <c r="L483" s="66" t="str">
        <f t="shared" si="1"/>
        <v/>
      </c>
      <c r="M483" s="77"/>
      <c r="N483" s="78"/>
      <c r="O483" s="66" t="str">
        <f>IF(M483="","",
 IF(M483="عدم پاسخ","بدون پاسخ",
 IF(L483="","اطلاعات ناقص",
 IF(L483&lt;=DATA!$M$1,"رعایت شده","رعایت نشده"))))</f>
        <v/>
      </c>
      <c r="P483" s="79"/>
      <c r="Q483" s="77"/>
      <c r="R483" s="79"/>
      <c r="S483" s="79"/>
      <c r="T483" s="78"/>
      <c r="U483" s="80"/>
      <c r="V483" s="78"/>
      <c r="W483" s="77" t="str">
        <f t="array" ref="W483">IF(D483="","",_xlfn.XLOOKUP(D483,DATA!B:B,DATA!L:L,""))</f>
        <v/>
      </c>
      <c r="X483" s="78" t="str">
        <f t="array" ref="X483">IF(F483="","",_xlfn.XLOOKUP(F483,DATA!B:B,DATA!L:L,""))</f>
        <v/>
      </c>
    </row>
    <row r="484">
      <c r="A484" s="81"/>
      <c r="B484" s="79"/>
      <c r="C484" s="57" t="str">
        <f t="array" ref="C484">iferror(_xlfn.XLOOKUP(D484,DATA!B:B,DATA!A:A),"")</f>
        <v/>
      </c>
      <c r="D484" s="82"/>
      <c r="E484" s="89"/>
      <c r="F484" s="83"/>
      <c r="G484" s="78"/>
      <c r="H484" s="64" t="str">
        <f t="array" ref="H484">_xlfn.XLOOKUP(G484,DATA!D:D,DATA!E:E,"")</f>
        <v/>
      </c>
      <c r="I484" s="84"/>
      <c r="J484" s="23"/>
      <c r="K484" s="23"/>
      <c r="L484" s="66" t="str">
        <f t="shared" si="1"/>
        <v/>
      </c>
      <c r="M484" s="77"/>
      <c r="N484" s="78"/>
      <c r="O484" s="66" t="str">
        <f>IF(M484="","",
 IF(M484="عدم پاسخ","بدون پاسخ",
 IF(L484="","اطلاعات ناقص",
 IF(L484&lt;=DATA!$M$1,"رعایت شده","رعایت نشده"))))</f>
        <v/>
      </c>
      <c r="P484" s="79"/>
      <c r="Q484" s="77"/>
      <c r="R484" s="79"/>
      <c r="S484" s="79"/>
      <c r="T484" s="78"/>
      <c r="U484" s="80"/>
      <c r="V484" s="78"/>
      <c r="W484" s="77" t="str">
        <f t="array" ref="W484">IF(D484="","",_xlfn.XLOOKUP(D484,DATA!B:B,DATA!L:L,""))</f>
        <v/>
      </c>
      <c r="X484" s="78" t="str">
        <f t="array" ref="X484">IF(F484="","",_xlfn.XLOOKUP(F484,DATA!B:B,DATA!L:L,""))</f>
        <v/>
      </c>
    </row>
    <row r="485">
      <c r="A485" s="81"/>
      <c r="B485" s="79"/>
      <c r="C485" s="57" t="str">
        <f t="array" ref="C485">iferror(_xlfn.XLOOKUP(D485,DATA!B:B,DATA!A:A),"")</f>
        <v/>
      </c>
      <c r="D485" s="82"/>
      <c r="E485" s="89"/>
      <c r="F485" s="83"/>
      <c r="G485" s="78"/>
      <c r="H485" s="64" t="str">
        <f t="array" ref="H485">_xlfn.XLOOKUP(G485,DATA!D:D,DATA!E:E,"")</f>
        <v/>
      </c>
      <c r="I485" s="84"/>
      <c r="J485" s="23"/>
      <c r="K485" s="23"/>
      <c r="L485" s="66" t="str">
        <f t="shared" si="1"/>
        <v/>
      </c>
      <c r="M485" s="77"/>
      <c r="N485" s="78"/>
      <c r="O485" s="66" t="str">
        <f>IF(M485="","",
 IF(M485="عدم پاسخ","بدون پاسخ",
 IF(L485="","اطلاعات ناقص",
 IF(L485&lt;=DATA!$M$1,"رعایت شده","رعایت نشده"))))</f>
        <v/>
      </c>
      <c r="P485" s="79"/>
      <c r="Q485" s="77"/>
      <c r="R485" s="79"/>
      <c r="S485" s="79"/>
      <c r="T485" s="78"/>
      <c r="U485" s="80"/>
      <c r="V485" s="78"/>
      <c r="W485" s="77" t="str">
        <f t="array" ref="W485">IF(D485="","",_xlfn.XLOOKUP(D485,DATA!B:B,DATA!L:L,""))</f>
        <v/>
      </c>
      <c r="X485" s="78" t="str">
        <f t="array" ref="X485">IF(F485="","",_xlfn.XLOOKUP(F485,DATA!B:B,DATA!L:L,""))</f>
        <v/>
      </c>
    </row>
    <row r="486">
      <c r="A486" s="81"/>
      <c r="B486" s="79"/>
      <c r="C486" s="57" t="str">
        <f t="array" ref="C486">iferror(_xlfn.XLOOKUP(D486,DATA!B:B,DATA!A:A),"")</f>
        <v/>
      </c>
      <c r="D486" s="82"/>
      <c r="E486" s="89"/>
      <c r="F486" s="83"/>
      <c r="G486" s="78"/>
      <c r="H486" s="64" t="str">
        <f t="array" ref="H486">_xlfn.XLOOKUP(G486,DATA!D:D,DATA!E:E,"")</f>
        <v/>
      </c>
      <c r="I486" s="84"/>
      <c r="J486" s="23"/>
      <c r="K486" s="23"/>
      <c r="L486" s="66" t="str">
        <f t="shared" si="1"/>
        <v/>
      </c>
      <c r="M486" s="77"/>
      <c r="N486" s="78"/>
      <c r="O486" s="66" t="str">
        <f>IF(M486="","",
 IF(M486="عدم پاسخ","بدون پاسخ",
 IF(L486="","اطلاعات ناقص",
 IF(L486&lt;=DATA!$M$1,"رعایت شده","رعایت نشده"))))</f>
        <v/>
      </c>
      <c r="P486" s="79"/>
      <c r="Q486" s="77"/>
      <c r="R486" s="79"/>
      <c r="S486" s="79"/>
      <c r="T486" s="78"/>
      <c r="U486" s="80"/>
      <c r="V486" s="78"/>
      <c r="W486" s="77" t="str">
        <f t="array" ref="W486">IF(D486="","",_xlfn.XLOOKUP(D486,DATA!B:B,DATA!L:L,""))</f>
        <v/>
      </c>
      <c r="X486" s="78" t="str">
        <f t="array" ref="X486">IF(F486="","",_xlfn.XLOOKUP(F486,DATA!B:B,DATA!L:L,""))</f>
        <v/>
      </c>
    </row>
    <row r="487">
      <c r="A487" s="81"/>
      <c r="B487" s="79"/>
      <c r="C487" s="57" t="str">
        <f t="array" ref="C487">iferror(_xlfn.XLOOKUP(D487,DATA!B:B,DATA!A:A),"")</f>
        <v/>
      </c>
      <c r="D487" s="82"/>
      <c r="E487" s="89"/>
      <c r="F487" s="83"/>
      <c r="G487" s="78"/>
      <c r="H487" s="64" t="str">
        <f t="array" ref="H487">_xlfn.XLOOKUP(G487,DATA!D:D,DATA!E:E,"")</f>
        <v/>
      </c>
      <c r="I487" s="84"/>
      <c r="J487" s="23"/>
      <c r="K487" s="23"/>
      <c r="L487" s="66" t="str">
        <f t="shared" si="1"/>
        <v/>
      </c>
      <c r="M487" s="77"/>
      <c r="N487" s="78"/>
      <c r="O487" s="66" t="str">
        <f>IF(M487="","",
 IF(M487="عدم پاسخ","بدون پاسخ",
 IF(L487="","اطلاعات ناقص",
 IF(L487&lt;=DATA!$M$1,"رعایت شده","رعایت نشده"))))</f>
        <v/>
      </c>
      <c r="P487" s="79"/>
      <c r="Q487" s="77"/>
      <c r="R487" s="79"/>
      <c r="S487" s="79"/>
      <c r="T487" s="78"/>
      <c r="U487" s="80"/>
      <c r="V487" s="78"/>
      <c r="W487" s="77" t="str">
        <f t="array" ref="W487">IF(D487="","",_xlfn.XLOOKUP(D487,DATA!B:B,DATA!L:L,""))</f>
        <v/>
      </c>
      <c r="X487" s="78" t="str">
        <f t="array" ref="X487">IF(F487="","",_xlfn.XLOOKUP(F487,DATA!B:B,DATA!L:L,""))</f>
        <v/>
      </c>
    </row>
    <row r="488">
      <c r="A488" s="81"/>
      <c r="B488" s="79"/>
      <c r="C488" s="57" t="str">
        <f t="array" ref="C488">iferror(_xlfn.XLOOKUP(D488,DATA!B:B,DATA!A:A),"")</f>
        <v/>
      </c>
      <c r="D488" s="82"/>
      <c r="E488" s="89"/>
      <c r="F488" s="83"/>
      <c r="G488" s="78"/>
      <c r="H488" s="64" t="str">
        <f t="array" ref="H488">_xlfn.XLOOKUP(G488,DATA!D:D,DATA!E:E,"")</f>
        <v/>
      </c>
      <c r="I488" s="84"/>
      <c r="J488" s="23"/>
      <c r="K488" s="23"/>
      <c r="L488" s="66" t="str">
        <f t="shared" si="1"/>
        <v/>
      </c>
      <c r="M488" s="77"/>
      <c r="N488" s="78"/>
      <c r="O488" s="66" t="str">
        <f>IF(M488="","",
 IF(M488="عدم پاسخ","بدون پاسخ",
 IF(L488="","اطلاعات ناقص",
 IF(L488&lt;=DATA!$M$1,"رعایت شده","رعایت نشده"))))</f>
        <v/>
      </c>
      <c r="P488" s="79"/>
      <c r="Q488" s="77"/>
      <c r="R488" s="79"/>
      <c r="S488" s="79"/>
      <c r="T488" s="78"/>
      <c r="U488" s="80"/>
      <c r="V488" s="78"/>
      <c r="W488" s="77" t="str">
        <f t="array" ref="W488">IF(D488="","",_xlfn.XLOOKUP(D488,DATA!B:B,DATA!L:L,""))</f>
        <v/>
      </c>
      <c r="X488" s="78" t="str">
        <f t="array" ref="X488">IF(F488="","",_xlfn.XLOOKUP(F488,DATA!B:B,DATA!L:L,""))</f>
        <v/>
      </c>
    </row>
    <row r="489">
      <c r="A489" s="81"/>
      <c r="B489" s="79"/>
      <c r="C489" s="57" t="str">
        <f t="array" ref="C489">iferror(_xlfn.XLOOKUP(D489,DATA!B:B,DATA!A:A),"")</f>
        <v/>
      </c>
      <c r="D489" s="82"/>
      <c r="E489" s="89"/>
      <c r="F489" s="83"/>
      <c r="G489" s="78"/>
      <c r="H489" s="64" t="str">
        <f t="array" ref="H489">_xlfn.XLOOKUP(G489,DATA!D:D,DATA!E:E,"")</f>
        <v/>
      </c>
      <c r="I489" s="84"/>
      <c r="J489" s="23"/>
      <c r="K489" s="23"/>
      <c r="L489" s="66" t="str">
        <f t="shared" si="1"/>
        <v/>
      </c>
      <c r="M489" s="77"/>
      <c r="N489" s="78"/>
      <c r="O489" s="66" t="str">
        <f>IF(M489="","",
 IF(M489="عدم پاسخ","بدون پاسخ",
 IF(L489="","اطلاعات ناقص",
 IF(L489&lt;=DATA!$M$1,"رعایت شده","رعایت نشده"))))</f>
        <v/>
      </c>
      <c r="P489" s="79"/>
      <c r="Q489" s="77"/>
      <c r="R489" s="79"/>
      <c r="S489" s="79"/>
      <c r="T489" s="78"/>
      <c r="U489" s="80"/>
      <c r="V489" s="78"/>
      <c r="W489" s="77" t="str">
        <f t="array" ref="W489">IF(D489="","",_xlfn.XLOOKUP(D489,DATA!B:B,DATA!L:L,""))</f>
        <v/>
      </c>
      <c r="X489" s="78" t="str">
        <f t="array" ref="X489">IF(F489="","",_xlfn.XLOOKUP(F489,DATA!B:B,DATA!L:L,""))</f>
        <v/>
      </c>
    </row>
    <row r="490">
      <c r="A490" s="81"/>
      <c r="B490" s="79"/>
      <c r="C490" s="57" t="str">
        <f t="array" ref="C490">iferror(_xlfn.XLOOKUP(D490,DATA!B:B,DATA!A:A),"")</f>
        <v/>
      </c>
      <c r="D490" s="82"/>
      <c r="E490" s="89"/>
      <c r="F490" s="83"/>
      <c r="G490" s="78"/>
      <c r="H490" s="64" t="str">
        <f t="array" ref="H490">_xlfn.XLOOKUP(G490,DATA!D:D,DATA!E:E,"")</f>
        <v/>
      </c>
      <c r="I490" s="84"/>
      <c r="J490" s="23"/>
      <c r="K490" s="23"/>
      <c r="L490" s="66" t="str">
        <f t="shared" si="1"/>
        <v/>
      </c>
      <c r="M490" s="77"/>
      <c r="N490" s="78"/>
      <c r="O490" s="66" t="str">
        <f>IF(M490="","",
 IF(M490="عدم پاسخ","بدون پاسخ",
 IF(L490="","اطلاعات ناقص",
 IF(L490&lt;=DATA!$M$1,"رعایت شده","رعایت نشده"))))</f>
        <v/>
      </c>
      <c r="P490" s="79"/>
      <c r="Q490" s="77"/>
      <c r="R490" s="79"/>
      <c r="S490" s="79"/>
      <c r="T490" s="78"/>
      <c r="U490" s="80"/>
      <c r="V490" s="78"/>
      <c r="W490" s="77" t="str">
        <f t="array" ref="W490">IF(D490="","",_xlfn.XLOOKUP(D490,DATA!B:B,DATA!L:L,""))</f>
        <v/>
      </c>
      <c r="X490" s="78" t="str">
        <f t="array" ref="X490">IF(F490="","",_xlfn.XLOOKUP(F490,DATA!B:B,DATA!L:L,""))</f>
        <v/>
      </c>
    </row>
    <row r="491">
      <c r="A491" s="81"/>
      <c r="B491" s="79"/>
      <c r="C491" s="57" t="str">
        <f t="array" ref="C491">iferror(_xlfn.XLOOKUP(D491,DATA!B:B,DATA!A:A),"")</f>
        <v/>
      </c>
      <c r="D491" s="82"/>
      <c r="E491" s="89"/>
      <c r="F491" s="83"/>
      <c r="G491" s="78"/>
      <c r="H491" s="64" t="str">
        <f t="array" ref="H491">_xlfn.XLOOKUP(G491,DATA!D:D,DATA!E:E,"")</f>
        <v/>
      </c>
      <c r="I491" s="84"/>
      <c r="J491" s="23"/>
      <c r="K491" s="23"/>
      <c r="L491" s="66" t="str">
        <f t="shared" si="1"/>
        <v/>
      </c>
      <c r="M491" s="77"/>
      <c r="N491" s="78"/>
      <c r="O491" s="66" t="str">
        <f>IF(M491="","",
 IF(M491="عدم پاسخ","بدون پاسخ",
 IF(L491="","اطلاعات ناقص",
 IF(L491&lt;=DATA!$M$1,"رعایت شده","رعایت نشده"))))</f>
        <v/>
      </c>
      <c r="P491" s="79"/>
      <c r="Q491" s="77"/>
      <c r="R491" s="79"/>
      <c r="S491" s="79"/>
      <c r="T491" s="78"/>
      <c r="U491" s="80"/>
      <c r="V491" s="78"/>
      <c r="W491" s="77" t="str">
        <f t="array" ref="W491">IF(D491="","",_xlfn.XLOOKUP(D491,DATA!B:B,DATA!L:L,""))</f>
        <v/>
      </c>
      <c r="X491" s="78" t="str">
        <f t="array" ref="X491">IF(F491="","",_xlfn.XLOOKUP(F491,DATA!B:B,DATA!L:L,""))</f>
        <v/>
      </c>
    </row>
    <row r="492">
      <c r="A492" s="81"/>
      <c r="B492" s="79"/>
      <c r="C492" s="57" t="str">
        <f t="array" ref="C492">iferror(_xlfn.XLOOKUP(D492,DATA!B:B,DATA!A:A),"")</f>
        <v/>
      </c>
      <c r="D492" s="82"/>
      <c r="E492" s="89"/>
      <c r="F492" s="83"/>
      <c r="G492" s="78"/>
      <c r="H492" s="64" t="str">
        <f t="array" ref="H492">_xlfn.XLOOKUP(G492,DATA!D:D,DATA!E:E,"")</f>
        <v/>
      </c>
      <c r="I492" s="84"/>
      <c r="J492" s="23"/>
      <c r="K492" s="23"/>
      <c r="L492" s="66" t="str">
        <f t="shared" si="1"/>
        <v/>
      </c>
      <c r="M492" s="77"/>
      <c r="N492" s="78"/>
      <c r="O492" s="66" t="str">
        <f>IF(M492="","",
 IF(M492="عدم پاسخ","بدون پاسخ",
 IF(L492="","اطلاعات ناقص",
 IF(L492&lt;=DATA!$M$1,"رعایت شده","رعایت نشده"))))</f>
        <v/>
      </c>
      <c r="P492" s="79"/>
      <c r="Q492" s="77"/>
      <c r="R492" s="79"/>
      <c r="S492" s="79"/>
      <c r="T492" s="78"/>
      <c r="U492" s="80"/>
      <c r="V492" s="78"/>
      <c r="W492" s="77" t="str">
        <f t="array" ref="W492">IF(D492="","",_xlfn.XLOOKUP(D492,DATA!B:B,DATA!L:L,""))</f>
        <v/>
      </c>
      <c r="X492" s="78" t="str">
        <f t="array" ref="X492">IF(F492="","",_xlfn.XLOOKUP(F492,DATA!B:B,DATA!L:L,""))</f>
        <v/>
      </c>
    </row>
    <row r="493">
      <c r="A493" s="81"/>
      <c r="B493" s="79"/>
      <c r="C493" s="57" t="str">
        <f t="array" ref="C493">iferror(_xlfn.XLOOKUP(D493,DATA!B:B,DATA!A:A),"")</f>
        <v/>
      </c>
      <c r="D493" s="82"/>
      <c r="E493" s="89"/>
      <c r="F493" s="83"/>
      <c r="G493" s="78"/>
      <c r="H493" s="64" t="str">
        <f t="array" ref="H493">_xlfn.XLOOKUP(G493,DATA!D:D,DATA!E:E,"")</f>
        <v/>
      </c>
      <c r="I493" s="84"/>
      <c r="J493" s="23"/>
      <c r="K493" s="23"/>
      <c r="L493" s="66" t="str">
        <f t="shared" si="1"/>
        <v/>
      </c>
      <c r="M493" s="77"/>
      <c r="N493" s="78"/>
      <c r="O493" s="66" t="str">
        <f>IF(M493="","",
 IF(M493="عدم پاسخ","بدون پاسخ",
 IF(L493="","اطلاعات ناقص",
 IF(L493&lt;=DATA!$M$1,"رعایت شده","رعایت نشده"))))</f>
        <v/>
      </c>
      <c r="P493" s="79"/>
      <c r="Q493" s="77"/>
      <c r="R493" s="79"/>
      <c r="S493" s="79"/>
      <c r="T493" s="78"/>
      <c r="U493" s="80"/>
      <c r="V493" s="78"/>
      <c r="W493" s="77" t="str">
        <f t="array" ref="W493">IF(D493="","",_xlfn.XLOOKUP(D493,DATA!B:B,DATA!L:L,""))</f>
        <v/>
      </c>
      <c r="X493" s="78" t="str">
        <f t="array" ref="X493">IF(F493="","",_xlfn.XLOOKUP(F493,DATA!B:B,DATA!L:L,""))</f>
        <v/>
      </c>
    </row>
    <row r="494">
      <c r="A494" s="81"/>
      <c r="B494" s="79"/>
      <c r="C494" s="57" t="str">
        <f t="array" ref="C494">iferror(_xlfn.XLOOKUP(D494,DATA!B:B,DATA!A:A),"")</f>
        <v/>
      </c>
      <c r="D494" s="82"/>
      <c r="E494" s="89"/>
      <c r="F494" s="83"/>
      <c r="G494" s="78"/>
      <c r="H494" s="64" t="str">
        <f t="array" ref="H494">_xlfn.XLOOKUP(G494,DATA!D:D,DATA!E:E,"")</f>
        <v/>
      </c>
      <c r="I494" s="84"/>
      <c r="J494" s="23"/>
      <c r="K494" s="23"/>
      <c r="L494" s="66" t="str">
        <f t="shared" si="1"/>
        <v/>
      </c>
      <c r="M494" s="77"/>
      <c r="N494" s="78"/>
      <c r="O494" s="66" t="str">
        <f>IF(M494="","",
 IF(M494="عدم پاسخ","بدون پاسخ",
 IF(L494="","اطلاعات ناقص",
 IF(L494&lt;=DATA!$M$1,"رعایت شده","رعایت نشده"))))</f>
        <v/>
      </c>
      <c r="P494" s="79"/>
      <c r="Q494" s="77"/>
      <c r="R494" s="79"/>
      <c r="S494" s="79"/>
      <c r="T494" s="78"/>
      <c r="U494" s="80"/>
      <c r="V494" s="78"/>
      <c r="W494" s="77" t="str">
        <f t="array" ref="W494">IF(D494="","",_xlfn.XLOOKUP(D494,DATA!B:B,DATA!L:L,""))</f>
        <v/>
      </c>
      <c r="X494" s="78" t="str">
        <f t="array" ref="X494">IF(F494="","",_xlfn.XLOOKUP(F494,DATA!B:B,DATA!L:L,""))</f>
        <v/>
      </c>
    </row>
    <row r="495">
      <c r="A495" s="81"/>
      <c r="B495" s="79"/>
      <c r="C495" s="57" t="str">
        <f t="array" ref="C495">iferror(_xlfn.XLOOKUP(D495,DATA!B:B,DATA!A:A),"")</f>
        <v/>
      </c>
      <c r="D495" s="82"/>
      <c r="E495" s="89"/>
      <c r="F495" s="83"/>
      <c r="G495" s="78"/>
      <c r="H495" s="64" t="str">
        <f t="array" ref="H495">_xlfn.XLOOKUP(G495,DATA!D:D,DATA!E:E,"")</f>
        <v/>
      </c>
      <c r="I495" s="84"/>
      <c r="J495" s="23"/>
      <c r="K495" s="23"/>
      <c r="L495" s="66" t="str">
        <f t="shared" si="1"/>
        <v/>
      </c>
      <c r="M495" s="77"/>
      <c r="N495" s="78"/>
      <c r="O495" s="66" t="str">
        <f>IF(M495="","",
 IF(M495="عدم پاسخ","بدون پاسخ",
 IF(L495="","اطلاعات ناقص",
 IF(L495&lt;=DATA!$M$1,"رعایت شده","رعایت نشده"))))</f>
        <v/>
      </c>
      <c r="P495" s="79"/>
      <c r="Q495" s="77"/>
      <c r="R495" s="79"/>
      <c r="S495" s="79"/>
      <c r="T495" s="78"/>
      <c r="U495" s="80"/>
      <c r="V495" s="78"/>
      <c r="W495" s="77" t="str">
        <f t="array" ref="W495">IF(D495="","",_xlfn.XLOOKUP(D495,DATA!B:B,DATA!L:L,""))</f>
        <v/>
      </c>
      <c r="X495" s="78" t="str">
        <f t="array" ref="X495">IF(F495="","",_xlfn.XLOOKUP(F495,DATA!B:B,DATA!L:L,""))</f>
        <v/>
      </c>
    </row>
    <row r="496">
      <c r="A496" s="81"/>
      <c r="B496" s="79"/>
      <c r="C496" s="57" t="str">
        <f t="array" ref="C496">iferror(_xlfn.XLOOKUP(D496,DATA!B:B,DATA!A:A),"")</f>
        <v/>
      </c>
      <c r="D496" s="82"/>
      <c r="E496" s="89"/>
      <c r="F496" s="83"/>
      <c r="G496" s="78"/>
      <c r="H496" s="64" t="str">
        <f t="array" ref="H496">_xlfn.XLOOKUP(G496,DATA!D:D,DATA!E:E,"")</f>
        <v/>
      </c>
      <c r="I496" s="84"/>
      <c r="J496" s="23"/>
      <c r="K496" s="23"/>
      <c r="L496" s="66" t="str">
        <f t="shared" si="1"/>
        <v/>
      </c>
      <c r="M496" s="77"/>
      <c r="N496" s="78"/>
      <c r="O496" s="66" t="str">
        <f>IF(M496="","",
 IF(M496="عدم پاسخ","بدون پاسخ",
 IF(L496="","اطلاعات ناقص",
 IF(L496&lt;=DATA!$M$1,"رعایت شده","رعایت نشده"))))</f>
        <v/>
      </c>
      <c r="P496" s="79"/>
      <c r="Q496" s="77"/>
      <c r="R496" s="79"/>
      <c r="S496" s="79"/>
      <c r="T496" s="78"/>
      <c r="U496" s="80"/>
      <c r="V496" s="78"/>
      <c r="W496" s="77" t="str">
        <f t="array" ref="W496">IF(D496="","",_xlfn.XLOOKUP(D496,DATA!B:B,DATA!L:L,""))</f>
        <v/>
      </c>
      <c r="X496" s="78" t="str">
        <f t="array" ref="X496">IF(F496="","",_xlfn.XLOOKUP(F496,DATA!B:B,DATA!L:L,""))</f>
        <v/>
      </c>
    </row>
    <row r="497">
      <c r="A497" s="81"/>
      <c r="B497" s="79"/>
      <c r="C497" s="57" t="str">
        <f t="array" ref="C497">iferror(_xlfn.XLOOKUP(D497,DATA!B:B,DATA!A:A),"")</f>
        <v/>
      </c>
      <c r="D497" s="82"/>
      <c r="E497" s="89"/>
      <c r="F497" s="83"/>
      <c r="G497" s="78"/>
      <c r="H497" s="64" t="str">
        <f t="array" ref="H497">_xlfn.XLOOKUP(G497,DATA!D:D,DATA!E:E,"")</f>
        <v/>
      </c>
      <c r="I497" s="84"/>
      <c r="J497" s="23"/>
      <c r="K497" s="23"/>
      <c r="L497" s="66" t="str">
        <f t="shared" si="1"/>
        <v/>
      </c>
      <c r="M497" s="77"/>
      <c r="N497" s="78"/>
      <c r="O497" s="66" t="str">
        <f>IF(M497="","",
 IF(M497="عدم پاسخ","بدون پاسخ",
 IF(L497="","اطلاعات ناقص",
 IF(L497&lt;=DATA!$M$1,"رعایت شده","رعایت نشده"))))</f>
        <v/>
      </c>
      <c r="P497" s="79"/>
      <c r="Q497" s="77"/>
      <c r="R497" s="79"/>
      <c r="S497" s="79"/>
      <c r="T497" s="78"/>
      <c r="U497" s="80"/>
      <c r="V497" s="78"/>
      <c r="W497" s="77" t="str">
        <f t="array" ref="W497">IF(D497="","",_xlfn.XLOOKUP(D497,DATA!B:B,DATA!L:L,""))</f>
        <v/>
      </c>
      <c r="X497" s="78" t="str">
        <f t="array" ref="X497">IF(F497="","",_xlfn.XLOOKUP(F497,DATA!B:B,DATA!L:L,""))</f>
        <v/>
      </c>
    </row>
    <row r="498">
      <c r="A498" s="81"/>
      <c r="B498" s="79"/>
      <c r="C498" s="57" t="str">
        <f t="array" ref="C498">iferror(_xlfn.XLOOKUP(D498,DATA!B:B,DATA!A:A),"")</f>
        <v/>
      </c>
      <c r="D498" s="82"/>
      <c r="E498" s="89"/>
      <c r="F498" s="83"/>
      <c r="G498" s="78"/>
      <c r="H498" s="64" t="str">
        <f t="array" ref="H498">_xlfn.XLOOKUP(G498,DATA!D:D,DATA!E:E,"")</f>
        <v/>
      </c>
      <c r="I498" s="84"/>
      <c r="J498" s="23"/>
      <c r="K498" s="23"/>
      <c r="L498" s="66" t="str">
        <f t="shared" si="1"/>
        <v/>
      </c>
      <c r="M498" s="77"/>
      <c r="N498" s="78"/>
      <c r="O498" s="66" t="str">
        <f>IF(M498="","",
 IF(M498="عدم پاسخ","بدون پاسخ",
 IF(L498="","اطلاعات ناقص",
 IF(L498&lt;=DATA!$M$1,"رعایت شده","رعایت نشده"))))</f>
        <v/>
      </c>
      <c r="P498" s="79"/>
      <c r="Q498" s="77"/>
      <c r="R498" s="79"/>
      <c r="S498" s="79"/>
      <c r="T498" s="78"/>
      <c r="U498" s="80"/>
      <c r="V498" s="78"/>
      <c r="W498" s="77" t="str">
        <f t="array" ref="W498">IF(D498="","",_xlfn.XLOOKUP(D498,DATA!B:B,DATA!L:L,""))</f>
        <v/>
      </c>
      <c r="X498" s="78" t="str">
        <f t="array" ref="X498">IF(F498="","",_xlfn.XLOOKUP(F498,DATA!B:B,DATA!L:L,""))</f>
        <v/>
      </c>
    </row>
    <row r="499">
      <c r="A499" s="81"/>
      <c r="B499" s="79"/>
      <c r="C499" s="57" t="str">
        <f t="array" ref="C499">iferror(_xlfn.XLOOKUP(D499,DATA!B:B,DATA!A:A),"")</f>
        <v/>
      </c>
      <c r="D499" s="82"/>
      <c r="E499" s="89"/>
      <c r="F499" s="83"/>
      <c r="G499" s="78"/>
      <c r="H499" s="64" t="str">
        <f t="array" ref="H499">_xlfn.XLOOKUP(G499,DATA!D:D,DATA!E:E,"")</f>
        <v/>
      </c>
      <c r="I499" s="84"/>
      <c r="J499" s="23"/>
      <c r="K499" s="23"/>
      <c r="L499" s="66" t="str">
        <f t="shared" si="1"/>
        <v/>
      </c>
      <c r="M499" s="77"/>
      <c r="N499" s="78"/>
      <c r="O499" s="66" t="str">
        <f>IF(M499="","",
 IF(M499="عدم پاسخ","بدون پاسخ",
 IF(L499="","اطلاعات ناقص",
 IF(L499&lt;=DATA!$M$1,"رعایت شده","رعایت نشده"))))</f>
        <v/>
      </c>
      <c r="P499" s="79"/>
      <c r="Q499" s="77"/>
      <c r="R499" s="79"/>
      <c r="S499" s="79"/>
      <c r="T499" s="78"/>
      <c r="U499" s="80"/>
      <c r="V499" s="78"/>
      <c r="W499" s="77" t="str">
        <f t="array" ref="W499">IF(D499="","",_xlfn.XLOOKUP(D499,DATA!B:B,DATA!L:L,""))</f>
        <v/>
      </c>
      <c r="X499" s="78" t="str">
        <f t="array" ref="X499">IF(F499="","",_xlfn.XLOOKUP(F499,DATA!B:B,DATA!L:L,""))</f>
        <v/>
      </c>
    </row>
    <row r="500">
      <c r="A500" s="81"/>
      <c r="B500" s="79"/>
      <c r="C500" s="57" t="str">
        <f t="array" ref="C500">iferror(_xlfn.XLOOKUP(D500,DATA!B:B,DATA!A:A),"")</f>
        <v/>
      </c>
      <c r="D500" s="82"/>
      <c r="E500" s="89"/>
      <c r="F500" s="83"/>
      <c r="G500" s="78"/>
      <c r="H500" s="64" t="str">
        <f t="array" ref="H500">_xlfn.XLOOKUP(G500,DATA!D:D,DATA!E:E,"")</f>
        <v/>
      </c>
      <c r="I500" s="84"/>
      <c r="J500" s="23"/>
      <c r="K500" s="23"/>
      <c r="L500" s="66" t="str">
        <f t="shared" si="1"/>
        <v/>
      </c>
      <c r="M500" s="77"/>
      <c r="N500" s="78"/>
      <c r="O500" s="66" t="str">
        <f>IF(M500="","",
 IF(M500="عدم پاسخ","بدون پاسخ",
 IF(L500="","اطلاعات ناقص",
 IF(L500&lt;=DATA!$M$1,"رعایت شده","رعایت نشده"))))</f>
        <v/>
      </c>
      <c r="P500" s="79"/>
      <c r="Q500" s="77"/>
      <c r="R500" s="79"/>
      <c r="S500" s="79"/>
      <c r="T500" s="78"/>
      <c r="U500" s="80"/>
      <c r="V500" s="78"/>
      <c r="W500" s="77" t="str">
        <f t="array" ref="W500">IF(D500="","",_xlfn.XLOOKUP(D500,DATA!B:B,DATA!L:L,""))</f>
        <v/>
      </c>
      <c r="X500" s="78" t="str">
        <f t="array" ref="X500">IF(F500="","",_xlfn.XLOOKUP(F500,DATA!B:B,DATA!L:L,""))</f>
        <v/>
      </c>
    </row>
    <row r="501">
      <c r="A501" s="81"/>
      <c r="B501" s="79"/>
      <c r="C501" s="57" t="str">
        <f t="array" ref="C501">iferror(_xlfn.XLOOKUP(D501,DATA!B:B,DATA!A:A),"")</f>
        <v/>
      </c>
      <c r="D501" s="82"/>
      <c r="E501" s="89"/>
      <c r="F501" s="83"/>
      <c r="G501" s="78"/>
      <c r="H501" s="64" t="str">
        <f t="array" ref="H501">_xlfn.XLOOKUP(G501,DATA!D:D,DATA!E:E,"")</f>
        <v/>
      </c>
      <c r="I501" s="84"/>
      <c r="J501" s="23"/>
      <c r="K501" s="23"/>
      <c r="L501" s="66" t="str">
        <f t="shared" si="1"/>
        <v/>
      </c>
      <c r="M501" s="77"/>
      <c r="N501" s="78"/>
      <c r="O501" s="66" t="str">
        <f>IF(M501="","",
 IF(M501="عدم پاسخ","بدون پاسخ",
 IF(L501="","اطلاعات ناقص",
 IF(L501&lt;=DATA!$M$1,"رعایت شده","رعایت نشده"))))</f>
        <v/>
      </c>
      <c r="P501" s="79"/>
      <c r="Q501" s="77"/>
      <c r="R501" s="79"/>
      <c r="S501" s="79"/>
      <c r="T501" s="78"/>
      <c r="U501" s="80"/>
      <c r="V501" s="78"/>
      <c r="W501" s="77" t="str">
        <f t="array" ref="W501">IF(D501="","",_xlfn.XLOOKUP(D501,DATA!B:B,DATA!L:L,""))</f>
        <v/>
      </c>
      <c r="X501" s="78" t="str">
        <f t="array" ref="X501">IF(F501="","",_xlfn.XLOOKUP(F501,DATA!B:B,DATA!L:L,""))</f>
        <v/>
      </c>
    </row>
    <row r="502">
      <c r="A502" s="81"/>
      <c r="B502" s="79"/>
      <c r="C502" s="57" t="str">
        <f t="array" ref="C502">iferror(_xlfn.XLOOKUP(D502,DATA!B:B,DATA!A:A),"")</f>
        <v/>
      </c>
      <c r="D502" s="82"/>
      <c r="E502" s="89"/>
      <c r="F502" s="83"/>
      <c r="G502" s="78"/>
      <c r="H502" s="64" t="str">
        <f t="array" ref="H502">_xlfn.XLOOKUP(G502,DATA!D:D,DATA!E:E,"")</f>
        <v/>
      </c>
      <c r="I502" s="84"/>
      <c r="J502" s="23"/>
      <c r="K502" s="23"/>
      <c r="L502" s="66" t="str">
        <f t="shared" si="1"/>
        <v/>
      </c>
      <c r="M502" s="77"/>
      <c r="N502" s="78"/>
      <c r="O502" s="66" t="str">
        <f>IF(M502="","",
 IF(M502="عدم پاسخ","بدون پاسخ",
 IF(L502="","اطلاعات ناقص",
 IF(L502&lt;=DATA!$M$1,"رعایت شده","رعایت نشده"))))</f>
        <v/>
      </c>
      <c r="P502" s="79"/>
      <c r="Q502" s="77"/>
      <c r="R502" s="79"/>
      <c r="S502" s="79"/>
      <c r="T502" s="78"/>
      <c r="U502" s="80"/>
      <c r="V502" s="78"/>
      <c r="W502" s="77" t="str">
        <f t="array" ref="W502">IF(D502="","",_xlfn.XLOOKUP(D502,DATA!B:B,DATA!L:L,""))</f>
        <v/>
      </c>
      <c r="X502" s="78" t="str">
        <f t="array" ref="X502">IF(F502="","",_xlfn.XLOOKUP(F502,DATA!B:B,DATA!L:L,""))</f>
        <v/>
      </c>
    </row>
    <row r="503">
      <c r="A503" s="81"/>
      <c r="B503" s="79"/>
      <c r="C503" s="57" t="str">
        <f t="array" ref="C503">iferror(_xlfn.XLOOKUP(D503,DATA!B:B,DATA!A:A),"")</f>
        <v/>
      </c>
      <c r="D503" s="82"/>
      <c r="E503" s="89"/>
      <c r="F503" s="83"/>
      <c r="G503" s="78"/>
      <c r="H503" s="64" t="str">
        <f t="array" ref="H503">_xlfn.XLOOKUP(G503,DATA!D:D,DATA!E:E,"")</f>
        <v/>
      </c>
      <c r="I503" s="84"/>
      <c r="J503" s="23"/>
      <c r="K503" s="23"/>
      <c r="L503" s="66" t="str">
        <f t="shared" si="1"/>
        <v/>
      </c>
      <c r="M503" s="77"/>
      <c r="N503" s="78"/>
      <c r="O503" s="66" t="str">
        <f>IF(M503="","",
 IF(M503="عدم پاسخ","بدون پاسخ",
 IF(L503="","اطلاعات ناقص",
 IF(L503&lt;=DATA!$M$1,"رعایت شده","رعایت نشده"))))</f>
        <v/>
      </c>
      <c r="P503" s="79"/>
      <c r="Q503" s="77"/>
      <c r="R503" s="79"/>
      <c r="S503" s="79"/>
      <c r="T503" s="78"/>
      <c r="U503" s="80"/>
      <c r="V503" s="78"/>
      <c r="W503" s="77" t="str">
        <f t="array" ref="W503">IF(D503="","",_xlfn.XLOOKUP(D503,DATA!B:B,DATA!L:L,""))</f>
        <v/>
      </c>
      <c r="X503" s="78" t="str">
        <f t="array" ref="X503">IF(F503="","",_xlfn.XLOOKUP(F503,DATA!B:B,DATA!L:L,""))</f>
        <v/>
      </c>
    </row>
    <row r="504">
      <c r="A504" s="81"/>
      <c r="B504" s="79"/>
      <c r="C504" s="57" t="str">
        <f t="array" ref="C504">iferror(_xlfn.XLOOKUP(D504,DATA!B:B,DATA!A:A),"")</f>
        <v/>
      </c>
      <c r="D504" s="82"/>
      <c r="E504" s="89"/>
      <c r="F504" s="83"/>
      <c r="G504" s="78"/>
      <c r="H504" s="64" t="str">
        <f t="array" ref="H504">_xlfn.XLOOKUP(G504,DATA!D:D,DATA!E:E,"")</f>
        <v/>
      </c>
      <c r="I504" s="84"/>
      <c r="J504" s="23"/>
      <c r="K504" s="23"/>
      <c r="L504" s="66" t="str">
        <f t="shared" si="1"/>
        <v/>
      </c>
      <c r="M504" s="77"/>
      <c r="N504" s="78"/>
      <c r="O504" s="66" t="str">
        <f>IF(M504="","",
 IF(M504="عدم پاسخ","بدون پاسخ",
 IF(L504="","اطلاعات ناقص",
 IF(L504&lt;=DATA!$M$1,"رعایت شده","رعایت نشده"))))</f>
        <v/>
      </c>
      <c r="P504" s="79"/>
      <c r="Q504" s="77"/>
      <c r="R504" s="79"/>
      <c r="S504" s="79"/>
      <c r="T504" s="78"/>
      <c r="U504" s="80"/>
      <c r="V504" s="78"/>
      <c r="W504" s="77" t="str">
        <f t="array" ref="W504">IF(D504="","",_xlfn.XLOOKUP(D504,DATA!B:B,DATA!L:L,""))</f>
        <v/>
      </c>
      <c r="X504" s="78" t="str">
        <f t="array" ref="X504">IF(F504="","",_xlfn.XLOOKUP(F504,DATA!B:B,DATA!L:L,""))</f>
        <v/>
      </c>
    </row>
    <row r="505">
      <c r="A505" s="81"/>
      <c r="B505" s="79"/>
      <c r="C505" s="57" t="str">
        <f t="array" ref="C505">iferror(_xlfn.XLOOKUP(D505,DATA!B:B,DATA!A:A),"")</f>
        <v/>
      </c>
      <c r="D505" s="82"/>
      <c r="E505" s="89"/>
      <c r="F505" s="83"/>
      <c r="G505" s="78"/>
      <c r="H505" s="64" t="str">
        <f t="array" ref="H505">_xlfn.XLOOKUP(G505,DATA!D:D,DATA!E:E,"")</f>
        <v/>
      </c>
      <c r="I505" s="84"/>
      <c r="J505" s="23"/>
      <c r="K505" s="23"/>
      <c r="L505" s="66" t="str">
        <f t="shared" si="1"/>
        <v/>
      </c>
      <c r="M505" s="77"/>
      <c r="N505" s="78"/>
      <c r="O505" s="66" t="str">
        <f>IF(M505="","",
 IF(M505="عدم پاسخ","بدون پاسخ",
 IF(L505="","اطلاعات ناقص",
 IF(L505&lt;=DATA!$M$1,"رعایت شده","رعایت نشده"))))</f>
        <v/>
      </c>
      <c r="P505" s="79"/>
      <c r="Q505" s="77"/>
      <c r="R505" s="79"/>
      <c r="S505" s="79"/>
      <c r="T505" s="78"/>
      <c r="U505" s="80"/>
      <c r="V505" s="78"/>
      <c r="W505" s="77" t="str">
        <f t="array" ref="W505">IF(D505="","",_xlfn.XLOOKUP(D505,DATA!B:B,DATA!L:L,""))</f>
        <v/>
      </c>
      <c r="X505" s="78" t="str">
        <f t="array" ref="X505">IF(F505="","",_xlfn.XLOOKUP(F505,DATA!B:B,DATA!L:L,""))</f>
        <v/>
      </c>
    </row>
    <row r="506">
      <c r="A506" s="81"/>
      <c r="B506" s="79"/>
      <c r="C506" s="57" t="str">
        <f t="array" ref="C506">iferror(_xlfn.XLOOKUP(D506,DATA!B:B,DATA!A:A),"")</f>
        <v/>
      </c>
      <c r="D506" s="82"/>
      <c r="E506" s="89"/>
      <c r="F506" s="83"/>
      <c r="G506" s="78"/>
      <c r="H506" s="64" t="str">
        <f t="array" ref="H506">_xlfn.XLOOKUP(G506,DATA!D:D,DATA!E:E,"")</f>
        <v/>
      </c>
      <c r="I506" s="84"/>
      <c r="J506" s="23"/>
      <c r="K506" s="23"/>
      <c r="L506" s="66" t="str">
        <f t="shared" si="1"/>
        <v/>
      </c>
      <c r="M506" s="77"/>
      <c r="N506" s="78"/>
      <c r="O506" s="66" t="str">
        <f>IF(M506="","",
 IF(M506="عدم پاسخ","بدون پاسخ",
 IF(L506="","اطلاعات ناقص",
 IF(L506&lt;=DATA!$M$1,"رعایت شده","رعایت نشده"))))</f>
        <v/>
      </c>
      <c r="P506" s="79"/>
      <c r="Q506" s="77"/>
      <c r="R506" s="79"/>
      <c r="S506" s="79"/>
      <c r="T506" s="78"/>
      <c r="U506" s="80"/>
      <c r="V506" s="78"/>
      <c r="W506" s="77" t="str">
        <f t="array" ref="W506">IF(D506="","",_xlfn.XLOOKUP(D506,DATA!B:B,DATA!L:L,""))</f>
        <v/>
      </c>
      <c r="X506" s="78" t="str">
        <f t="array" ref="X506">IF(F506="","",_xlfn.XLOOKUP(F506,DATA!B:B,DATA!L:L,""))</f>
        <v/>
      </c>
    </row>
    <row r="507">
      <c r="A507" s="81"/>
      <c r="B507" s="79"/>
      <c r="C507" s="57" t="str">
        <f t="array" ref="C507">iferror(_xlfn.XLOOKUP(D507,DATA!B:B,DATA!A:A),"")</f>
        <v/>
      </c>
      <c r="D507" s="82"/>
      <c r="E507" s="89"/>
      <c r="F507" s="83"/>
      <c r="G507" s="78"/>
      <c r="H507" s="64" t="str">
        <f t="array" ref="H507">_xlfn.XLOOKUP(G507,DATA!D:D,DATA!E:E,"")</f>
        <v/>
      </c>
      <c r="I507" s="84"/>
      <c r="J507" s="23"/>
      <c r="K507" s="23"/>
      <c r="L507" s="66" t="str">
        <f t="shared" si="1"/>
        <v/>
      </c>
      <c r="M507" s="77"/>
      <c r="N507" s="78"/>
      <c r="O507" s="66" t="str">
        <f>IF(M507="","",
 IF(M507="عدم پاسخ","بدون پاسخ",
 IF(L507="","اطلاعات ناقص",
 IF(L507&lt;=DATA!$M$1,"رعایت شده","رعایت نشده"))))</f>
        <v/>
      </c>
      <c r="P507" s="79"/>
      <c r="Q507" s="77"/>
      <c r="R507" s="79"/>
      <c r="S507" s="79"/>
      <c r="T507" s="78"/>
      <c r="U507" s="80"/>
      <c r="V507" s="78"/>
      <c r="W507" s="77" t="str">
        <f t="array" ref="W507">IF(D507="","",_xlfn.XLOOKUP(D507,DATA!B:B,DATA!L:L,""))</f>
        <v/>
      </c>
      <c r="X507" s="78" t="str">
        <f t="array" ref="X507">IF(F507="","",_xlfn.XLOOKUP(F507,DATA!B:B,DATA!L:L,""))</f>
        <v/>
      </c>
    </row>
    <row r="508">
      <c r="A508" s="81"/>
      <c r="B508" s="79"/>
      <c r="C508" s="57" t="str">
        <f t="array" ref="C508">iferror(_xlfn.XLOOKUP(D508,DATA!B:B,DATA!A:A),"")</f>
        <v/>
      </c>
      <c r="D508" s="82"/>
      <c r="E508" s="89"/>
      <c r="F508" s="83"/>
      <c r="G508" s="78"/>
      <c r="H508" s="64" t="str">
        <f t="array" ref="H508">_xlfn.XLOOKUP(G508,DATA!D:D,DATA!E:E,"")</f>
        <v/>
      </c>
      <c r="I508" s="84"/>
      <c r="J508" s="23"/>
      <c r="K508" s="23"/>
      <c r="L508" s="66" t="str">
        <f t="shared" si="1"/>
        <v/>
      </c>
      <c r="M508" s="77"/>
      <c r="N508" s="78"/>
      <c r="O508" s="66" t="str">
        <f>IF(M508="","",
 IF(M508="عدم پاسخ","بدون پاسخ",
 IF(L508="","اطلاعات ناقص",
 IF(L508&lt;=DATA!$M$1,"رعایت شده","رعایت نشده"))))</f>
        <v/>
      </c>
      <c r="P508" s="79"/>
      <c r="Q508" s="77"/>
      <c r="R508" s="79"/>
      <c r="S508" s="79"/>
      <c r="T508" s="78"/>
      <c r="U508" s="80"/>
      <c r="V508" s="78"/>
      <c r="W508" s="77" t="str">
        <f t="array" ref="W508">IF(D508="","",_xlfn.XLOOKUP(D508,DATA!B:B,DATA!L:L,""))</f>
        <v/>
      </c>
      <c r="X508" s="78" t="str">
        <f t="array" ref="X508">IF(F508="","",_xlfn.XLOOKUP(F508,DATA!B:B,DATA!L:L,""))</f>
        <v/>
      </c>
    </row>
    <row r="509">
      <c r="A509" s="81"/>
      <c r="B509" s="79"/>
      <c r="C509" s="57" t="str">
        <f t="array" ref="C509">iferror(_xlfn.XLOOKUP(D509,DATA!B:B,DATA!A:A),"")</f>
        <v/>
      </c>
      <c r="D509" s="82"/>
      <c r="E509" s="89"/>
      <c r="F509" s="83"/>
      <c r="G509" s="78"/>
      <c r="H509" s="64" t="str">
        <f t="array" ref="H509">_xlfn.XLOOKUP(G509,DATA!D:D,DATA!E:E,"")</f>
        <v/>
      </c>
      <c r="I509" s="84"/>
      <c r="J509" s="23"/>
      <c r="K509" s="23"/>
      <c r="L509" s="66" t="str">
        <f t="shared" si="1"/>
        <v/>
      </c>
      <c r="M509" s="77"/>
      <c r="N509" s="78"/>
      <c r="O509" s="66" t="str">
        <f>IF(M509="","",
 IF(M509="عدم پاسخ","بدون پاسخ",
 IF(L509="","اطلاعات ناقص",
 IF(L509&lt;=DATA!$M$1,"رعایت شده","رعایت نشده"))))</f>
        <v/>
      </c>
      <c r="P509" s="79"/>
      <c r="Q509" s="77"/>
      <c r="R509" s="79"/>
      <c r="S509" s="79"/>
      <c r="T509" s="78"/>
      <c r="U509" s="80"/>
      <c r="V509" s="78"/>
      <c r="W509" s="77" t="str">
        <f t="array" ref="W509">IF(D509="","",_xlfn.XLOOKUP(D509,DATA!B:B,DATA!L:L,""))</f>
        <v/>
      </c>
      <c r="X509" s="78" t="str">
        <f t="array" ref="X509">IF(F509="","",_xlfn.XLOOKUP(F509,DATA!B:B,DATA!L:L,""))</f>
        <v/>
      </c>
    </row>
    <row r="510">
      <c r="A510" s="81"/>
      <c r="B510" s="79"/>
      <c r="C510" s="57" t="str">
        <f t="array" ref="C510">iferror(_xlfn.XLOOKUP(D510,DATA!B:B,DATA!A:A),"")</f>
        <v/>
      </c>
      <c r="D510" s="82"/>
      <c r="E510" s="89"/>
      <c r="F510" s="83"/>
      <c r="G510" s="78"/>
      <c r="H510" s="64" t="str">
        <f t="array" ref="H510">_xlfn.XLOOKUP(G510,DATA!D:D,DATA!E:E,"")</f>
        <v/>
      </c>
      <c r="I510" s="84"/>
      <c r="J510" s="23"/>
      <c r="K510" s="23"/>
      <c r="L510" s="66" t="str">
        <f t="shared" si="1"/>
        <v/>
      </c>
      <c r="M510" s="77"/>
      <c r="N510" s="78"/>
      <c r="O510" s="66" t="str">
        <f>IF(M510="","",
 IF(M510="عدم پاسخ","بدون پاسخ",
 IF(L510="","اطلاعات ناقص",
 IF(L510&lt;=DATA!$M$1,"رعایت شده","رعایت نشده"))))</f>
        <v/>
      </c>
      <c r="P510" s="79"/>
      <c r="Q510" s="77"/>
      <c r="R510" s="79"/>
      <c r="S510" s="79"/>
      <c r="T510" s="78"/>
      <c r="U510" s="80"/>
      <c r="V510" s="78"/>
      <c r="W510" s="77" t="str">
        <f t="array" ref="W510">IF(D510="","",_xlfn.XLOOKUP(D510,DATA!B:B,DATA!L:L,""))</f>
        <v/>
      </c>
      <c r="X510" s="78" t="str">
        <f t="array" ref="X510">IF(F510="","",_xlfn.XLOOKUP(F510,DATA!B:B,DATA!L:L,""))</f>
        <v/>
      </c>
    </row>
    <row r="511">
      <c r="A511" s="81"/>
      <c r="B511" s="79"/>
      <c r="C511" s="57" t="str">
        <f t="array" ref="C511">iferror(_xlfn.XLOOKUP(D511,DATA!B:B,DATA!A:A),"")</f>
        <v/>
      </c>
      <c r="D511" s="82"/>
      <c r="E511" s="89"/>
      <c r="F511" s="83"/>
      <c r="G511" s="78"/>
      <c r="H511" s="64" t="str">
        <f t="array" ref="H511">_xlfn.XLOOKUP(G511,DATA!D:D,DATA!E:E,"")</f>
        <v/>
      </c>
      <c r="I511" s="84"/>
      <c r="J511" s="23"/>
      <c r="K511" s="23"/>
      <c r="L511" s="66" t="str">
        <f t="shared" si="1"/>
        <v/>
      </c>
      <c r="M511" s="77"/>
      <c r="N511" s="78"/>
      <c r="O511" s="66" t="str">
        <f>IF(M511="","",
 IF(M511="عدم پاسخ","بدون پاسخ",
 IF(L511="","اطلاعات ناقص",
 IF(L511&lt;=DATA!$M$1,"رعایت شده","رعایت نشده"))))</f>
        <v/>
      </c>
      <c r="P511" s="79"/>
      <c r="Q511" s="77"/>
      <c r="R511" s="79"/>
      <c r="S511" s="79"/>
      <c r="T511" s="78"/>
      <c r="U511" s="80"/>
      <c r="V511" s="78"/>
      <c r="W511" s="77" t="str">
        <f t="array" ref="W511">IF(D511="","",_xlfn.XLOOKUP(D511,DATA!B:B,DATA!L:L,""))</f>
        <v/>
      </c>
      <c r="X511" s="78" t="str">
        <f t="array" ref="X511">IF(F511="","",_xlfn.XLOOKUP(F511,DATA!B:B,DATA!L:L,""))</f>
        <v/>
      </c>
    </row>
    <row r="512">
      <c r="A512" s="81"/>
      <c r="B512" s="79"/>
      <c r="C512" s="57" t="str">
        <f t="array" ref="C512">iferror(_xlfn.XLOOKUP(D512,DATA!B:B,DATA!A:A),"")</f>
        <v/>
      </c>
      <c r="D512" s="82"/>
      <c r="E512" s="89"/>
      <c r="F512" s="83"/>
      <c r="G512" s="78"/>
      <c r="H512" s="64" t="str">
        <f t="array" ref="H512">_xlfn.XLOOKUP(G512,DATA!D:D,DATA!E:E,"")</f>
        <v/>
      </c>
      <c r="I512" s="84"/>
      <c r="J512" s="23"/>
      <c r="K512" s="23"/>
      <c r="L512" s="66" t="str">
        <f t="shared" si="1"/>
        <v/>
      </c>
      <c r="M512" s="77"/>
      <c r="N512" s="78"/>
      <c r="O512" s="66" t="str">
        <f>IF(M512="","",
 IF(M512="عدم پاسخ","بدون پاسخ",
 IF(L512="","اطلاعات ناقص",
 IF(L512&lt;=DATA!$M$1,"رعایت شده","رعایت نشده"))))</f>
        <v/>
      </c>
      <c r="P512" s="79"/>
      <c r="Q512" s="77"/>
      <c r="R512" s="79"/>
      <c r="S512" s="79"/>
      <c r="T512" s="78"/>
      <c r="U512" s="80"/>
      <c r="V512" s="78"/>
      <c r="W512" s="77" t="str">
        <f t="array" ref="W512">IF(D512="","",_xlfn.XLOOKUP(D512,DATA!B:B,DATA!L:L,""))</f>
        <v/>
      </c>
      <c r="X512" s="78" t="str">
        <f t="array" ref="X512">IF(F512="","",_xlfn.XLOOKUP(F512,DATA!B:B,DATA!L:L,""))</f>
        <v/>
      </c>
    </row>
    <row r="513">
      <c r="A513" s="81"/>
      <c r="B513" s="79"/>
      <c r="C513" s="57" t="str">
        <f t="array" ref="C513">iferror(_xlfn.XLOOKUP(D513,DATA!B:B,DATA!A:A),"")</f>
        <v/>
      </c>
      <c r="D513" s="82"/>
      <c r="E513" s="89"/>
      <c r="F513" s="83"/>
      <c r="G513" s="78"/>
      <c r="H513" s="64" t="str">
        <f t="array" ref="H513">_xlfn.XLOOKUP(G513,DATA!D:D,DATA!E:E,"")</f>
        <v/>
      </c>
      <c r="I513" s="84"/>
      <c r="J513" s="23"/>
      <c r="K513" s="23"/>
      <c r="L513" s="66" t="str">
        <f t="shared" si="1"/>
        <v/>
      </c>
      <c r="M513" s="77"/>
      <c r="N513" s="78"/>
      <c r="O513" s="66" t="str">
        <f>IF(M513="","",
 IF(M513="عدم پاسخ","بدون پاسخ",
 IF(L513="","اطلاعات ناقص",
 IF(L513&lt;=DATA!$M$1,"رعایت شده","رعایت نشده"))))</f>
        <v/>
      </c>
      <c r="P513" s="79"/>
      <c r="Q513" s="77"/>
      <c r="R513" s="79"/>
      <c r="S513" s="79"/>
      <c r="T513" s="78"/>
      <c r="U513" s="80"/>
      <c r="V513" s="78"/>
      <c r="W513" s="77" t="str">
        <f t="array" ref="W513">IF(D513="","",_xlfn.XLOOKUP(D513,DATA!B:B,DATA!L:L,""))</f>
        <v/>
      </c>
      <c r="X513" s="78" t="str">
        <f t="array" ref="X513">IF(F513="","",_xlfn.XLOOKUP(F513,DATA!B:B,DATA!L:L,""))</f>
        <v/>
      </c>
    </row>
    <row r="514">
      <c r="A514" s="81"/>
      <c r="B514" s="79"/>
      <c r="C514" s="57" t="str">
        <f t="array" ref="C514">iferror(_xlfn.XLOOKUP(D514,DATA!B:B,DATA!A:A),"")</f>
        <v/>
      </c>
      <c r="D514" s="82"/>
      <c r="E514" s="89"/>
      <c r="F514" s="83"/>
      <c r="G514" s="78"/>
      <c r="H514" s="64" t="str">
        <f t="array" ref="H514">_xlfn.XLOOKUP(G514,DATA!D:D,DATA!E:E,"")</f>
        <v/>
      </c>
      <c r="I514" s="84"/>
      <c r="J514" s="23"/>
      <c r="K514" s="23"/>
      <c r="L514" s="66" t="str">
        <f t="shared" si="1"/>
        <v/>
      </c>
      <c r="M514" s="77"/>
      <c r="N514" s="78"/>
      <c r="O514" s="66" t="str">
        <f>IF(M514="","",
 IF(M514="عدم پاسخ","بدون پاسخ",
 IF(L514="","اطلاعات ناقص",
 IF(L514&lt;=DATA!$M$1,"رعایت شده","رعایت نشده"))))</f>
        <v/>
      </c>
      <c r="P514" s="79"/>
      <c r="Q514" s="77"/>
      <c r="R514" s="79"/>
      <c r="S514" s="79"/>
      <c r="T514" s="78"/>
      <c r="U514" s="80"/>
      <c r="V514" s="78"/>
      <c r="W514" s="77" t="str">
        <f t="array" ref="W514">IF(D514="","",_xlfn.XLOOKUP(D514,DATA!B:B,DATA!L:L,""))</f>
        <v/>
      </c>
      <c r="X514" s="78" t="str">
        <f t="array" ref="X514">IF(F514="","",_xlfn.XLOOKUP(F514,DATA!B:B,DATA!L:L,""))</f>
        <v/>
      </c>
    </row>
    <row r="515">
      <c r="A515" s="81"/>
      <c r="B515" s="79"/>
      <c r="C515" s="57" t="str">
        <f t="array" ref="C515">iferror(_xlfn.XLOOKUP(D515,DATA!B:B,DATA!A:A),"")</f>
        <v/>
      </c>
      <c r="D515" s="82"/>
      <c r="E515" s="89"/>
      <c r="F515" s="83"/>
      <c r="G515" s="78"/>
      <c r="H515" s="64" t="str">
        <f t="array" ref="H515">_xlfn.XLOOKUP(G515,DATA!D:D,DATA!E:E,"")</f>
        <v/>
      </c>
      <c r="I515" s="84"/>
      <c r="J515" s="23"/>
      <c r="K515" s="23"/>
      <c r="L515" s="66" t="str">
        <f t="shared" si="1"/>
        <v/>
      </c>
      <c r="M515" s="77"/>
      <c r="N515" s="78"/>
      <c r="O515" s="66" t="str">
        <f>IF(M515="","",
 IF(M515="عدم پاسخ","بدون پاسخ",
 IF(L515="","اطلاعات ناقص",
 IF(L515&lt;=DATA!$M$1,"رعایت شده","رعایت نشده"))))</f>
        <v/>
      </c>
      <c r="P515" s="79"/>
      <c r="Q515" s="77"/>
      <c r="R515" s="79"/>
      <c r="S515" s="79"/>
      <c r="T515" s="78"/>
      <c r="U515" s="80"/>
      <c r="V515" s="78"/>
      <c r="W515" s="77" t="str">
        <f t="array" ref="W515">IF(D515="","",_xlfn.XLOOKUP(D515,DATA!B:B,DATA!L:L,""))</f>
        <v/>
      </c>
      <c r="X515" s="78" t="str">
        <f t="array" ref="X515">IF(F515="","",_xlfn.XLOOKUP(F515,DATA!B:B,DATA!L:L,""))</f>
        <v/>
      </c>
    </row>
    <row r="516">
      <c r="A516" s="81"/>
      <c r="B516" s="79"/>
      <c r="C516" s="57" t="str">
        <f t="array" ref="C516">iferror(_xlfn.XLOOKUP(D516,DATA!B:B,DATA!A:A),"")</f>
        <v/>
      </c>
      <c r="D516" s="82"/>
      <c r="E516" s="89"/>
      <c r="F516" s="83"/>
      <c r="G516" s="78"/>
      <c r="H516" s="64" t="str">
        <f t="array" ref="H516">_xlfn.XLOOKUP(G516,DATA!D:D,DATA!E:E,"")</f>
        <v/>
      </c>
      <c r="I516" s="84"/>
      <c r="J516" s="23"/>
      <c r="K516" s="23"/>
      <c r="L516" s="66" t="str">
        <f t="shared" si="1"/>
        <v/>
      </c>
      <c r="M516" s="77"/>
      <c r="N516" s="78"/>
      <c r="O516" s="66" t="str">
        <f>IF(M516="","",
 IF(M516="عدم پاسخ","بدون پاسخ",
 IF(L516="","اطلاعات ناقص",
 IF(L516&lt;=DATA!$M$1,"رعایت شده","رعایت نشده"))))</f>
        <v/>
      </c>
      <c r="P516" s="79"/>
      <c r="Q516" s="77"/>
      <c r="R516" s="79"/>
      <c r="S516" s="79"/>
      <c r="T516" s="78"/>
      <c r="U516" s="80"/>
      <c r="V516" s="78"/>
      <c r="W516" s="77" t="str">
        <f t="array" ref="W516">IF(D516="","",_xlfn.XLOOKUP(D516,DATA!B:B,DATA!L:L,""))</f>
        <v/>
      </c>
      <c r="X516" s="78" t="str">
        <f t="array" ref="X516">IF(F516="","",_xlfn.XLOOKUP(F516,DATA!B:B,DATA!L:L,""))</f>
        <v/>
      </c>
    </row>
    <row r="517">
      <c r="A517" s="81"/>
      <c r="B517" s="79"/>
      <c r="C517" s="57" t="str">
        <f t="array" ref="C517">iferror(_xlfn.XLOOKUP(D517,DATA!B:B,DATA!A:A),"")</f>
        <v/>
      </c>
      <c r="D517" s="82"/>
      <c r="E517" s="89"/>
      <c r="F517" s="83"/>
      <c r="G517" s="78"/>
      <c r="H517" s="64" t="str">
        <f t="array" ref="H517">_xlfn.XLOOKUP(G517,DATA!D:D,DATA!E:E,"")</f>
        <v/>
      </c>
      <c r="I517" s="84"/>
      <c r="J517" s="23"/>
      <c r="K517" s="23"/>
      <c r="L517" s="66" t="str">
        <f t="shared" si="1"/>
        <v/>
      </c>
      <c r="M517" s="77"/>
      <c r="N517" s="78"/>
      <c r="O517" s="66" t="str">
        <f>IF(M517="","",
 IF(M517="عدم پاسخ","بدون پاسخ",
 IF(L517="","اطلاعات ناقص",
 IF(L517&lt;=DATA!$M$1,"رعایت شده","رعایت نشده"))))</f>
        <v/>
      </c>
      <c r="P517" s="79"/>
      <c r="Q517" s="77"/>
      <c r="R517" s="79"/>
      <c r="S517" s="79"/>
      <c r="T517" s="78"/>
      <c r="U517" s="80"/>
      <c r="V517" s="78"/>
      <c r="W517" s="77" t="str">
        <f t="array" ref="W517">IF(D517="","",_xlfn.XLOOKUP(D517,DATA!B:B,DATA!L:L,""))</f>
        <v/>
      </c>
      <c r="X517" s="78" t="str">
        <f t="array" ref="X517">IF(F517="","",_xlfn.XLOOKUP(F517,DATA!B:B,DATA!L:L,""))</f>
        <v/>
      </c>
    </row>
    <row r="518">
      <c r="A518" s="81"/>
      <c r="B518" s="79"/>
      <c r="C518" s="57" t="str">
        <f t="array" ref="C518">iferror(_xlfn.XLOOKUP(D518,DATA!B:B,DATA!A:A),"")</f>
        <v/>
      </c>
      <c r="D518" s="82"/>
      <c r="E518" s="89"/>
      <c r="F518" s="83"/>
      <c r="G518" s="78"/>
      <c r="H518" s="64" t="str">
        <f t="array" ref="H518">_xlfn.XLOOKUP(G518,DATA!D:D,DATA!E:E,"")</f>
        <v/>
      </c>
      <c r="I518" s="84"/>
      <c r="J518" s="23"/>
      <c r="K518" s="23"/>
      <c r="L518" s="66" t="str">
        <f t="shared" si="1"/>
        <v/>
      </c>
      <c r="M518" s="77"/>
      <c r="N518" s="78"/>
      <c r="O518" s="66" t="str">
        <f>IF(M518="","",
 IF(M518="عدم پاسخ","بدون پاسخ",
 IF(L518="","اطلاعات ناقص",
 IF(L518&lt;=DATA!$M$1,"رعایت شده","رعایت نشده"))))</f>
        <v/>
      </c>
      <c r="P518" s="79"/>
      <c r="Q518" s="77"/>
      <c r="R518" s="79"/>
      <c r="S518" s="79"/>
      <c r="T518" s="78"/>
      <c r="U518" s="80"/>
      <c r="V518" s="78"/>
      <c r="W518" s="77" t="str">
        <f t="array" ref="W518">IF(D518="","",_xlfn.XLOOKUP(D518,DATA!B:B,DATA!L:L,""))</f>
        <v/>
      </c>
      <c r="X518" s="78" t="str">
        <f t="array" ref="X518">IF(F518="","",_xlfn.XLOOKUP(F518,DATA!B:B,DATA!L:L,""))</f>
        <v/>
      </c>
    </row>
    <row r="519">
      <c r="A519" s="81"/>
      <c r="B519" s="79"/>
      <c r="C519" s="57" t="str">
        <f t="array" ref="C519">iferror(_xlfn.XLOOKUP(D519,DATA!B:B,DATA!A:A),"")</f>
        <v/>
      </c>
      <c r="D519" s="82"/>
      <c r="E519" s="89"/>
      <c r="F519" s="83"/>
      <c r="G519" s="78"/>
      <c r="H519" s="64" t="str">
        <f t="array" ref="H519">_xlfn.XLOOKUP(G519,DATA!D:D,DATA!E:E,"")</f>
        <v/>
      </c>
      <c r="I519" s="84"/>
      <c r="J519" s="23"/>
      <c r="K519" s="23"/>
      <c r="L519" s="66" t="str">
        <f t="shared" si="1"/>
        <v/>
      </c>
      <c r="M519" s="77"/>
      <c r="N519" s="78"/>
      <c r="O519" s="66" t="str">
        <f>IF(M519="","",
 IF(M519="عدم پاسخ","بدون پاسخ",
 IF(L519="","اطلاعات ناقص",
 IF(L519&lt;=DATA!$M$1,"رعایت شده","رعایت نشده"))))</f>
        <v/>
      </c>
      <c r="P519" s="79"/>
      <c r="Q519" s="77"/>
      <c r="R519" s="79"/>
      <c r="S519" s="79"/>
      <c r="T519" s="78"/>
      <c r="U519" s="80"/>
      <c r="V519" s="78"/>
      <c r="W519" s="77" t="str">
        <f t="array" ref="W519">IF(D519="","",_xlfn.XLOOKUP(D519,DATA!B:B,DATA!L:L,""))</f>
        <v/>
      </c>
      <c r="X519" s="78" t="str">
        <f t="array" ref="X519">IF(F519="","",_xlfn.XLOOKUP(F519,DATA!B:B,DATA!L:L,""))</f>
        <v/>
      </c>
    </row>
    <row r="520">
      <c r="A520" s="81"/>
      <c r="B520" s="79"/>
      <c r="C520" s="57" t="str">
        <f t="array" ref="C520">iferror(_xlfn.XLOOKUP(D520,DATA!B:B,DATA!A:A),"")</f>
        <v/>
      </c>
      <c r="D520" s="82"/>
      <c r="E520" s="89"/>
      <c r="F520" s="83"/>
      <c r="G520" s="78"/>
      <c r="H520" s="64" t="str">
        <f t="array" ref="H520">_xlfn.XLOOKUP(G520,DATA!D:D,DATA!E:E,"")</f>
        <v/>
      </c>
      <c r="I520" s="84"/>
      <c r="J520" s="23"/>
      <c r="K520" s="23"/>
      <c r="L520" s="66" t="str">
        <f t="shared" si="1"/>
        <v/>
      </c>
      <c r="M520" s="77"/>
      <c r="N520" s="78"/>
      <c r="O520" s="66" t="str">
        <f>IF(M520="","",
 IF(M520="عدم پاسخ","بدون پاسخ",
 IF(L520="","اطلاعات ناقص",
 IF(L520&lt;=DATA!$M$1,"رعایت شده","رعایت نشده"))))</f>
        <v/>
      </c>
      <c r="P520" s="79"/>
      <c r="Q520" s="77"/>
      <c r="R520" s="79"/>
      <c r="S520" s="79"/>
      <c r="T520" s="78"/>
      <c r="U520" s="80"/>
      <c r="V520" s="78"/>
      <c r="W520" s="77" t="str">
        <f t="array" ref="W520">IF(D520="","",_xlfn.XLOOKUP(D520,DATA!B:B,DATA!L:L,""))</f>
        <v/>
      </c>
      <c r="X520" s="78" t="str">
        <f t="array" ref="X520">IF(F520="","",_xlfn.XLOOKUP(F520,DATA!B:B,DATA!L:L,""))</f>
        <v/>
      </c>
    </row>
    <row r="521">
      <c r="A521" s="81"/>
      <c r="B521" s="79"/>
      <c r="C521" s="57" t="str">
        <f t="array" ref="C521">iferror(_xlfn.XLOOKUP(D521,DATA!B:B,DATA!A:A),"")</f>
        <v/>
      </c>
      <c r="D521" s="82"/>
      <c r="E521" s="89"/>
      <c r="F521" s="83"/>
      <c r="G521" s="78"/>
      <c r="H521" s="64" t="str">
        <f t="array" ref="H521">_xlfn.XLOOKUP(G521,DATA!D:D,DATA!E:E,"")</f>
        <v/>
      </c>
      <c r="I521" s="84"/>
      <c r="J521" s="23"/>
      <c r="K521" s="23"/>
      <c r="L521" s="66" t="str">
        <f t="shared" si="1"/>
        <v/>
      </c>
      <c r="M521" s="77"/>
      <c r="N521" s="78"/>
      <c r="O521" s="66" t="str">
        <f>IF(M521="","",
 IF(M521="عدم پاسخ","بدون پاسخ",
 IF(L521="","اطلاعات ناقص",
 IF(L521&lt;=DATA!$M$1,"رعایت شده","رعایت نشده"))))</f>
        <v/>
      </c>
      <c r="P521" s="79"/>
      <c r="Q521" s="77"/>
      <c r="R521" s="79"/>
      <c r="S521" s="79"/>
      <c r="T521" s="78"/>
      <c r="U521" s="80"/>
      <c r="V521" s="78"/>
      <c r="W521" s="77" t="str">
        <f t="array" ref="W521">IF(D521="","",_xlfn.XLOOKUP(D521,DATA!B:B,DATA!L:L,""))</f>
        <v/>
      </c>
      <c r="X521" s="78" t="str">
        <f t="array" ref="X521">IF(F521="","",_xlfn.XLOOKUP(F521,DATA!B:B,DATA!L:L,""))</f>
        <v/>
      </c>
    </row>
    <row r="522">
      <c r="A522" s="81"/>
      <c r="B522" s="79"/>
      <c r="C522" s="57" t="str">
        <f t="array" ref="C522">iferror(_xlfn.XLOOKUP(D522,DATA!B:B,DATA!A:A),"")</f>
        <v/>
      </c>
      <c r="D522" s="82"/>
      <c r="E522" s="89"/>
      <c r="F522" s="83"/>
      <c r="G522" s="78"/>
      <c r="H522" s="64" t="str">
        <f t="array" ref="H522">_xlfn.XLOOKUP(G522,DATA!D:D,DATA!E:E,"")</f>
        <v/>
      </c>
      <c r="I522" s="84"/>
      <c r="J522" s="23"/>
      <c r="K522" s="23"/>
      <c r="L522" s="66" t="str">
        <f t="shared" si="1"/>
        <v/>
      </c>
      <c r="M522" s="77"/>
      <c r="N522" s="78"/>
      <c r="O522" s="66" t="str">
        <f>IF(M522="","",
 IF(M522="عدم پاسخ","بدون پاسخ",
 IF(L522="","اطلاعات ناقص",
 IF(L522&lt;=DATA!$M$1,"رعایت شده","رعایت نشده"))))</f>
        <v/>
      </c>
      <c r="P522" s="79"/>
      <c r="Q522" s="77"/>
      <c r="R522" s="79"/>
      <c r="S522" s="79"/>
      <c r="T522" s="78"/>
      <c r="U522" s="80"/>
      <c r="V522" s="78"/>
      <c r="W522" s="77" t="str">
        <f t="array" ref="W522">IF(D522="","",_xlfn.XLOOKUP(D522,DATA!B:B,DATA!L:L,""))</f>
        <v/>
      </c>
      <c r="X522" s="78" t="str">
        <f t="array" ref="X522">IF(F522="","",_xlfn.XLOOKUP(F522,DATA!B:B,DATA!L:L,""))</f>
        <v/>
      </c>
    </row>
    <row r="523">
      <c r="A523" s="81"/>
      <c r="B523" s="79"/>
      <c r="C523" s="57" t="str">
        <f t="array" ref="C523">iferror(_xlfn.XLOOKUP(D523,DATA!B:B,DATA!A:A),"")</f>
        <v/>
      </c>
      <c r="D523" s="82"/>
      <c r="E523" s="89"/>
      <c r="F523" s="83"/>
      <c r="G523" s="78"/>
      <c r="H523" s="64" t="str">
        <f t="array" ref="H523">_xlfn.XLOOKUP(G523,DATA!D:D,DATA!E:E,"")</f>
        <v/>
      </c>
      <c r="I523" s="84"/>
      <c r="J523" s="23"/>
      <c r="K523" s="23"/>
      <c r="L523" s="66" t="str">
        <f t="shared" si="1"/>
        <v/>
      </c>
      <c r="M523" s="77"/>
      <c r="N523" s="78"/>
      <c r="O523" s="66" t="str">
        <f>IF(M523="","",
 IF(M523="عدم پاسخ","بدون پاسخ",
 IF(L523="","اطلاعات ناقص",
 IF(L523&lt;=DATA!$M$1,"رعایت شده","رعایت نشده"))))</f>
        <v/>
      </c>
      <c r="P523" s="79"/>
      <c r="Q523" s="77"/>
      <c r="R523" s="79"/>
      <c r="S523" s="79"/>
      <c r="T523" s="78"/>
      <c r="U523" s="80"/>
      <c r="V523" s="78"/>
      <c r="W523" s="77" t="str">
        <f t="array" ref="W523">IF(D523="","",_xlfn.XLOOKUP(D523,DATA!B:B,DATA!L:L,""))</f>
        <v/>
      </c>
      <c r="X523" s="78" t="str">
        <f t="array" ref="X523">IF(F523="","",_xlfn.XLOOKUP(F523,DATA!B:B,DATA!L:L,""))</f>
        <v/>
      </c>
    </row>
    <row r="524">
      <c r="A524" s="81"/>
      <c r="B524" s="79"/>
      <c r="C524" s="57" t="str">
        <f t="array" ref="C524">iferror(_xlfn.XLOOKUP(D524,DATA!B:B,DATA!A:A),"")</f>
        <v/>
      </c>
      <c r="D524" s="82"/>
      <c r="E524" s="89"/>
      <c r="F524" s="83"/>
      <c r="G524" s="78"/>
      <c r="H524" s="64" t="str">
        <f t="array" ref="H524">_xlfn.XLOOKUP(G524,DATA!D:D,DATA!E:E,"")</f>
        <v/>
      </c>
      <c r="I524" s="84"/>
      <c r="J524" s="23"/>
      <c r="K524" s="23"/>
      <c r="L524" s="66" t="str">
        <f t="shared" si="1"/>
        <v/>
      </c>
      <c r="M524" s="77"/>
      <c r="N524" s="78"/>
      <c r="O524" s="66" t="str">
        <f>IF(M524="","",
 IF(M524="عدم پاسخ","بدون پاسخ",
 IF(L524="","اطلاعات ناقص",
 IF(L524&lt;=DATA!$M$1,"رعایت شده","رعایت نشده"))))</f>
        <v/>
      </c>
      <c r="P524" s="79"/>
      <c r="Q524" s="77"/>
      <c r="R524" s="79"/>
      <c r="S524" s="79"/>
      <c r="T524" s="78"/>
      <c r="U524" s="80"/>
      <c r="V524" s="78"/>
      <c r="W524" s="77" t="str">
        <f t="array" ref="W524">IF(D524="","",_xlfn.XLOOKUP(D524,DATA!B:B,DATA!L:L,""))</f>
        <v/>
      </c>
      <c r="X524" s="78" t="str">
        <f t="array" ref="X524">IF(F524="","",_xlfn.XLOOKUP(F524,DATA!B:B,DATA!L:L,""))</f>
        <v/>
      </c>
    </row>
    <row r="525">
      <c r="A525" s="81"/>
      <c r="B525" s="79"/>
      <c r="C525" s="57" t="str">
        <f t="array" ref="C525">iferror(_xlfn.XLOOKUP(D525,DATA!B:B,DATA!A:A),"")</f>
        <v/>
      </c>
      <c r="D525" s="82"/>
      <c r="E525" s="89"/>
      <c r="F525" s="83"/>
      <c r="G525" s="78"/>
      <c r="H525" s="64" t="str">
        <f t="array" ref="H525">_xlfn.XLOOKUP(G525,DATA!D:D,DATA!E:E,"")</f>
        <v/>
      </c>
      <c r="I525" s="84"/>
      <c r="J525" s="23"/>
      <c r="K525" s="23"/>
      <c r="L525" s="66" t="str">
        <f t="shared" si="1"/>
        <v/>
      </c>
      <c r="M525" s="77"/>
      <c r="N525" s="78"/>
      <c r="O525" s="66" t="str">
        <f>IF(M525="","",
 IF(M525="عدم پاسخ","بدون پاسخ",
 IF(L525="","اطلاعات ناقص",
 IF(L525&lt;=DATA!$M$1,"رعایت شده","رعایت نشده"))))</f>
        <v/>
      </c>
      <c r="P525" s="79"/>
      <c r="Q525" s="77"/>
      <c r="R525" s="79"/>
      <c r="S525" s="79"/>
      <c r="T525" s="78"/>
      <c r="U525" s="80"/>
      <c r="V525" s="78"/>
      <c r="W525" s="77" t="str">
        <f t="array" ref="W525">IF(D525="","",_xlfn.XLOOKUP(D525,DATA!B:B,DATA!L:L,""))</f>
        <v/>
      </c>
      <c r="X525" s="78" t="str">
        <f t="array" ref="X525">IF(F525="","",_xlfn.XLOOKUP(F525,DATA!B:B,DATA!L:L,""))</f>
        <v/>
      </c>
    </row>
    <row r="526">
      <c r="A526" s="81"/>
      <c r="B526" s="79"/>
      <c r="C526" s="57" t="str">
        <f t="array" ref="C526">iferror(_xlfn.XLOOKUP(D526,DATA!B:B,DATA!A:A),"")</f>
        <v/>
      </c>
      <c r="D526" s="82"/>
      <c r="E526" s="89"/>
      <c r="F526" s="83"/>
      <c r="G526" s="78"/>
      <c r="H526" s="64" t="str">
        <f t="array" ref="H526">_xlfn.XLOOKUP(G526,DATA!D:D,DATA!E:E,"")</f>
        <v/>
      </c>
      <c r="I526" s="84"/>
      <c r="J526" s="23"/>
      <c r="K526" s="23"/>
      <c r="L526" s="66" t="str">
        <f t="shared" si="1"/>
        <v/>
      </c>
      <c r="M526" s="77"/>
      <c r="N526" s="78"/>
      <c r="O526" s="66" t="str">
        <f>IF(M526="","",
 IF(M526="عدم پاسخ","بدون پاسخ",
 IF(L526="","اطلاعات ناقص",
 IF(L526&lt;=DATA!$M$1,"رعایت شده","رعایت نشده"))))</f>
        <v/>
      </c>
      <c r="P526" s="79"/>
      <c r="Q526" s="77"/>
      <c r="R526" s="79"/>
      <c r="S526" s="79"/>
      <c r="T526" s="78"/>
      <c r="U526" s="80"/>
      <c r="V526" s="78"/>
      <c r="W526" s="77" t="str">
        <f t="array" ref="W526">IF(D526="","",_xlfn.XLOOKUP(D526,DATA!B:B,DATA!L:L,""))</f>
        <v/>
      </c>
      <c r="X526" s="78" t="str">
        <f t="array" ref="X526">IF(F526="","",_xlfn.XLOOKUP(F526,DATA!B:B,DATA!L:L,""))</f>
        <v/>
      </c>
    </row>
    <row r="527">
      <c r="A527" s="81"/>
      <c r="B527" s="79"/>
      <c r="C527" s="57" t="str">
        <f t="array" ref="C527">iferror(_xlfn.XLOOKUP(D527,DATA!B:B,DATA!A:A),"")</f>
        <v/>
      </c>
      <c r="D527" s="82"/>
      <c r="E527" s="89"/>
      <c r="F527" s="83"/>
      <c r="G527" s="78"/>
      <c r="H527" s="64" t="str">
        <f t="array" ref="H527">_xlfn.XLOOKUP(G527,DATA!D:D,DATA!E:E,"")</f>
        <v/>
      </c>
      <c r="I527" s="84"/>
      <c r="J527" s="23"/>
      <c r="K527" s="23"/>
      <c r="L527" s="66" t="str">
        <f t="shared" si="1"/>
        <v/>
      </c>
      <c r="M527" s="77"/>
      <c r="N527" s="78"/>
      <c r="O527" s="66" t="str">
        <f>IF(M527="","",
 IF(M527="عدم پاسخ","بدون پاسخ",
 IF(L527="","اطلاعات ناقص",
 IF(L527&lt;=DATA!$M$1,"رعایت شده","رعایت نشده"))))</f>
        <v/>
      </c>
      <c r="P527" s="79"/>
      <c r="Q527" s="77"/>
      <c r="R527" s="79"/>
      <c r="S527" s="79"/>
      <c r="T527" s="78"/>
      <c r="U527" s="80"/>
      <c r="V527" s="78"/>
      <c r="W527" s="77" t="str">
        <f t="array" ref="W527">IF(D527="","",_xlfn.XLOOKUP(D527,DATA!B:B,DATA!L:L,""))</f>
        <v/>
      </c>
      <c r="X527" s="78" t="str">
        <f t="array" ref="X527">IF(F527="","",_xlfn.XLOOKUP(F527,DATA!B:B,DATA!L:L,""))</f>
        <v/>
      </c>
    </row>
    <row r="528">
      <c r="A528" s="81"/>
      <c r="B528" s="79"/>
      <c r="C528" s="57" t="str">
        <f t="array" ref="C528">iferror(_xlfn.XLOOKUP(D528,DATA!B:B,DATA!A:A),"")</f>
        <v/>
      </c>
      <c r="D528" s="82"/>
      <c r="E528" s="89"/>
      <c r="F528" s="83"/>
      <c r="G528" s="78"/>
      <c r="H528" s="64" t="str">
        <f t="array" ref="H528">_xlfn.XLOOKUP(G528,DATA!D:D,DATA!E:E,"")</f>
        <v/>
      </c>
      <c r="I528" s="84"/>
      <c r="J528" s="23"/>
      <c r="K528" s="23"/>
      <c r="L528" s="66" t="str">
        <f t="shared" si="1"/>
        <v/>
      </c>
      <c r="M528" s="77"/>
      <c r="N528" s="78"/>
      <c r="O528" s="66" t="str">
        <f>IF(M528="","",
 IF(M528="عدم پاسخ","بدون پاسخ",
 IF(L528="","اطلاعات ناقص",
 IF(L528&lt;=DATA!$M$1,"رعایت شده","رعایت نشده"))))</f>
        <v/>
      </c>
      <c r="P528" s="79"/>
      <c r="Q528" s="77"/>
      <c r="R528" s="79"/>
      <c r="S528" s="79"/>
      <c r="T528" s="78"/>
      <c r="U528" s="80"/>
      <c r="V528" s="78"/>
      <c r="W528" s="77" t="str">
        <f t="array" ref="W528">IF(D528="","",_xlfn.XLOOKUP(D528,DATA!B:B,DATA!L:L,""))</f>
        <v/>
      </c>
      <c r="X528" s="78" t="str">
        <f t="array" ref="X528">IF(F528="","",_xlfn.XLOOKUP(F528,DATA!B:B,DATA!L:L,""))</f>
        <v/>
      </c>
    </row>
    <row r="529">
      <c r="A529" s="81"/>
      <c r="B529" s="79"/>
      <c r="C529" s="57" t="str">
        <f t="array" ref="C529">iferror(_xlfn.XLOOKUP(D529,DATA!B:B,DATA!A:A),"")</f>
        <v/>
      </c>
      <c r="D529" s="82"/>
      <c r="E529" s="89"/>
      <c r="F529" s="83"/>
      <c r="G529" s="78"/>
      <c r="H529" s="64" t="str">
        <f t="array" ref="H529">_xlfn.XLOOKUP(G529,DATA!D:D,DATA!E:E,"")</f>
        <v/>
      </c>
      <c r="I529" s="84"/>
      <c r="J529" s="23"/>
      <c r="K529" s="23"/>
      <c r="L529" s="66" t="str">
        <f t="shared" si="1"/>
        <v/>
      </c>
      <c r="M529" s="77"/>
      <c r="N529" s="78"/>
      <c r="O529" s="66" t="str">
        <f>IF(M529="","",
 IF(M529="عدم پاسخ","بدون پاسخ",
 IF(L529="","اطلاعات ناقص",
 IF(L529&lt;=DATA!$M$1,"رعایت شده","رعایت نشده"))))</f>
        <v/>
      </c>
      <c r="P529" s="79"/>
      <c r="Q529" s="77"/>
      <c r="R529" s="79"/>
      <c r="S529" s="79"/>
      <c r="T529" s="78"/>
      <c r="U529" s="80"/>
      <c r="V529" s="78"/>
      <c r="W529" s="77" t="str">
        <f t="array" ref="W529">IF(D529="","",_xlfn.XLOOKUP(D529,DATA!B:B,DATA!L:L,""))</f>
        <v/>
      </c>
      <c r="X529" s="78" t="str">
        <f t="array" ref="X529">IF(F529="","",_xlfn.XLOOKUP(F529,DATA!B:B,DATA!L:L,""))</f>
        <v/>
      </c>
    </row>
    <row r="530">
      <c r="A530" s="81"/>
      <c r="B530" s="79"/>
      <c r="C530" s="57" t="str">
        <f t="array" ref="C530">iferror(_xlfn.XLOOKUP(D530,DATA!B:B,DATA!A:A),"")</f>
        <v/>
      </c>
      <c r="D530" s="82"/>
      <c r="E530" s="89"/>
      <c r="F530" s="83"/>
      <c r="G530" s="78"/>
      <c r="H530" s="64" t="str">
        <f t="array" ref="H530">_xlfn.XLOOKUP(G530,DATA!D:D,DATA!E:E,"")</f>
        <v/>
      </c>
      <c r="I530" s="84"/>
      <c r="J530" s="23"/>
      <c r="K530" s="23"/>
      <c r="L530" s="66" t="str">
        <f t="shared" si="1"/>
        <v/>
      </c>
      <c r="M530" s="77"/>
      <c r="N530" s="78"/>
      <c r="O530" s="66" t="str">
        <f>IF(M530="","",
 IF(M530="عدم پاسخ","بدون پاسخ",
 IF(L530="","اطلاعات ناقص",
 IF(L530&lt;=DATA!$M$1,"رعایت شده","رعایت نشده"))))</f>
        <v/>
      </c>
      <c r="P530" s="79"/>
      <c r="Q530" s="77"/>
      <c r="R530" s="79"/>
      <c r="S530" s="79"/>
      <c r="T530" s="78"/>
      <c r="U530" s="80"/>
      <c r="V530" s="78"/>
      <c r="W530" s="77" t="str">
        <f t="array" ref="W530">IF(D530="","",_xlfn.XLOOKUP(D530,DATA!B:B,DATA!L:L,""))</f>
        <v/>
      </c>
      <c r="X530" s="78" t="str">
        <f t="array" ref="X530">IF(F530="","",_xlfn.XLOOKUP(F530,DATA!B:B,DATA!L:L,""))</f>
        <v/>
      </c>
    </row>
    <row r="531">
      <c r="A531" s="81"/>
      <c r="B531" s="79"/>
      <c r="C531" s="57" t="str">
        <f t="array" ref="C531">iferror(_xlfn.XLOOKUP(D531,DATA!B:B,DATA!A:A),"")</f>
        <v/>
      </c>
      <c r="D531" s="82"/>
      <c r="E531" s="89"/>
      <c r="F531" s="83"/>
      <c r="G531" s="78"/>
      <c r="H531" s="64" t="str">
        <f t="array" ref="H531">_xlfn.XLOOKUP(G531,DATA!D:D,DATA!E:E,"")</f>
        <v/>
      </c>
      <c r="I531" s="84"/>
      <c r="J531" s="23"/>
      <c r="K531" s="23"/>
      <c r="L531" s="66" t="str">
        <f t="shared" si="1"/>
        <v/>
      </c>
      <c r="M531" s="77"/>
      <c r="N531" s="78"/>
      <c r="O531" s="66" t="str">
        <f>IF(M531="","",
 IF(M531="عدم پاسخ","بدون پاسخ",
 IF(L531="","اطلاعات ناقص",
 IF(L531&lt;=DATA!$M$1,"رعایت شده","رعایت نشده"))))</f>
        <v/>
      </c>
      <c r="P531" s="79"/>
      <c r="Q531" s="77"/>
      <c r="R531" s="79"/>
      <c r="S531" s="79"/>
      <c r="T531" s="78"/>
      <c r="U531" s="80"/>
      <c r="V531" s="78"/>
      <c r="W531" s="77" t="str">
        <f t="array" ref="W531">IF(D531="","",_xlfn.XLOOKUP(D531,DATA!B:B,DATA!L:L,""))</f>
        <v/>
      </c>
      <c r="X531" s="78" t="str">
        <f t="array" ref="X531">IF(F531="","",_xlfn.XLOOKUP(F531,DATA!B:B,DATA!L:L,""))</f>
        <v/>
      </c>
    </row>
    <row r="532">
      <c r="A532" s="81"/>
      <c r="B532" s="79"/>
      <c r="C532" s="57" t="str">
        <f t="array" ref="C532">iferror(_xlfn.XLOOKUP(D532,DATA!B:B,DATA!A:A),"")</f>
        <v/>
      </c>
      <c r="D532" s="82"/>
      <c r="E532" s="89"/>
      <c r="F532" s="83"/>
      <c r="G532" s="78"/>
      <c r="H532" s="64" t="str">
        <f t="array" ref="H532">_xlfn.XLOOKUP(G532,DATA!D:D,DATA!E:E,"")</f>
        <v/>
      </c>
      <c r="I532" s="84"/>
      <c r="J532" s="23"/>
      <c r="K532" s="23"/>
      <c r="L532" s="66" t="str">
        <f t="shared" si="1"/>
        <v/>
      </c>
      <c r="M532" s="77"/>
      <c r="N532" s="78"/>
      <c r="O532" s="66" t="str">
        <f>IF(M532="","",
 IF(M532="عدم پاسخ","بدون پاسخ",
 IF(L532="","اطلاعات ناقص",
 IF(L532&lt;=DATA!$M$1,"رعایت شده","رعایت نشده"))))</f>
        <v/>
      </c>
      <c r="P532" s="79"/>
      <c r="Q532" s="77"/>
      <c r="R532" s="79"/>
      <c r="S532" s="79"/>
      <c r="T532" s="78"/>
      <c r="U532" s="80"/>
      <c r="V532" s="78"/>
      <c r="W532" s="77" t="str">
        <f t="array" ref="W532">IF(D532="","",_xlfn.XLOOKUP(D532,DATA!B:B,DATA!L:L,""))</f>
        <v/>
      </c>
      <c r="X532" s="78" t="str">
        <f t="array" ref="X532">IF(F532="","",_xlfn.XLOOKUP(F532,DATA!B:B,DATA!L:L,""))</f>
        <v/>
      </c>
    </row>
    <row r="533">
      <c r="A533" s="81"/>
      <c r="B533" s="79"/>
      <c r="C533" s="57" t="str">
        <f t="array" ref="C533">iferror(_xlfn.XLOOKUP(D533,DATA!B:B,DATA!A:A),"")</f>
        <v/>
      </c>
      <c r="D533" s="82"/>
      <c r="E533" s="89"/>
      <c r="F533" s="83"/>
      <c r="G533" s="78"/>
      <c r="H533" s="64" t="str">
        <f t="array" ref="H533">_xlfn.XLOOKUP(G533,DATA!D:D,DATA!E:E,"")</f>
        <v/>
      </c>
      <c r="I533" s="84"/>
      <c r="J533" s="23"/>
      <c r="K533" s="23"/>
      <c r="L533" s="66" t="str">
        <f t="shared" si="1"/>
        <v/>
      </c>
      <c r="M533" s="77"/>
      <c r="N533" s="78"/>
      <c r="O533" s="66" t="str">
        <f>IF(M533="","",
 IF(M533="عدم پاسخ","بدون پاسخ",
 IF(L533="","اطلاعات ناقص",
 IF(L533&lt;=DATA!$M$1,"رعایت شده","رعایت نشده"))))</f>
        <v/>
      </c>
      <c r="P533" s="79"/>
      <c r="Q533" s="77"/>
      <c r="R533" s="79"/>
      <c r="S533" s="79"/>
      <c r="T533" s="78"/>
      <c r="U533" s="80"/>
      <c r="V533" s="78"/>
      <c r="W533" s="77" t="str">
        <f t="array" ref="W533">IF(D533="","",_xlfn.XLOOKUP(D533,DATA!B:B,DATA!L:L,""))</f>
        <v/>
      </c>
      <c r="X533" s="78" t="str">
        <f t="array" ref="X533">IF(F533="","",_xlfn.XLOOKUP(F533,DATA!B:B,DATA!L:L,""))</f>
        <v/>
      </c>
    </row>
    <row r="534">
      <c r="A534" s="81"/>
      <c r="B534" s="79"/>
      <c r="C534" s="57" t="str">
        <f t="array" ref="C534">iferror(_xlfn.XLOOKUP(D534,DATA!B:B,DATA!A:A),"")</f>
        <v/>
      </c>
      <c r="D534" s="82"/>
      <c r="E534" s="89"/>
      <c r="F534" s="83"/>
      <c r="G534" s="78"/>
      <c r="H534" s="64" t="str">
        <f t="array" ref="H534">_xlfn.XLOOKUP(G534,DATA!D:D,DATA!E:E,"")</f>
        <v/>
      </c>
      <c r="I534" s="84"/>
      <c r="J534" s="23"/>
      <c r="K534" s="23"/>
      <c r="L534" s="66" t="str">
        <f t="shared" si="1"/>
        <v/>
      </c>
      <c r="M534" s="77"/>
      <c r="N534" s="78"/>
      <c r="O534" s="66" t="str">
        <f>IF(M534="","",
 IF(M534="عدم پاسخ","بدون پاسخ",
 IF(L534="","اطلاعات ناقص",
 IF(L534&lt;=DATA!$M$1,"رعایت شده","رعایت نشده"))))</f>
        <v/>
      </c>
      <c r="P534" s="79"/>
      <c r="Q534" s="77"/>
      <c r="R534" s="79"/>
      <c r="S534" s="79"/>
      <c r="T534" s="78"/>
      <c r="U534" s="80"/>
      <c r="V534" s="78"/>
      <c r="W534" s="77" t="str">
        <f t="array" ref="W534">IF(D534="","",_xlfn.XLOOKUP(D534,DATA!B:B,DATA!L:L,""))</f>
        <v/>
      </c>
      <c r="X534" s="78" t="str">
        <f t="array" ref="X534">IF(F534="","",_xlfn.XLOOKUP(F534,DATA!B:B,DATA!L:L,""))</f>
        <v/>
      </c>
    </row>
    <row r="535">
      <c r="A535" s="81"/>
      <c r="B535" s="79"/>
      <c r="C535" s="57" t="str">
        <f t="array" ref="C535">iferror(_xlfn.XLOOKUP(D535,DATA!B:B,DATA!A:A),"")</f>
        <v/>
      </c>
      <c r="D535" s="82"/>
      <c r="E535" s="89"/>
      <c r="F535" s="83"/>
      <c r="G535" s="78"/>
      <c r="H535" s="64" t="str">
        <f t="array" ref="H535">_xlfn.XLOOKUP(G535,DATA!D:D,DATA!E:E,"")</f>
        <v/>
      </c>
      <c r="I535" s="84"/>
      <c r="J535" s="23"/>
      <c r="K535" s="23"/>
      <c r="L535" s="66" t="str">
        <f t="shared" si="1"/>
        <v/>
      </c>
      <c r="M535" s="77"/>
      <c r="N535" s="78"/>
      <c r="O535" s="66" t="str">
        <f>IF(M535="","",
 IF(M535="عدم پاسخ","بدون پاسخ",
 IF(L535="","اطلاعات ناقص",
 IF(L535&lt;=DATA!$M$1,"رعایت شده","رعایت نشده"))))</f>
        <v/>
      </c>
      <c r="P535" s="79"/>
      <c r="Q535" s="77"/>
      <c r="R535" s="79"/>
      <c r="S535" s="79"/>
      <c r="T535" s="78"/>
      <c r="U535" s="80"/>
      <c r="V535" s="78"/>
      <c r="W535" s="77" t="str">
        <f t="array" ref="W535">IF(D535="","",_xlfn.XLOOKUP(D535,DATA!B:B,DATA!L:L,""))</f>
        <v/>
      </c>
      <c r="X535" s="78" t="str">
        <f t="array" ref="X535">IF(F535="","",_xlfn.XLOOKUP(F535,DATA!B:B,DATA!L:L,""))</f>
        <v/>
      </c>
    </row>
    <row r="536">
      <c r="A536" s="81"/>
      <c r="B536" s="79"/>
      <c r="C536" s="57" t="str">
        <f t="array" ref="C536">iferror(_xlfn.XLOOKUP(D536,DATA!B:B,DATA!A:A),"")</f>
        <v/>
      </c>
      <c r="D536" s="82"/>
      <c r="E536" s="89"/>
      <c r="F536" s="83"/>
      <c r="G536" s="78"/>
      <c r="H536" s="64" t="str">
        <f t="array" ref="H536">_xlfn.XLOOKUP(G536,DATA!D:D,DATA!E:E,"")</f>
        <v/>
      </c>
      <c r="I536" s="84"/>
      <c r="J536" s="23"/>
      <c r="K536" s="23"/>
      <c r="L536" s="66" t="str">
        <f t="shared" si="1"/>
        <v/>
      </c>
      <c r="M536" s="77"/>
      <c r="N536" s="78"/>
      <c r="O536" s="66" t="str">
        <f>IF(M536="","",
 IF(M536="عدم پاسخ","بدون پاسخ",
 IF(L536="","اطلاعات ناقص",
 IF(L536&lt;=DATA!$M$1,"رعایت شده","رعایت نشده"))))</f>
        <v/>
      </c>
      <c r="P536" s="79"/>
      <c r="Q536" s="77"/>
      <c r="R536" s="79"/>
      <c r="S536" s="79"/>
      <c r="T536" s="78"/>
      <c r="U536" s="80"/>
      <c r="V536" s="78"/>
      <c r="W536" s="77" t="str">
        <f t="array" ref="W536">IF(D536="","",_xlfn.XLOOKUP(D536,DATA!B:B,DATA!L:L,""))</f>
        <v/>
      </c>
      <c r="X536" s="78" t="str">
        <f t="array" ref="X536">IF(F536="","",_xlfn.XLOOKUP(F536,DATA!B:B,DATA!L:L,""))</f>
        <v/>
      </c>
    </row>
    <row r="537">
      <c r="A537" s="81"/>
      <c r="B537" s="79"/>
      <c r="C537" s="57" t="str">
        <f t="array" ref="C537">iferror(_xlfn.XLOOKUP(D537,DATA!B:B,DATA!A:A),"")</f>
        <v/>
      </c>
      <c r="D537" s="82"/>
      <c r="E537" s="89"/>
      <c r="F537" s="83"/>
      <c r="G537" s="78"/>
      <c r="H537" s="64" t="str">
        <f t="array" ref="H537">_xlfn.XLOOKUP(G537,DATA!D:D,DATA!E:E,"")</f>
        <v/>
      </c>
      <c r="I537" s="84"/>
      <c r="J537" s="23"/>
      <c r="K537" s="23"/>
      <c r="L537" s="66" t="str">
        <f t="shared" si="1"/>
        <v/>
      </c>
      <c r="M537" s="77"/>
      <c r="N537" s="78"/>
      <c r="O537" s="66" t="str">
        <f>IF(M537="","",
 IF(M537="عدم پاسخ","بدون پاسخ",
 IF(L537="","اطلاعات ناقص",
 IF(L537&lt;=DATA!$M$1,"رعایت شده","رعایت نشده"))))</f>
        <v/>
      </c>
      <c r="P537" s="79"/>
      <c r="Q537" s="77"/>
      <c r="R537" s="79"/>
      <c r="S537" s="79"/>
      <c r="T537" s="78"/>
      <c r="U537" s="80"/>
      <c r="V537" s="78"/>
      <c r="W537" s="77" t="str">
        <f t="array" ref="W537">IF(D537="","",_xlfn.XLOOKUP(D537,DATA!B:B,DATA!L:L,""))</f>
        <v/>
      </c>
      <c r="X537" s="78" t="str">
        <f t="array" ref="X537">IF(F537="","",_xlfn.XLOOKUP(F537,DATA!B:B,DATA!L:L,""))</f>
        <v/>
      </c>
    </row>
    <row r="538">
      <c r="A538" s="81"/>
      <c r="B538" s="79"/>
      <c r="C538" s="57" t="str">
        <f t="array" ref="C538">iferror(_xlfn.XLOOKUP(D538,DATA!B:B,DATA!A:A),"")</f>
        <v/>
      </c>
      <c r="D538" s="82"/>
      <c r="E538" s="89"/>
      <c r="F538" s="83"/>
      <c r="G538" s="78"/>
      <c r="H538" s="64" t="str">
        <f t="array" ref="H538">_xlfn.XLOOKUP(G538,DATA!D:D,DATA!E:E,"")</f>
        <v/>
      </c>
      <c r="I538" s="84"/>
      <c r="J538" s="23"/>
      <c r="K538" s="23"/>
      <c r="L538" s="66" t="str">
        <f t="shared" si="1"/>
        <v/>
      </c>
      <c r="M538" s="77"/>
      <c r="N538" s="78"/>
      <c r="O538" s="66" t="str">
        <f>IF(M538="","",
 IF(M538="عدم پاسخ","بدون پاسخ",
 IF(L538="","اطلاعات ناقص",
 IF(L538&lt;=DATA!$M$1,"رعایت شده","رعایت نشده"))))</f>
        <v/>
      </c>
      <c r="P538" s="79"/>
      <c r="Q538" s="77"/>
      <c r="R538" s="79"/>
      <c r="S538" s="79"/>
      <c r="T538" s="78"/>
      <c r="U538" s="80"/>
      <c r="V538" s="78"/>
      <c r="W538" s="77" t="str">
        <f t="array" ref="W538">IF(D538="","",_xlfn.XLOOKUP(D538,DATA!B:B,DATA!L:L,""))</f>
        <v/>
      </c>
      <c r="X538" s="78" t="str">
        <f t="array" ref="X538">IF(F538="","",_xlfn.XLOOKUP(F538,DATA!B:B,DATA!L:L,""))</f>
        <v/>
      </c>
    </row>
    <row r="539">
      <c r="A539" s="81"/>
      <c r="B539" s="79"/>
      <c r="C539" s="57" t="str">
        <f t="array" ref="C539">iferror(_xlfn.XLOOKUP(D539,DATA!B:B,DATA!A:A),"")</f>
        <v/>
      </c>
      <c r="D539" s="82"/>
      <c r="E539" s="89"/>
      <c r="F539" s="83"/>
      <c r="G539" s="78"/>
      <c r="H539" s="64" t="str">
        <f t="array" ref="H539">_xlfn.XLOOKUP(G539,DATA!D:D,DATA!E:E,"")</f>
        <v/>
      </c>
      <c r="I539" s="84"/>
      <c r="J539" s="23"/>
      <c r="K539" s="23"/>
      <c r="L539" s="66" t="str">
        <f t="shared" si="1"/>
        <v/>
      </c>
      <c r="M539" s="77"/>
      <c r="N539" s="78"/>
      <c r="O539" s="66" t="str">
        <f>IF(M539="","",
 IF(M539="عدم پاسخ","بدون پاسخ",
 IF(L539="","اطلاعات ناقص",
 IF(L539&lt;=DATA!$M$1,"رعایت شده","رعایت نشده"))))</f>
        <v/>
      </c>
      <c r="P539" s="79"/>
      <c r="Q539" s="77"/>
      <c r="R539" s="79"/>
      <c r="S539" s="79"/>
      <c r="T539" s="78"/>
      <c r="U539" s="80"/>
      <c r="V539" s="78"/>
      <c r="W539" s="77" t="str">
        <f t="array" ref="W539">IF(D539="","",_xlfn.XLOOKUP(D539,DATA!B:B,DATA!L:L,""))</f>
        <v/>
      </c>
      <c r="X539" s="78" t="str">
        <f t="array" ref="X539">IF(F539="","",_xlfn.XLOOKUP(F539,DATA!B:B,DATA!L:L,""))</f>
        <v/>
      </c>
    </row>
    <row r="540">
      <c r="A540" s="81"/>
      <c r="B540" s="79"/>
      <c r="C540" s="57" t="str">
        <f t="array" ref="C540">iferror(_xlfn.XLOOKUP(D540,DATA!B:B,DATA!A:A),"")</f>
        <v/>
      </c>
      <c r="D540" s="82"/>
      <c r="E540" s="89"/>
      <c r="F540" s="83"/>
      <c r="G540" s="78"/>
      <c r="H540" s="64" t="str">
        <f t="array" ref="H540">_xlfn.XLOOKUP(G540,DATA!D:D,DATA!E:E,"")</f>
        <v/>
      </c>
      <c r="I540" s="84"/>
      <c r="J540" s="23"/>
      <c r="K540" s="23"/>
      <c r="L540" s="66" t="str">
        <f t="shared" si="1"/>
        <v/>
      </c>
      <c r="M540" s="77"/>
      <c r="N540" s="78"/>
      <c r="O540" s="66" t="str">
        <f>IF(M540="","",
 IF(M540="عدم پاسخ","بدون پاسخ",
 IF(L540="","اطلاعات ناقص",
 IF(L540&lt;=DATA!$M$1,"رعایت شده","رعایت نشده"))))</f>
        <v/>
      </c>
      <c r="P540" s="79"/>
      <c r="Q540" s="77"/>
      <c r="R540" s="79"/>
      <c r="S540" s="79"/>
      <c r="T540" s="78"/>
      <c r="U540" s="80"/>
      <c r="V540" s="78"/>
      <c r="W540" s="77" t="str">
        <f t="array" ref="W540">IF(D540="","",_xlfn.XLOOKUP(D540,DATA!B:B,DATA!L:L,""))</f>
        <v/>
      </c>
      <c r="X540" s="78" t="str">
        <f t="array" ref="X540">IF(F540="","",_xlfn.XLOOKUP(F540,DATA!B:B,DATA!L:L,""))</f>
        <v/>
      </c>
    </row>
    <row r="541">
      <c r="A541" s="81"/>
      <c r="B541" s="79"/>
      <c r="C541" s="57" t="str">
        <f t="array" ref="C541">iferror(_xlfn.XLOOKUP(D541,DATA!B:B,DATA!A:A),"")</f>
        <v/>
      </c>
      <c r="D541" s="82"/>
      <c r="E541" s="89"/>
      <c r="F541" s="83"/>
      <c r="G541" s="78"/>
      <c r="H541" s="64" t="str">
        <f t="array" ref="H541">_xlfn.XLOOKUP(G541,DATA!D:D,DATA!E:E,"")</f>
        <v/>
      </c>
      <c r="I541" s="84"/>
      <c r="J541" s="23"/>
      <c r="K541" s="23"/>
      <c r="L541" s="66" t="str">
        <f t="shared" si="1"/>
        <v/>
      </c>
      <c r="M541" s="77"/>
      <c r="N541" s="78"/>
      <c r="O541" s="66" t="str">
        <f>IF(M541="","",
 IF(M541="عدم پاسخ","بدون پاسخ",
 IF(L541="","اطلاعات ناقص",
 IF(L541&lt;=DATA!$M$1,"رعایت شده","رعایت نشده"))))</f>
        <v/>
      </c>
      <c r="P541" s="79"/>
      <c r="Q541" s="77"/>
      <c r="R541" s="79"/>
      <c r="S541" s="79"/>
      <c r="T541" s="78"/>
      <c r="U541" s="80"/>
      <c r="V541" s="78"/>
      <c r="W541" s="77" t="str">
        <f t="array" ref="W541">IF(D541="","",_xlfn.XLOOKUP(D541,DATA!B:B,DATA!L:L,""))</f>
        <v/>
      </c>
      <c r="X541" s="78" t="str">
        <f t="array" ref="X541">IF(F541="","",_xlfn.XLOOKUP(F541,DATA!B:B,DATA!L:L,""))</f>
        <v/>
      </c>
    </row>
    <row r="542">
      <c r="A542" s="81"/>
      <c r="B542" s="79"/>
      <c r="C542" s="57" t="str">
        <f t="array" ref="C542">iferror(_xlfn.XLOOKUP(D542,DATA!B:B,DATA!A:A),"")</f>
        <v/>
      </c>
      <c r="D542" s="82"/>
      <c r="E542" s="89"/>
      <c r="F542" s="83"/>
      <c r="G542" s="78"/>
      <c r="H542" s="64" t="str">
        <f t="array" ref="H542">_xlfn.XLOOKUP(G542,DATA!D:D,DATA!E:E,"")</f>
        <v/>
      </c>
      <c r="I542" s="84"/>
      <c r="J542" s="23"/>
      <c r="K542" s="23"/>
      <c r="L542" s="66" t="str">
        <f t="shared" si="1"/>
        <v/>
      </c>
      <c r="M542" s="77"/>
      <c r="N542" s="78"/>
      <c r="O542" s="66" t="str">
        <f>IF(M542="","",
 IF(M542="عدم پاسخ","بدون پاسخ",
 IF(L542="","اطلاعات ناقص",
 IF(L542&lt;=DATA!$M$1,"رعایت شده","رعایت نشده"))))</f>
        <v/>
      </c>
      <c r="P542" s="79"/>
      <c r="Q542" s="77"/>
      <c r="R542" s="79"/>
      <c r="S542" s="79"/>
      <c r="T542" s="78"/>
      <c r="U542" s="80"/>
      <c r="V542" s="78"/>
      <c r="W542" s="77" t="str">
        <f t="array" ref="W542">IF(D542="","",_xlfn.XLOOKUP(D542,DATA!B:B,DATA!L:L,""))</f>
        <v/>
      </c>
      <c r="X542" s="78" t="str">
        <f t="array" ref="X542">IF(F542="","",_xlfn.XLOOKUP(F542,DATA!B:B,DATA!L:L,""))</f>
        <v/>
      </c>
    </row>
    <row r="543">
      <c r="A543" s="81"/>
      <c r="B543" s="79"/>
      <c r="C543" s="57" t="str">
        <f t="array" ref="C543">iferror(_xlfn.XLOOKUP(D543,DATA!B:B,DATA!A:A),"")</f>
        <v/>
      </c>
      <c r="D543" s="82"/>
      <c r="E543" s="89"/>
      <c r="F543" s="83"/>
      <c r="G543" s="78"/>
      <c r="H543" s="64" t="str">
        <f t="array" ref="H543">_xlfn.XLOOKUP(G543,DATA!D:D,DATA!E:E,"")</f>
        <v/>
      </c>
      <c r="I543" s="84"/>
      <c r="J543" s="23"/>
      <c r="K543" s="23"/>
      <c r="L543" s="66" t="str">
        <f t="shared" si="1"/>
        <v/>
      </c>
      <c r="M543" s="77"/>
      <c r="N543" s="78"/>
      <c r="O543" s="66" t="str">
        <f>IF(M543="","",
 IF(M543="عدم پاسخ","بدون پاسخ",
 IF(L543="","اطلاعات ناقص",
 IF(L543&lt;=DATA!$M$1,"رعایت شده","رعایت نشده"))))</f>
        <v/>
      </c>
      <c r="P543" s="79"/>
      <c r="Q543" s="77"/>
      <c r="R543" s="79"/>
      <c r="S543" s="79"/>
      <c r="T543" s="78"/>
      <c r="U543" s="80"/>
      <c r="V543" s="78"/>
      <c r="W543" s="77" t="str">
        <f t="array" ref="W543">IF(D543="","",_xlfn.XLOOKUP(D543,DATA!B:B,DATA!L:L,""))</f>
        <v/>
      </c>
      <c r="X543" s="78" t="str">
        <f t="array" ref="X543">IF(F543="","",_xlfn.XLOOKUP(F543,DATA!B:B,DATA!L:L,""))</f>
        <v/>
      </c>
    </row>
    <row r="544">
      <c r="A544" s="81"/>
      <c r="B544" s="79"/>
      <c r="C544" s="57" t="str">
        <f t="array" ref="C544">iferror(_xlfn.XLOOKUP(D544,DATA!B:B,DATA!A:A),"")</f>
        <v/>
      </c>
      <c r="D544" s="82"/>
      <c r="E544" s="89"/>
      <c r="F544" s="83"/>
      <c r="G544" s="78"/>
      <c r="H544" s="64" t="str">
        <f t="array" ref="H544">_xlfn.XLOOKUP(G544,DATA!D:D,DATA!E:E,"")</f>
        <v/>
      </c>
      <c r="I544" s="84"/>
      <c r="J544" s="23"/>
      <c r="K544" s="23"/>
      <c r="L544" s="66" t="str">
        <f t="shared" si="1"/>
        <v/>
      </c>
      <c r="M544" s="77"/>
      <c r="N544" s="78"/>
      <c r="O544" s="66" t="str">
        <f>IF(M544="","",
 IF(M544="عدم پاسخ","بدون پاسخ",
 IF(L544="","اطلاعات ناقص",
 IF(L544&lt;=DATA!$M$1,"رعایت شده","رعایت نشده"))))</f>
        <v/>
      </c>
      <c r="P544" s="79"/>
      <c r="Q544" s="77"/>
      <c r="R544" s="79"/>
      <c r="S544" s="79"/>
      <c r="T544" s="78"/>
      <c r="U544" s="80"/>
      <c r="V544" s="78"/>
      <c r="W544" s="77" t="str">
        <f t="array" ref="W544">IF(D544="","",_xlfn.XLOOKUP(D544,DATA!B:B,DATA!L:L,""))</f>
        <v/>
      </c>
      <c r="X544" s="78" t="str">
        <f t="array" ref="X544">IF(F544="","",_xlfn.XLOOKUP(F544,DATA!B:B,DATA!L:L,""))</f>
        <v/>
      </c>
    </row>
    <row r="545">
      <c r="A545" s="81"/>
      <c r="B545" s="79"/>
      <c r="C545" s="90"/>
      <c r="D545" s="82"/>
      <c r="E545" s="89"/>
      <c r="F545" s="83"/>
      <c r="G545" s="78"/>
      <c r="H545" s="64" t="str">
        <f t="array" ref="H545">_xlfn.XLOOKUP(G545,DATA!D:D,DATA!E:E,"")</f>
        <v/>
      </c>
      <c r="I545" s="84"/>
      <c r="J545" s="23"/>
      <c r="K545" s="23"/>
      <c r="L545" s="66" t="str">
        <f t="shared" si="1"/>
        <v/>
      </c>
      <c r="M545" s="77"/>
      <c r="N545" s="78"/>
      <c r="O545" s="66" t="str">
        <f>IF(M545="","",
 IF(M545="عدم پاسخ","بدون پاسخ",
 IF(L545="","اطلاعات ناقص",
 IF(L545&lt;=DATA!$M$1,"رعایت شده","رعایت نشده"))))</f>
        <v/>
      </c>
      <c r="P545" s="79"/>
      <c r="Q545" s="77"/>
      <c r="R545" s="79"/>
      <c r="S545" s="79"/>
      <c r="T545" s="78"/>
      <c r="U545" s="80"/>
      <c r="V545" s="78"/>
      <c r="W545" s="77" t="str">
        <f t="array" ref="W545">IF(D545="","",_xlfn.XLOOKUP(D545,DATA!B:B,DATA!L:L,""))</f>
        <v/>
      </c>
      <c r="X545" s="78" t="str">
        <f t="array" ref="X545">IF(F545="","",_xlfn.XLOOKUP(F545,DATA!B:B,DATA!L:L,""))</f>
        <v/>
      </c>
    </row>
    <row r="546">
      <c r="A546" s="81"/>
      <c r="B546" s="79"/>
      <c r="C546" s="90"/>
      <c r="D546" s="82"/>
      <c r="E546" s="89"/>
      <c r="F546" s="83"/>
      <c r="G546" s="78"/>
      <c r="H546" s="64" t="str">
        <f t="array" ref="H546">_xlfn.XLOOKUP(G546,DATA!D:D,DATA!E:E,"")</f>
        <v/>
      </c>
      <c r="I546" s="84"/>
      <c r="J546" s="23"/>
      <c r="K546" s="23"/>
      <c r="L546" s="66" t="str">
        <f t="shared" si="1"/>
        <v/>
      </c>
      <c r="M546" s="77"/>
      <c r="N546" s="78"/>
      <c r="O546" s="66" t="str">
        <f>IF(M546="","",
 IF(M546="عدم پاسخ","بدون پاسخ",
 IF(L546="","اطلاعات ناقص",
 IF(L546&lt;=DATA!$M$1,"رعایت شده","رعایت نشده"))))</f>
        <v/>
      </c>
      <c r="P546" s="79"/>
      <c r="Q546" s="77"/>
      <c r="R546" s="79"/>
      <c r="S546" s="79"/>
      <c r="T546" s="78"/>
      <c r="U546" s="80"/>
      <c r="V546" s="78"/>
      <c r="W546" s="77" t="str">
        <f t="array" ref="W546">IF(D546="","",_xlfn.XLOOKUP(D546,DATA!B:B,DATA!L:L,""))</f>
        <v/>
      </c>
      <c r="X546" s="78" t="str">
        <f t="array" ref="X546">IF(F546="","",_xlfn.XLOOKUP(F546,DATA!B:B,DATA!L:L,""))</f>
        <v/>
      </c>
    </row>
    <row r="547">
      <c r="A547" s="81"/>
      <c r="B547" s="79"/>
      <c r="C547" s="90"/>
      <c r="D547" s="82"/>
      <c r="E547" s="89"/>
      <c r="F547" s="83"/>
      <c r="G547" s="78"/>
      <c r="H547" s="64" t="str">
        <f t="array" ref="H547">_xlfn.XLOOKUP(G547,DATA!D:D,DATA!E:E,"")</f>
        <v/>
      </c>
      <c r="I547" s="84"/>
      <c r="J547" s="23"/>
      <c r="K547" s="23"/>
      <c r="L547" s="66" t="str">
        <f t="shared" si="1"/>
        <v/>
      </c>
      <c r="M547" s="77"/>
      <c r="N547" s="78"/>
      <c r="O547" s="66" t="str">
        <f>IF(M547="","",
 IF(M547="عدم پاسخ","بدون پاسخ",
 IF(L547="","اطلاعات ناقص",
 IF(L547&lt;=DATA!$M$1,"رعایت شده","رعایت نشده"))))</f>
        <v/>
      </c>
      <c r="P547" s="79"/>
      <c r="Q547" s="77"/>
      <c r="R547" s="79"/>
      <c r="S547" s="79"/>
      <c r="T547" s="78"/>
      <c r="U547" s="80"/>
      <c r="V547" s="78"/>
      <c r="W547" s="77" t="str">
        <f t="array" ref="W547">IF(D547="","",_xlfn.XLOOKUP(D547,DATA!B:B,DATA!L:L,""))</f>
        <v/>
      </c>
      <c r="X547" s="78" t="str">
        <f t="array" ref="X547">IF(F547="","",_xlfn.XLOOKUP(F547,DATA!B:B,DATA!L:L,""))</f>
        <v/>
      </c>
    </row>
    <row r="548">
      <c r="A548" s="81"/>
      <c r="B548" s="79"/>
      <c r="C548" s="90"/>
      <c r="D548" s="82"/>
      <c r="E548" s="89"/>
      <c r="F548" s="83"/>
      <c r="G548" s="78"/>
      <c r="H548" s="64" t="str">
        <f t="array" ref="H548">_xlfn.XLOOKUP(G548,DATA!D:D,DATA!E:E,"")</f>
        <v/>
      </c>
      <c r="I548" s="84"/>
      <c r="J548" s="23"/>
      <c r="K548" s="23"/>
      <c r="L548" s="66" t="str">
        <f t="shared" si="1"/>
        <v/>
      </c>
      <c r="M548" s="77"/>
      <c r="N548" s="78"/>
      <c r="O548" s="66" t="str">
        <f>IF(M548="","",
 IF(M548="عدم پاسخ","بدون پاسخ",
 IF(L548="","اطلاعات ناقص",
 IF(L548&lt;=DATA!$M$1,"رعایت شده","رعایت نشده"))))</f>
        <v/>
      </c>
      <c r="P548" s="79"/>
      <c r="Q548" s="77"/>
      <c r="R548" s="79"/>
      <c r="S548" s="79"/>
      <c r="T548" s="78"/>
      <c r="U548" s="80"/>
      <c r="V548" s="78"/>
      <c r="W548" s="77" t="str">
        <f t="array" ref="W548">IF(D548="","",_xlfn.XLOOKUP(D548,DATA!B:B,DATA!L:L,""))</f>
        <v/>
      </c>
      <c r="X548" s="78" t="str">
        <f t="array" ref="X548">IF(F548="","",_xlfn.XLOOKUP(F548,DATA!B:B,DATA!L:L,""))</f>
        <v/>
      </c>
    </row>
    <row r="549">
      <c r="A549" s="81"/>
      <c r="B549" s="79"/>
      <c r="C549" s="90"/>
      <c r="D549" s="82"/>
      <c r="E549" s="89"/>
      <c r="F549" s="83"/>
      <c r="G549" s="78"/>
      <c r="H549" s="64" t="str">
        <f t="array" ref="H549">_xlfn.XLOOKUP(G549,DATA!D:D,DATA!E:E,"")</f>
        <v/>
      </c>
      <c r="I549" s="84"/>
      <c r="J549" s="23"/>
      <c r="K549" s="23"/>
      <c r="L549" s="66" t="str">
        <f t="shared" si="1"/>
        <v/>
      </c>
      <c r="M549" s="77"/>
      <c r="N549" s="78"/>
      <c r="O549" s="66" t="str">
        <f>IF(M549="","",
 IF(M549="عدم پاسخ","بدون پاسخ",
 IF(L549="","اطلاعات ناقص",
 IF(L549&lt;=DATA!$M$1,"رعایت شده","رعایت نشده"))))</f>
        <v/>
      </c>
      <c r="P549" s="79"/>
      <c r="Q549" s="77"/>
      <c r="R549" s="79"/>
      <c r="S549" s="79"/>
      <c r="T549" s="78"/>
      <c r="U549" s="80"/>
      <c r="V549" s="78"/>
      <c r="W549" s="77" t="str">
        <f t="array" ref="W549">IF(D549="","",_xlfn.XLOOKUP(D549,DATA!B:B,DATA!L:L,""))</f>
        <v/>
      </c>
      <c r="X549" s="78" t="str">
        <f t="array" ref="X549">IF(F549="","",_xlfn.XLOOKUP(F549,DATA!B:B,DATA!L:L,""))</f>
        <v/>
      </c>
    </row>
    <row r="550">
      <c r="A550" s="81"/>
      <c r="B550" s="79"/>
      <c r="C550" s="90"/>
      <c r="D550" s="82"/>
      <c r="E550" s="89"/>
      <c r="F550" s="83"/>
      <c r="G550" s="78"/>
      <c r="H550" s="64" t="str">
        <f t="array" ref="H550">_xlfn.XLOOKUP(G550,DATA!D:D,DATA!E:E,"")</f>
        <v/>
      </c>
      <c r="I550" s="84"/>
      <c r="J550" s="23"/>
      <c r="K550" s="23"/>
      <c r="L550" s="66" t="str">
        <f t="shared" si="1"/>
        <v/>
      </c>
      <c r="M550" s="77"/>
      <c r="N550" s="78"/>
      <c r="O550" s="66" t="str">
        <f>IF(M550="","",
 IF(M550="عدم پاسخ","بدون پاسخ",
 IF(L550="","اطلاعات ناقص",
 IF(L550&lt;=DATA!$M$1,"رعایت شده","رعایت نشده"))))</f>
        <v/>
      </c>
      <c r="P550" s="79"/>
      <c r="Q550" s="77"/>
      <c r="R550" s="79"/>
      <c r="S550" s="79"/>
      <c r="T550" s="78"/>
      <c r="U550" s="80"/>
      <c r="V550" s="78"/>
      <c r="W550" s="77" t="str">
        <f t="array" ref="W550">IF(D550="","",_xlfn.XLOOKUP(D550,DATA!B:B,DATA!L:L,""))</f>
        <v/>
      </c>
      <c r="X550" s="78" t="str">
        <f t="array" ref="X550">IF(F550="","",_xlfn.XLOOKUP(F550,DATA!B:B,DATA!L:L,""))</f>
        <v/>
      </c>
    </row>
    <row r="551">
      <c r="A551" s="81"/>
      <c r="B551" s="79"/>
      <c r="C551" s="90"/>
      <c r="D551" s="82"/>
      <c r="E551" s="89"/>
      <c r="F551" s="83"/>
      <c r="G551" s="78"/>
      <c r="H551" s="64" t="str">
        <f t="array" ref="H551">_xlfn.XLOOKUP(G551,DATA!D:D,DATA!E:E,"")</f>
        <v/>
      </c>
      <c r="I551" s="84"/>
      <c r="J551" s="23"/>
      <c r="K551" s="23"/>
      <c r="L551" s="66" t="str">
        <f t="shared" si="1"/>
        <v/>
      </c>
      <c r="M551" s="77"/>
      <c r="N551" s="78"/>
      <c r="O551" s="66" t="str">
        <f>IF(M551="","",
 IF(M551="عدم پاسخ","بدون پاسخ",
 IF(L551="","اطلاعات ناقص",
 IF(L551&lt;=DATA!$M$1,"رعایت شده","رعایت نشده"))))</f>
        <v/>
      </c>
      <c r="P551" s="79"/>
      <c r="Q551" s="77"/>
      <c r="R551" s="79"/>
      <c r="S551" s="79"/>
      <c r="T551" s="78"/>
      <c r="U551" s="80"/>
      <c r="V551" s="78"/>
      <c r="W551" s="77" t="str">
        <f t="array" ref="W551">IF(D551="","",_xlfn.XLOOKUP(D551,DATA!B:B,DATA!L:L,""))</f>
        <v/>
      </c>
      <c r="X551" s="78" t="str">
        <f t="array" ref="X551">IF(F551="","",_xlfn.XLOOKUP(F551,DATA!B:B,DATA!L:L,""))</f>
        <v/>
      </c>
    </row>
    <row r="552">
      <c r="A552" s="81"/>
      <c r="B552" s="79"/>
      <c r="C552" s="90"/>
      <c r="D552" s="82"/>
      <c r="E552" s="89"/>
      <c r="F552" s="83"/>
      <c r="G552" s="78"/>
      <c r="H552" s="64" t="str">
        <f t="array" ref="H552">_xlfn.XLOOKUP(G552,DATA!D:D,DATA!E:E,"")</f>
        <v/>
      </c>
      <c r="I552" s="84"/>
      <c r="J552" s="23"/>
      <c r="K552" s="23"/>
      <c r="L552" s="66" t="str">
        <f t="shared" si="1"/>
        <v/>
      </c>
      <c r="M552" s="77"/>
      <c r="N552" s="78"/>
      <c r="O552" s="66" t="str">
        <f>IF(M552="","",
 IF(M552="عدم پاسخ","بدون پاسخ",
 IF(L552="","اطلاعات ناقص",
 IF(L552&lt;=DATA!$M$1,"رعایت شده","رعایت نشده"))))</f>
        <v/>
      </c>
      <c r="P552" s="79"/>
      <c r="Q552" s="77"/>
      <c r="R552" s="79"/>
      <c r="S552" s="79"/>
      <c r="T552" s="78"/>
      <c r="U552" s="80"/>
      <c r="V552" s="78"/>
      <c r="W552" s="77" t="str">
        <f t="array" ref="W552">IF(D552="","",_xlfn.XLOOKUP(D552,DATA!B:B,DATA!L:L,""))</f>
        <v/>
      </c>
      <c r="X552" s="78" t="str">
        <f t="array" ref="X552">IF(F552="","",_xlfn.XLOOKUP(F552,DATA!B:B,DATA!L:L,""))</f>
        <v/>
      </c>
    </row>
    <row r="553">
      <c r="A553" s="81"/>
      <c r="B553" s="79"/>
      <c r="C553" s="90"/>
      <c r="D553" s="82"/>
      <c r="E553" s="89"/>
      <c r="F553" s="83"/>
      <c r="G553" s="78"/>
      <c r="H553" s="64" t="str">
        <f t="array" ref="H553">_xlfn.XLOOKUP(G553,DATA!D:D,DATA!E:E,"")</f>
        <v/>
      </c>
      <c r="I553" s="84"/>
      <c r="J553" s="23"/>
      <c r="K553" s="23"/>
      <c r="L553" s="66" t="str">
        <f t="shared" si="1"/>
        <v/>
      </c>
      <c r="M553" s="77"/>
      <c r="N553" s="78"/>
      <c r="O553" s="66" t="str">
        <f>IF(M553="","",
 IF(M553="عدم پاسخ","بدون پاسخ",
 IF(L553="","اطلاعات ناقص",
 IF(L553&lt;=DATA!$M$1,"رعایت شده","رعایت نشده"))))</f>
        <v/>
      </c>
      <c r="P553" s="79"/>
      <c r="Q553" s="77"/>
      <c r="R553" s="79"/>
      <c r="S553" s="79"/>
      <c r="T553" s="78"/>
      <c r="U553" s="80"/>
      <c r="V553" s="78"/>
      <c r="W553" s="77" t="str">
        <f t="array" ref="W553">IF(D553="","",_xlfn.XLOOKUP(D553,DATA!B:B,DATA!L:L,""))</f>
        <v/>
      </c>
      <c r="X553" s="78" t="str">
        <f t="array" ref="X553">IF(F553="","",_xlfn.XLOOKUP(F553,DATA!B:B,DATA!L:L,""))</f>
        <v/>
      </c>
    </row>
    <row r="554">
      <c r="A554" s="81"/>
      <c r="B554" s="79"/>
      <c r="C554" s="90"/>
      <c r="D554" s="82"/>
      <c r="E554" s="89"/>
      <c r="F554" s="83"/>
      <c r="G554" s="78"/>
      <c r="H554" s="64" t="str">
        <f t="array" ref="H554">_xlfn.XLOOKUP(G554,DATA!D:D,DATA!E:E,"")</f>
        <v/>
      </c>
      <c r="I554" s="84"/>
      <c r="J554" s="23"/>
      <c r="K554" s="23"/>
      <c r="L554" s="66" t="str">
        <f t="shared" si="1"/>
        <v/>
      </c>
      <c r="M554" s="77"/>
      <c r="N554" s="78"/>
      <c r="O554" s="66" t="str">
        <f>IF(M554="","",
 IF(M554="عدم پاسخ","بدون پاسخ",
 IF(L554="","اطلاعات ناقص",
 IF(L554&lt;=DATA!$M$1,"رعایت شده","رعایت نشده"))))</f>
        <v/>
      </c>
      <c r="P554" s="79"/>
      <c r="Q554" s="77"/>
      <c r="R554" s="79"/>
      <c r="S554" s="79"/>
      <c r="T554" s="78"/>
      <c r="U554" s="80"/>
      <c r="V554" s="78"/>
      <c r="W554" s="77" t="str">
        <f t="array" ref="W554">IF(D554="","",_xlfn.XLOOKUP(D554,DATA!B:B,DATA!L:L,""))</f>
        <v/>
      </c>
      <c r="X554" s="78" t="str">
        <f t="array" ref="X554">IF(F554="","",_xlfn.XLOOKUP(F554,DATA!B:B,DATA!L:L,""))</f>
        <v/>
      </c>
    </row>
    <row r="555">
      <c r="A555" s="81"/>
      <c r="B555" s="79"/>
      <c r="C555" s="90"/>
      <c r="D555" s="82"/>
      <c r="E555" s="89"/>
      <c r="F555" s="83"/>
      <c r="G555" s="78"/>
      <c r="H555" s="64" t="str">
        <f t="array" ref="H555">_xlfn.XLOOKUP(G555,DATA!D:D,DATA!E:E,"")</f>
        <v/>
      </c>
      <c r="I555" s="84"/>
      <c r="J555" s="23"/>
      <c r="K555" s="23"/>
      <c r="L555" s="66" t="str">
        <f t="shared" si="1"/>
        <v/>
      </c>
      <c r="M555" s="77"/>
      <c r="N555" s="78"/>
      <c r="O555" s="66" t="str">
        <f>IF(M555="","",
 IF(M555="عدم پاسخ","بدون پاسخ",
 IF(L555="","اطلاعات ناقص",
 IF(L555&lt;=DATA!$M$1,"رعایت شده","رعایت نشده"))))</f>
        <v/>
      </c>
      <c r="P555" s="79"/>
      <c r="Q555" s="77"/>
      <c r="R555" s="79"/>
      <c r="S555" s="79"/>
      <c r="T555" s="78"/>
      <c r="U555" s="80"/>
      <c r="V555" s="78"/>
      <c r="W555" s="77" t="str">
        <f t="array" ref="W555">IF(D555="","",_xlfn.XLOOKUP(D555,DATA!B:B,DATA!L:L,""))</f>
        <v/>
      </c>
      <c r="X555" s="78" t="str">
        <f t="array" ref="X555">IF(F555="","",_xlfn.XLOOKUP(F555,DATA!B:B,DATA!L:L,""))</f>
        <v/>
      </c>
    </row>
    <row r="556">
      <c r="A556" s="81"/>
      <c r="B556" s="79"/>
      <c r="C556" s="90"/>
      <c r="D556" s="82"/>
      <c r="E556" s="89"/>
      <c r="F556" s="83"/>
      <c r="G556" s="78"/>
      <c r="H556" s="64" t="str">
        <f t="array" ref="H556">_xlfn.XLOOKUP(G556,DATA!D:D,DATA!E:E,"")</f>
        <v/>
      </c>
      <c r="I556" s="84"/>
      <c r="J556" s="23"/>
      <c r="K556" s="23"/>
      <c r="L556" s="66" t="str">
        <f t="shared" si="1"/>
        <v/>
      </c>
      <c r="M556" s="77"/>
      <c r="N556" s="78"/>
      <c r="O556" s="66" t="str">
        <f>IF(M556="","",
 IF(M556="عدم پاسخ","بدون پاسخ",
 IF(L556="","اطلاعات ناقص",
 IF(L556&lt;=DATA!$M$1,"رعایت شده","رعایت نشده"))))</f>
        <v/>
      </c>
      <c r="P556" s="79"/>
      <c r="Q556" s="77"/>
      <c r="R556" s="79"/>
      <c r="S556" s="79"/>
      <c r="T556" s="78"/>
      <c r="U556" s="80"/>
      <c r="V556" s="78"/>
      <c r="W556" s="77" t="str">
        <f t="array" ref="W556">IF(D556="","",_xlfn.XLOOKUP(D556,DATA!B:B,DATA!L:L,""))</f>
        <v/>
      </c>
      <c r="X556" s="78" t="str">
        <f t="array" ref="X556">IF(F556="","",_xlfn.XLOOKUP(F556,DATA!B:B,DATA!L:L,""))</f>
        <v/>
      </c>
    </row>
    <row r="557">
      <c r="A557" s="81"/>
      <c r="B557" s="79"/>
      <c r="C557" s="90"/>
      <c r="D557" s="82"/>
      <c r="E557" s="89"/>
      <c r="F557" s="83"/>
      <c r="G557" s="78"/>
      <c r="H557" s="64" t="str">
        <f t="array" ref="H557">_xlfn.XLOOKUP(G557,DATA!D:D,DATA!E:E,"")</f>
        <v/>
      </c>
      <c r="I557" s="84"/>
      <c r="J557" s="23"/>
      <c r="K557" s="23"/>
      <c r="L557" s="66" t="str">
        <f t="shared" si="1"/>
        <v/>
      </c>
      <c r="M557" s="77"/>
      <c r="N557" s="78"/>
      <c r="O557" s="66" t="str">
        <f>IF(M557="","",
 IF(M557="عدم پاسخ","بدون پاسخ",
 IF(L557="","اطلاعات ناقص",
 IF(L557&lt;=DATA!$M$1,"رعایت شده","رعایت نشده"))))</f>
        <v/>
      </c>
      <c r="P557" s="79"/>
      <c r="Q557" s="77"/>
      <c r="R557" s="79"/>
      <c r="S557" s="79"/>
      <c r="T557" s="78"/>
      <c r="U557" s="80"/>
      <c r="V557" s="78"/>
      <c r="W557" s="77" t="str">
        <f t="array" ref="W557">IF(D557="","",_xlfn.XLOOKUP(D557,DATA!B:B,DATA!L:L,""))</f>
        <v/>
      </c>
      <c r="X557" s="78" t="str">
        <f t="array" ref="X557">IF(F557="","",_xlfn.XLOOKUP(F557,DATA!B:B,DATA!L:L,""))</f>
        <v/>
      </c>
    </row>
    <row r="558">
      <c r="A558" s="81"/>
      <c r="B558" s="79"/>
      <c r="C558" s="90"/>
      <c r="D558" s="82"/>
      <c r="E558" s="89"/>
      <c r="F558" s="83"/>
      <c r="G558" s="78"/>
      <c r="H558" s="64" t="str">
        <f t="array" ref="H558">_xlfn.XLOOKUP(G558,DATA!D:D,DATA!E:E,"")</f>
        <v/>
      </c>
      <c r="I558" s="84"/>
      <c r="J558" s="23"/>
      <c r="K558" s="23"/>
      <c r="L558" s="66" t="str">
        <f t="shared" si="1"/>
        <v/>
      </c>
      <c r="M558" s="77"/>
      <c r="N558" s="78"/>
      <c r="O558" s="66" t="str">
        <f>IF(M558="","",
 IF(M558="عدم پاسخ","بدون پاسخ",
 IF(L558="","اطلاعات ناقص",
 IF(L558&lt;=DATA!$M$1,"رعایت شده","رعایت نشده"))))</f>
        <v/>
      </c>
      <c r="P558" s="79"/>
      <c r="Q558" s="77"/>
      <c r="R558" s="79"/>
      <c r="S558" s="79"/>
      <c r="T558" s="78"/>
      <c r="U558" s="80"/>
      <c r="V558" s="78"/>
      <c r="W558" s="77" t="str">
        <f t="array" ref="W558">IF(D558="","",_xlfn.XLOOKUP(D558,DATA!B:B,DATA!L:L,""))</f>
        <v/>
      </c>
      <c r="X558" s="78" t="str">
        <f t="array" ref="X558">IF(F558="","",_xlfn.XLOOKUP(F558,DATA!B:B,DATA!L:L,""))</f>
        <v/>
      </c>
    </row>
    <row r="559">
      <c r="A559" s="81"/>
      <c r="B559" s="79"/>
      <c r="C559" s="90"/>
      <c r="D559" s="82"/>
      <c r="E559" s="89"/>
      <c r="F559" s="83"/>
      <c r="G559" s="78"/>
      <c r="H559" s="64" t="str">
        <f t="array" ref="H559">_xlfn.XLOOKUP(G559,DATA!D:D,DATA!E:E,"")</f>
        <v/>
      </c>
      <c r="I559" s="84"/>
      <c r="J559" s="23"/>
      <c r="K559" s="23"/>
      <c r="L559" s="66" t="str">
        <f t="shared" si="1"/>
        <v/>
      </c>
      <c r="M559" s="77"/>
      <c r="N559" s="78"/>
      <c r="O559" s="66" t="str">
        <f>IF(M559="","",
 IF(M559="عدم پاسخ","بدون پاسخ",
 IF(L559="","اطلاعات ناقص",
 IF(L559&lt;=DATA!$M$1,"رعایت شده","رعایت نشده"))))</f>
        <v/>
      </c>
      <c r="P559" s="79"/>
      <c r="Q559" s="77"/>
      <c r="R559" s="79"/>
      <c r="S559" s="79"/>
      <c r="T559" s="78"/>
      <c r="U559" s="80"/>
      <c r="V559" s="78"/>
      <c r="W559" s="77" t="str">
        <f t="array" ref="W559">IF(D559="","",_xlfn.XLOOKUP(D559,DATA!B:B,DATA!L:L,""))</f>
        <v/>
      </c>
      <c r="X559" s="78" t="str">
        <f t="array" ref="X559">IF(F559="","",_xlfn.XLOOKUP(F559,DATA!B:B,DATA!L:L,""))</f>
        <v/>
      </c>
    </row>
    <row r="560">
      <c r="A560" s="81"/>
      <c r="B560" s="79"/>
      <c r="C560" s="90"/>
      <c r="D560" s="82"/>
      <c r="E560" s="89"/>
      <c r="F560" s="83"/>
      <c r="G560" s="78"/>
      <c r="H560" s="64" t="str">
        <f t="array" ref="H560">_xlfn.XLOOKUP(G560,DATA!D:D,DATA!E:E,"")</f>
        <v/>
      </c>
      <c r="I560" s="84"/>
      <c r="J560" s="23"/>
      <c r="K560" s="23"/>
      <c r="L560" s="66" t="str">
        <f t="shared" si="1"/>
        <v/>
      </c>
      <c r="M560" s="77"/>
      <c r="N560" s="78"/>
      <c r="O560" s="66" t="str">
        <f>IF(M560="","",
 IF(M560="عدم پاسخ","بدون پاسخ",
 IF(L560="","اطلاعات ناقص",
 IF(L560&lt;=DATA!$M$1,"رعایت شده","رعایت نشده"))))</f>
        <v/>
      </c>
      <c r="P560" s="79"/>
      <c r="Q560" s="77"/>
      <c r="R560" s="79"/>
      <c r="S560" s="79"/>
      <c r="T560" s="78"/>
      <c r="U560" s="80"/>
      <c r="V560" s="78"/>
      <c r="W560" s="77" t="str">
        <f t="array" ref="W560">IF(D560="","",_xlfn.XLOOKUP(D560,DATA!B:B,DATA!L:L,""))</f>
        <v/>
      </c>
      <c r="X560" s="78" t="str">
        <f t="array" ref="X560">IF(F560="","",_xlfn.XLOOKUP(F560,DATA!B:B,DATA!L:L,""))</f>
        <v/>
      </c>
    </row>
    <row r="561">
      <c r="A561" s="81"/>
      <c r="B561" s="79"/>
      <c r="C561" s="90"/>
      <c r="D561" s="82"/>
      <c r="E561" s="89"/>
      <c r="F561" s="83"/>
      <c r="G561" s="78"/>
      <c r="H561" s="64" t="str">
        <f t="array" ref="H561">_xlfn.XLOOKUP(G561,DATA!D:D,DATA!E:E,"")</f>
        <v/>
      </c>
      <c r="I561" s="84"/>
      <c r="J561" s="23"/>
      <c r="K561" s="23"/>
      <c r="L561" s="66" t="str">
        <f t="shared" si="1"/>
        <v/>
      </c>
      <c r="M561" s="77"/>
      <c r="N561" s="78"/>
      <c r="O561" s="66" t="str">
        <f>IF(M561="","",
 IF(M561="عدم پاسخ","بدون پاسخ",
 IF(L561="","اطلاعات ناقص",
 IF(L561&lt;=DATA!$M$1,"رعایت شده","رعایت نشده"))))</f>
        <v/>
      </c>
      <c r="P561" s="79"/>
      <c r="Q561" s="77"/>
      <c r="R561" s="79"/>
      <c r="S561" s="79"/>
      <c r="T561" s="78"/>
      <c r="U561" s="80"/>
      <c r="V561" s="78"/>
      <c r="W561" s="77" t="str">
        <f t="array" ref="W561">IF(D561="","",_xlfn.XLOOKUP(D561,DATA!B:B,DATA!L:L,""))</f>
        <v/>
      </c>
      <c r="X561" s="78" t="str">
        <f t="array" ref="X561">IF(F561="","",_xlfn.XLOOKUP(F561,DATA!B:B,DATA!L:L,""))</f>
        <v/>
      </c>
    </row>
    <row r="562">
      <c r="A562" s="81"/>
      <c r="B562" s="79"/>
      <c r="C562" s="90"/>
      <c r="D562" s="82"/>
      <c r="E562" s="89"/>
      <c r="F562" s="83"/>
      <c r="G562" s="78"/>
      <c r="H562" s="64" t="str">
        <f t="array" ref="H562">_xlfn.XLOOKUP(G562,DATA!D:D,DATA!E:E,"")</f>
        <v/>
      </c>
      <c r="I562" s="84"/>
      <c r="J562" s="23"/>
      <c r="K562" s="23"/>
      <c r="L562" s="66" t="str">
        <f t="shared" si="1"/>
        <v/>
      </c>
      <c r="M562" s="77"/>
      <c r="N562" s="78"/>
      <c r="O562" s="66" t="str">
        <f>IF(M562="","",
 IF(M562="عدم پاسخ","بدون پاسخ",
 IF(L562="","اطلاعات ناقص",
 IF(L562&lt;=DATA!$M$1,"رعایت شده","رعایت نشده"))))</f>
        <v/>
      </c>
      <c r="P562" s="79"/>
      <c r="Q562" s="77"/>
      <c r="R562" s="79"/>
      <c r="S562" s="79"/>
      <c r="T562" s="78"/>
      <c r="U562" s="80"/>
      <c r="V562" s="78"/>
      <c r="W562" s="77" t="str">
        <f t="array" ref="W562">IF(D562="","",_xlfn.XLOOKUP(D562,DATA!B:B,DATA!L:L,""))</f>
        <v/>
      </c>
      <c r="X562" s="78" t="str">
        <f t="array" ref="X562">IF(F562="","",_xlfn.XLOOKUP(F562,DATA!B:B,DATA!L:L,""))</f>
        <v/>
      </c>
    </row>
    <row r="563">
      <c r="A563" s="81"/>
      <c r="B563" s="79"/>
      <c r="C563" s="90"/>
      <c r="D563" s="82"/>
      <c r="E563" s="89"/>
      <c r="F563" s="83"/>
      <c r="G563" s="78"/>
      <c r="H563" s="64" t="str">
        <f t="array" ref="H563">_xlfn.XLOOKUP(G563,DATA!D:D,DATA!E:E,"")</f>
        <v/>
      </c>
      <c r="I563" s="84"/>
      <c r="J563" s="23"/>
      <c r="K563" s="23"/>
      <c r="L563" s="66" t="str">
        <f t="shared" si="1"/>
        <v/>
      </c>
      <c r="M563" s="77"/>
      <c r="N563" s="78"/>
      <c r="O563" s="66" t="str">
        <f>IF(M563="","",
 IF(M563="عدم پاسخ","بدون پاسخ",
 IF(L563="","اطلاعات ناقص",
 IF(L563&lt;=DATA!$M$1,"رعایت شده","رعایت نشده"))))</f>
        <v/>
      </c>
      <c r="P563" s="79"/>
      <c r="Q563" s="77"/>
      <c r="R563" s="79"/>
      <c r="S563" s="79"/>
      <c r="T563" s="78"/>
      <c r="U563" s="80"/>
      <c r="V563" s="78"/>
      <c r="W563" s="77" t="str">
        <f t="array" ref="W563">IF(D563="","",_xlfn.XLOOKUP(D563,DATA!B:B,DATA!L:L,""))</f>
        <v/>
      </c>
      <c r="X563" s="78" t="str">
        <f t="array" ref="X563">IF(F563="","",_xlfn.XLOOKUP(F563,DATA!B:B,DATA!L:L,""))</f>
        <v/>
      </c>
    </row>
    <row r="564">
      <c r="A564" s="81"/>
      <c r="B564" s="79"/>
      <c r="C564" s="90"/>
      <c r="D564" s="82"/>
      <c r="E564" s="89"/>
      <c r="F564" s="83"/>
      <c r="G564" s="78"/>
      <c r="H564" s="64" t="str">
        <f t="array" ref="H564">_xlfn.XLOOKUP(G564,DATA!D:D,DATA!E:E,"")</f>
        <v/>
      </c>
      <c r="I564" s="84"/>
      <c r="J564" s="23"/>
      <c r="K564" s="23"/>
      <c r="L564" s="66" t="str">
        <f t="shared" si="1"/>
        <v/>
      </c>
      <c r="M564" s="77"/>
      <c r="N564" s="78"/>
      <c r="O564" s="66" t="str">
        <f>IF(M564="","",
 IF(M564="عدم پاسخ","بدون پاسخ",
 IF(L564="","اطلاعات ناقص",
 IF(L564&lt;=DATA!$M$1,"رعایت شده","رعایت نشده"))))</f>
        <v/>
      </c>
      <c r="P564" s="79"/>
      <c r="Q564" s="77"/>
      <c r="R564" s="79"/>
      <c r="S564" s="79"/>
      <c r="T564" s="78"/>
      <c r="U564" s="80"/>
      <c r="V564" s="78"/>
      <c r="W564" s="77" t="str">
        <f t="array" ref="W564">IF(D564="","",_xlfn.XLOOKUP(D564,DATA!B:B,DATA!L:L,""))</f>
        <v/>
      </c>
      <c r="X564" s="78" t="str">
        <f t="array" ref="X564">IF(F564="","",_xlfn.XLOOKUP(F564,DATA!B:B,DATA!L:L,""))</f>
        <v/>
      </c>
    </row>
    <row r="565">
      <c r="A565" s="81"/>
      <c r="B565" s="79"/>
      <c r="C565" s="90"/>
      <c r="D565" s="82"/>
      <c r="E565" s="89"/>
      <c r="F565" s="83"/>
      <c r="G565" s="78"/>
      <c r="H565" s="64" t="str">
        <f t="array" ref="H565">_xlfn.XLOOKUP(G565,DATA!D:D,DATA!E:E,"")</f>
        <v/>
      </c>
      <c r="I565" s="84"/>
      <c r="J565" s="23"/>
      <c r="K565" s="23"/>
      <c r="L565" s="66" t="str">
        <f t="shared" si="1"/>
        <v/>
      </c>
      <c r="M565" s="77"/>
      <c r="N565" s="78"/>
      <c r="O565" s="66" t="str">
        <f>IF(M565="","",
 IF(M565="عدم پاسخ","بدون پاسخ",
 IF(L565="","اطلاعات ناقص",
 IF(L565&lt;=DATA!$M$1,"رعایت شده","رعایت نشده"))))</f>
        <v/>
      </c>
      <c r="P565" s="79"/>
      <c r="Q565" s="77"/>
      <c r="R565" s="79"/>
      <c r="S565" s="79"/>
      <c r="T565" s="78"/>
      <c r="U565" s="80"/>
      <c r="V565" s="78"/>
      <c r="W565" s="77" t="str">
        <f t="array" ref="W565">IF(D565="","",_xlfn.XLOOKUP(D565,DATA!B:B,DATA!L:L,""))</f>
        <v/>
      </c>
      <c r="X565" s="78" t="str">
        <f t="array" ref="X565">IF(F565="","",_xlfn.XLOOKUP(F565,DATA!B:B,DATA!L:L,""))</f>
        <v/>
      </c>
    </row>
    <row r="566">
      <c r="A566" s="81"/>
      <c r="B566" s="79"/>
      <c r="C566" s="90"/>
      <c r="D566" s="82"/>
      <c r="E566" s="89"/>
      <c r="F566" s="83"/>
      <c r="G566" s="78"/>
      <c r="H566" s="64" t="str">
        <f t="array" ref="H566">_xlfn.XLOOKUP(G566,DATA!D:D,DATA!E:E,"")</f>
        <v/>
      </c>
      <c r="I566" s="84"/>
      <c r="J566" s="23"/>
      <c r="K566" s="23"/>
      <c r="L566" s="66" t="str">
        <f t="shared" si="1"/>
        <v/>
      </c>
      <c r="M566" s="77"/>
      <c r="N566" s="78"/>
      <c r="O566" s="66" t="str">
        <f>IF(M566="","",
 IF(M566="عدم پاسخ","بدون پاسخ",
 IF(L566="","اطلاعات ناقص",
 IF(L566&lt;=DATA!$M$1,"رعایت شده","رعایت نشده"))))</f>
        <v/>
      </c>
      <c r="P566" s="79"/>
      <c r="Q566" s="77"/>
      <c r="R566" s="79"/>
      <c r="S566" s="79"/>
      <c r="T566" s="78"/>
      <c r="U566" s="80"/>
      <c r="V566" s="78"/>
      <c r="W566" s="77" t="str">
        <f t="array" ref="W566">IF(D566="","",_xlfn.XLOOKUP(D566,DATA!B:B,DATA!L:L,""))</f>
        <v/>
      </c>
      <c r="X566" s="78" t="str">
        <f t="array" ref="X566">IF(F566="","",_xlfn.XLOOKUP(F566,DATA!B:B,DATA!L:L,""))</f>
        <v/>
      </c>
    </row>
    <row r="567">
      <c r="A567" s="81"/>
      <c r="B567" s="79"/>
      <c r="C567" s="90"/>
      <c r="D567" s="82"/>
      <c r="E567" s="89"/>
      <c r="F567" s="83"/>
      <c r="G567" s="78"/>
      <c r="H567" s="64" t="str">
        <f t="array" ref="H567">_xlfn.XLOOKUP(G567,DATA!D:D,DATA!E:E,"")</f>
        <v/>
      </c>
      <c r="I567" s="84"/>
      <c r="J567" s="23"/>
      <c r="K567" s="23"/>
      <c r="L567" s="66" t="str">
        <f t="shared" si="1"/>
        <v/>
      </c>
      <c r="M567" s="77"/>
      <c r="N567" s="78"/>
      <c r="O567" s="66" t="str">
        <f>IF(M567="","",
 IF(M567="عدم پاسخ","بدون پاسخ",
 IF(L567="","اطلاعات ناقص",
 IF(L567&lt;=DATA!$M$1,"رعایت شده","رعایت نشده"))))</f>
        <v/>
      </c>
      <c r="P567" s="79"/>
      <c r="Q567" s="77"/>
      <c r="R567" s="79"/>
      <c r="S567" s="79"/>
      <c r="T567" s="78"/>
      <c r="U567" s="80"/>
      <c r="V567" s="78"/>
      <c r="W567" s="77" t="str">
        <f t="array" ref="W567">IF(D567="","",_xlfn.XLOOKUP(D567,DATA!B:B,DATA!L:L,""))</f>
        <v/>
      </c>
      <c r="X567" s="78" t="str">
        <f t="array" ref="X567">IF(F567="","",_xlfn.XLOOKUP(F567,DATA!B:B,DATA!L:L,""))</f>
        <v/>
      </c>
    </row>
    <row r="568">
      <c r="A568" s="81"/>
      <c r="B568" s="79"/>
      <c r="C568" s="90"/>
      <c r="D568" s="82"/>
      <c r="E568" s="89"/>
      <c r="F568" s="83"/>
      <c r="G568" s="78"/>
      <c r="H568" s="64" t="str">
        <f t="array" ref="H568">_xlfn.XLOOKUP(G568,DATA!D:D,DATA!E:E,"")</f>
        <v/>
      </c>
      <c r="I568" s="84"/>
      <c r="J568" s="23"/>
      <c r="K568" s="23"/>
      <c r="L568" s="66" t="str">
        <f t="shared" si="1"/>
        <v/>
      </c>
      <c r="M568" s="77"/>
      <c r="N568" s="78"/>
      <c r="O568" s="66" t="str">
        <f>IF(M568="","",
 IF(M568="عدم پاسخ","بدون پاسخ",
 IF(L568="","اطلاعات ناقص",
 IF(L568&lt;=DATA!$M$1,"رعایت شده","رعایت نشده"))))</f>
        <v/>
      </c>
      <c r="P568" s="79"/>
      <c r="Q568" s="77"/>
      <c r="R568" s="79"/>
      <c r="S568" s="79"/>
      <c r="T568" s="78"/>
      <c r="U568" s="80"/>
      <c r="V568" s="78"/>
      <c r="W568" s="77" t="str">
        <f t="array" ref="W568">IF(D568="","",_xlfn.XLOOKUP(D568,DATA!B:B,DATA!L:L,""))</f>
        <v/>
      </c>
      <c r="X568" s="78" t="str">
        <f t="array" ref="X568">IF(F568="","",_xlfn.XLOOKUP(F568,DATA!B:B,DATA!L:L,""))</f>
        <v/>
      </c>
    </row>
    <row r="569">
      <c r="A569" s="81"/>
      <c r="B569" s="79"/>
      <c r="C569" s="90"/>
      <c r="D569" s="82"/>
      <c r="E569" s="89"/>
      <c r="F569" s="83"/>
      <c r="G569" s="78"/>
      <c r="H569" s="64" t="str">
        <f t="array" ref="H569">_xlfn.XLOOKUP(G569,DATA!D:D,DATA!E:E,"")</f>
        <v/>
      </c>
      <c r="I569" s="84"/>
      <c r="J569" s="23"/>
      <c r="K569" s="23"/>
      <c r="L569" s="66" t="str">
        <f t="shared" si="1"/>
        <v/>
      </c>
      <c r="M569" s="77"/>
      <c r="N569" s="78"/>
      <c r="O569" s="66" t="str">
        <f>IF(M569="","",
 IF(M569="عدم پاسخ","بدون پاسخ",
 IF(L569="","اطلاعات ناقص",
 IF(L569&lt;=DATA!$M$1,"رعایت شده","رعایت نشده"))))</f>
        <v/>
      </c>
      <c r="P569" s="79"/>
      <c r="Q569" s="77"/>
      <c r="R569" s="79"/>
      <c r="S569" s="79"/>
      <c r="T569" s="78"/>
      <c r="U569" s="80"/>
      <c r="V569" s="78"/>
      <c r="W569" s="77" t="str">
        <f t="array" ref="W569">IF(D569="","",_xlfn.XLOOKUP(D569,DATA!B:B,DATA!L:L,""))</f>
        <v/>
      </c>
      <c r="X569" s="78" t="str">
        <f t="array" ref="X569">IF(F569="","",_xlfn.XLOOKUP(F569,DATA!B:B,DATA!L:L,""))</f>
        <v/>
      </c>
    </row>
    <row r="570">
      <c r="A570" s="81"/>
      <c r="B570" s="79"/>
      <c r="C570" s="90"/>
      <c r="D570" s="82"/>
      <c r="E570" s="89"/>
      <c r="F570" s="83"/>
      <c r="G570" s="78"/>
      <c r="H570" s="64" t="str">
        <f t="array" ref="H570">_xlfn.XLOOKUP(G570,DATA!D:D,DATA!E:E,"")</f>
        <v/>
      </c>
      <c r="I570" s="84"/>
      <c r="J570" s="23"/>
      <c r="K570" s="23"/>
      <c r="L570" s="66" t="str">
        <f t="shared" si="1"/>
        <v/>
      </c>
      <c r="M570" s="77"/>
      <c r="N570" s="78"/>
      <c r="O570" s="66" t="str">
        <f>IF(M570="","",
 IF(M570="عدم پاسخ","بدون پاسخ",
 IF(L570="","اطلاعات ناقص",
 IF(L570&lt;=DATA!$M$1,"رعایت شده","رعایت نشده"))))</f>
        <v/>
      </c>
      <c r="P570" s="79"/>
      <c r="Q570" s="77"/>
      <c r="R570" s="79"/>
      <c r="S570" s="79"/>
      <c r="T570" s="78"/>
      <c r="U570" s="80"/>
      <c r="V570" s="78"/>
      <c r="W570" s="77" t="str">
        <f t="array" ref="W570">IF(D570="","",_xlfn.XLOOKUP(D570,DATA!B:B,DATA!L:L,""))</f>
        <v/>
      </c>
      <c r="X570" s="78" t="str">
        <f t="array" ref="X570">IF(F570="","",_xlfn.XLOOKUP(F570,DATA!B:B,DATA!L:L,""))</f>
        <v/>
      </c>
    </row>
    <row r="571">
      <c r="A571" s="81"/>
      <c r="B571" s="79"/>
      <c r="C571" s="90"/>
      <c r="D571" s="82"/>
      <c r="E571" s="89"/>
      <c r="F571" s="83"/>
      <c r="G571" s="78"/>
      <c r="H571" s="64" t="str">
        <f t="array" ref="H571">_xlfn.XLOOKUP(G571,DATA!D:D,DATA!E:E,"")</f>
        <v/>
      </c>
      <c r="I571" s="84"/>
      <c r="J571" s="23"/>
      <c r="K571" s="23"/>
      <c r="L571" s="66" t="str">
        <f t="shared" si="1"/>
        <v/>
      </c>
      <c r="M571" s="77"/>
      <c r="N571" s="78"/>
      <c r="O571" s="66" t="str">
        <f>IF(M571="","",
 IF(M571="عدم پاسخ","بدون پاسخ",
 IF(L571="","اطلاعات ناقص",
 IF(L571&lt;=DATA!$M$1,"رعایت شده","رعایت نشده"))))</f>
        <v/>
      </c>
      <c r="P571" s="79"/>
      <c r="Q571" s="77"/>
      <c r="R571" s="79"/>
      <c r="S571" s="79"/>
      <c r="T571" s="78"/>
      <c r="U571" s="80"/>
      <c r="V571" s="78"/>
      <c r="W571" s="77" t="str">
        <f t="array" ref="W571">IF(D571="","",_xlfn.XLOOKUP(D571,DATA!B:B,DATA!L:L,""))</f>
        <v/>
      </c>
      <c r="X571" s="78" t="str">
        <f t="array" ref="X571">IF(F571="","",_xlfn.XLOOKUP(F571,DATA!B:B,DATA!L:L,""))</f>
        <v/>
      </c>
    </row>
    <row r="572">
      <c r="A572" s="81"/>
      <c r="B572" s="79"/>
      <c r="C572" s="90"/>
      <c r="D572" s="82"/>
      <c r="E572" s="89"/>
      <c r="F572" s="83"/>
      <c r="G572" s="78"/>
      <c r="H572" s="64" t="str">
        <f t="array" ref="H572">_xlfn.XLOOKUP(G572,DATA!D:D,DATA!E:E,"")</f>
        <v/>
      </c>
      <c r="I572" s="84"/>
      <c r="J572" s="23"/>
      <c r="K572" s="23"/>
      <c r="L572" s="66" t="str">
        <f t="shared" si="1"/>
        <v/>
      </c>
      <c r="M572" s="77"/>
      <c r="N572" s="78"/>
      <c r="O572" s="66" t="str">
        <f>IF(M572="","",
 IF(M572="عدم پاسخ","بدون پاسخ",
 IF(L572="","اطلاعات ناقص",
 IF(L572&lt;=DATA!$M$1,"رعایت شده","رعایت نشده"))))</f>
        <v/>
      </c>
      <c r="P572" s="79"/>
      <c r="Q572" s="77"/>
      <c r="R572" s="79"/>
      <c r="S572" s="79"/>
      <c r="T572" s="78"/>
      <c r="U572" s="80"/>
      <c r="V572" s="78"/>
      <c r="W572" s="77" t="str">
        <f t="array" ref="W572">IF(D572="","",_xlfn.XLOOKUP(D572,DATA!B:B,DATA!L:L,""))</f>
        <v/>
      </c>
      <c r="X572" s="78" t="str">
        <f t="array" ref="X572">IF(F572="","",_xlfn.XLOOKUP(F572,DATA!B:B,DATA!L:L,""))</f>
        <v/>
      </c>
    </row>
    <row r="573">
      <c r="A573" s="81"/>
      <c r="B573" s="79"/>
      <c r="C573" s="90"/>
      <c r="D573" s="82"/>
      <c r="E573" s="89"/>
      <c r="F573" s="83"/>
      <c r="G573" s="78"/>
      <c r="H573" s="64" t="str">
        <f t="array" ref="H573">_xlfn.XLOOKUP(G573,DATA!D:D,DATA!E:E,"")</f>
        <v/>
      </c>
      <c r="I573" s="84"/>
      <c r="J573" s="23"/>
      <c r="K573" s="23"/>
      <c r="L573" s="66" t="str">
        <f t="shared" si="1"/>
        <v/>
      </c>
      <c r="M573" s="77"/>
      <c r="N573" s="78"/>
      <c r="O573" s="66" t="str">
        <f>IF(M573="","",
 IF(M573="عدم پاسخ","بدون پاسخ",
 IF(L573="","اطلاعات ناقص",
 IF(L573&lt;=DATA!$M$1,"رعایت شده","رعایت نشده"))))</f>
        <v/>
      </c>
      <c r="P573" s="79"/>
      <c r="Q573" s="77"/>
      <c r="R573" s="79"/>
      <c r="S573" s="79"/>
      <c r="T573" s="78"/>
      <c r="U573" s="80"/>
      <c r="V573" s="78"/>
      <c r="W573" s="77" t="str">
        <f t="array" ref="W573">IF(D573="","",_xlfn.XLOOKUP(D573,DATA!B:B,DATA!L:L,""))</f>
        <v/>
      </c>
      <c r="X573" s="78" t="str">
        <f t="array" ref="X573">IF(F573="","",_xlfn.XLOOKUP(F573,DATA!B:B,DATA!L:L,""))</f>
        <v/>
      </c>
    </row>
    <row r="574">
      <c r="A574" s="81"/>
      <c r="B574" s="79"/>
      <c r="C574" s="90"/>
      <c r="D574" s="82"/>
      <c r="E574" s="89"/>
      <c r="F574" s="83"/>
      <c r="G574" s="78"/>
      <c r="H574" s="64" t="str">
        <f t="array" ref="H574">_xlfn.XLOOKUP(G574,DATA!D:D,DATA!E:E,"")</f>
        <v/>
      </c>
      <c r="I574" s="84"/>
      <c r="J574" s="23"/>
      <c r="K574" s="23"/>
      <c r="L574" s="66" t="str">
        <f t="shared" si="1"/>
        <v/>
      </c>
      <c r="M574" s="77"/>
      <c r="N574" s="78"/>
      <c r="O574" s="66" t="str">
        <f>IF(M574="","",
 IF(M574="عدم پاسخ","بدون پاسخ",
 IF(L574="","اطلاعات ناقص",
 IF(L574&lt;=DATA!$M$1,"رعایت شده","رعایت نشده"))))</f>
        <v/>
      </c>
      <c r="P574" s="79"/>
      <c r="Q574" s="77"/>
      <c r="R574" s="79"/>
      <c r="S574" s="79"/>
      <c r="T574" s="78"/>
      <c r="U574" s="80"/>
      <c r="V574" s="78"/>
      <c r="W574" s="77" t="str">
        <f t="array" ref="W574">IF(D574="","",_xlfn.XLOOKUP(D574,DATA!B:B,DATA!L:L,""))</f>
        <v/>
      </c>
      <c r="X574" s="78" t="str">
        <f t="array" ref="X574">IF(F574="","",_xlfn.XLOOKUP(F574,DATA!B:B,DATA!L:L,""))</f>
        <v/>
      </c>
    </row>
    <row r="575">
      <c r="A575" s="81"/>
      <c r="B575" s="79"/>
      <c r="C575" s="90"/>
      <c r="D575" s="82"/>
      <c r="E575" s="89"/>
      <c r="F575" s="83"/>
      <c r="G575" s="78"/>
      <c r="H575" s="64" t="str">
        <f t="array" ref="H575">_xlfn.XLOOKUP(G575,DATA!D:D,DATA!E:E,"")</f>
        <v/>
      </c>
      <c r="I575" s="84"/>
      <c r="J575" s="23"/>
      <c r="K575" s="23"/>
      <c r="L575" s="66" t="str">
        <f t="shared" si="1"/>
        <v/>
      </c>
      <c r="M575" s="77"/>
      <c r="N575" s="78"/>
      <c r="O575" s="66" t="str">
        <f>IF(M575="","",
 IF(M575="عدم پاسخ","بدون پاسخ",
 IF(L575="","اطلاعات ناقص",
 IF(L575&lt;=DATA!$M$1,"رعایت شده","رعایت نشده"))))</f>
        <v/>
      </c>
      <c r="P575" s="79"/>
      <c r="Q575" s="77"/>
      <c r="R575" s="79"/>
      <c r="S575" s="79"/>
      <c r="T575" s="78"/>
      <c r="U575" s="80"/>
      <c r="V575" s="78"/>
      <c r="W575" s="77" t="str">
        <f t="array" ref="W575">IF(D575="","",_xlfn.XLOOKUP(D575,DATA!B:B,DATA!L:L,""))</f>
        <v/>
      </c>
      <c r="X575" s="78" t="str">
        <f t="array" ref="X575">IF(F575="","",_xlfn.XLOOKUP(F575,DATA!B:B,DATA!L:L,""))</f>
        <v/>
      </c>
    </row>
    <row r="576">
      <c r="A576" s="81"/>
      <c r="B576" s="79"/>
      <c r="C576" s="90"/>
      <c r="D576" s="82"/>
      <c r="E576" s="89"/>
      <c r="F576" s="83"/>
      <c r="G576" s="78"/>
      <c r="H576" s="64" t="str">
        <f t="array" ref="H576">_xlfn.XLOOKUP(G576,DATA!D:D,DATA!E:E,"")</f>
        <v/>
      </c>
      <c r="I576" s="84"/>
      <c r="J576" s="23"/>
      <c r="K576" s="23"/>
      <c r="L576" s="66" t="str">
        <f t="shared" si="1"/>
        <v/>
      </c>
      <c r="M576" s="77"/>
      <c r="N576" s="78"/>
      <c r="O576" s="66" t="str">
        <f>IF(M576="","",
 IF(M576="عدم پاسخ","بدون پاسخ",
 IF(L576="","اطلاعات ناقص",
 IF(L576&lt;=DATA!$M$1,"رعایت شده","رعایت نشده"))))</f>
        <v/>
      </c>
      <c r="P576" s="79"/>
      <c r="Q576" s="77"/>
      <c r="R576" s="79"/>
      <c r="S576" s="79"/>
      <c r="T576" s="78"/>
      <c r="U576" s="80"/>
      <c r="V576" s="78"/>
      <c r="W576" s="77" t="str">
        <f t="array" ref="W576">IF(D576="","",_xlfn.XLOOKUP(D576,DATA!B:B,DATA!L:L,""))</f>
        <v/>
      </c>
      <c r="X576" s="78" t="str">
        <f t="array" ref="X576">IF(F576="","",_xlfn.XLOOKUP(F576,DATA!B:B,DATA!L:L,""))</f>
        <v/>
      </c>
    </row>
    <row r="577">
      <c r="A577" s="81"/>
      <c r="B577" s="79"/>
      <c r="C577" s="90"/>
      <c r="D577" s="82"/>
      <c r="E577" s="89"/>
      <c r="F577" s="83"/>
      <c r="G577" s="78"/>
      <c r="H577" s="64" t="str">
        <f t="array" ref="H577">_xlfn.XLOOKUP(G577,DATA!D:D,DATA!E:E,"")</f>
        <v/>
      </c>
      <c r="I577" s="84"/>
      <c r="J577" s="23"/>
      <c r="K577" s="23"/>
      <c r="L577" s="66" t="str">
        <f t="shared" si="1"/>
        <v/>
      </c>
      <c r="M577" s="77"/>
      <c r="N577" s="78"/>
      <c r="O577" s="66" t="str">
        <f>IF(M577="","",
 IF(M577="عدم پاسخ","بدون پاسخ",
 IF(L577="","اطلاعات ناقص",
 IF(L577&lt;=DATA!$M$1,"رعایت شده","رعایت نشده"))))</f>
        <v/>
      </c>
      <c r="P577" s="79"/>
      <c r="Q577" s="77"/>
      <c r="R577" s="79"/>
      <c r="S577" s="79"/>
      <c r="T577" s="78"/>
      <c r="U577" s="80"/>
      <c r="V577" s="78"/>
      <c r="W577" s="77" t="str">
        <f t="array" ref="W577">IF(D577="","",_xlfn.XLOOKUP(D577,DATA!B:B,DATA!L:L,""))</f>
        <v/>
      </c>
      <c r="X577" s="78" t="str">
        <f t="array" ref="X577">IF(F577="","",_xlfn.XLOOKUP(F577,DATA!B:B,DATA!L:L,""))</f>
        <v/>
      </c>
    </row>
    <row r="578">
      <c r="A578" s="81"/>
      <c r="B578" s="79"/>
      <c r="C578" s="90"/>
      <c r="D578" s="82"/>
      <c r="E578" s="89"/>
      <c r="F578" s="83"/>
      <c r="G578" s="78"/>
      <c r="H578" s="64" t="str">
        <f t="array" ref="H578">_xlfn.XLOOKUP(G578,DATA!D:D,DATA!E:E,"")</f>
        <v/>
      </c>
      <c r="I578" s="84"/>
      <c r="J578" s="23"/>
      <c r="K578" s="23"/>
      <c r="L578" s="66" t="str">
        <f t="shared" si="1"/>
        <v/>
      </c>
      <c r="M578" s="77"/>
      <c r="N578" s="78"/>
      <c r="O578" s="66" t="str">
        <f>IF(M578="","",
 IF(M578="عدم پاسخ","بدون پاسخ",
 IF(L578="","اطلاعات ناقص",
 IF(L578&lt;=DATA!$M$1,"رعایت شده","رعایت نشده"))))</f>
        <v/>
      </c>
      <c r="P578" s="79"/>
      <c r="Q578" s="77"/>
      <c r="R578" s="79"/>
      <c r="S578" s="79"/>
      <c r="T578" s="78"/>
      <c r="U578" s="80"/>
      <c r="V578" s="78"/>
      <c r="W578" s="77" t="str">
        <f t="array" ref="W578">IF(D578="","",_xlfn.XLOOKUP(D578,DATA!B:B,DATA!L:L,""))</f>
        <v/>
      </c>
      <c r="X578" s="78" t="str">
        <f t="array" ref="X578">IF(F578="","",_xlfn.XLOOKUP(F578,DATA!B:B,DATA!L:L,""))</f>
        <v/>
      </c>
    </row>
    <row r="579">
      <c r="A579" s="81"/>
      <c r="B579" s="79"/>
      <c r="C579" s="90"/>
      <c r="D579" s="82"/>
      <c r="E579" s="89"/>
      <c r="F579" s="83"/>
      <c r="G579" s="78"/>
      <c r="H579" s="64" t="str">
        <f t="array" ref="H579">_xlfn.XLOOKUP(G579,DATA!D:D,DATA!E:E,"")</f>
        <v/>
      </c>
      <c r="I579" s="84"/>
      <c r="J579" s="23"/>
      <c r="K579" s="23"/>
      <c r="L579" s="66" t="str">
        <f t="shared" si="1"/>
        <v/>
      </c>
      <c r="M579" s="77"/>
      <c r="N579" s="78"/>
      <c r="O579" s="66" t="str">
        <f>IF(M579="","",
 IF(M579="عدم پاسخ","بدون پاسخ",
 IF(L579="","اطلاعات ناقص",
 IF(L579&lt;=DATA!$M$1,"رعایت شده","رعایت نشده"))))</f>
        <v/>
      </c>
      <c r="P579" s="79"/>
      <c r="Q579" s="77"/>
      <c r="R579" s="79"/>
      <c r="S579" s="79"/>
      <c r="T579" s="78"/>
      <c r="U579" s="80"/>
      <c r="V579" s="78"/>
      <c r="W579" s="77" t="str">
        <f t="array" ref="W579">IF(D579="","",_xlfn.XLOOKUP(D579,DATA!B:B,DATA!L:L,""))</f>
        <v/>
      </c>
      <c r="X579" s="78" t="str">
        <f t="array" ref="X579">IF(F579="","",_xlfn.XLOOKUP(F579,DATA!B:B,DATA!L:L,""))</f>
        <v/>
      </c>
    </row>
    <row r="580">
      <c r="A580" s="81"/>
      <c r="B580" s="79"/>
      <c r="C580" s="90"/>
      <c r="D580" s="82"/>
      <c r="E580" s="89"/>
      <c r="F580" s="83"/>
      <c r="G580" s="78"/>
      <c r="H580" s="64" t="str">
        <f t="array" ref="H580">_xlfn.XLOOKUP(G580,DATA!D:D,DATA!E:E,"")</f>
        <v/>
      </c>
      <c r="I580" s="84"/>
      <c r="J580" s="23"/>
      <c r="K580" s="23"/>
      <c r="L580" s="66" t="str">
        <f t="shared" si="1"/>
        <v/>
      </c>
      <c r="M580" s="77"/>
      <c r="N580" s="78"/>
      <c r="O580" s="66" t="str">
        <f>IF(M580="","",
 IF(M580="عدم پاسخ","بدون پاسخ",
 IF(L580="","اطلاعات ناقص",
 IF(L580&lt;=DATA!$M$1,"رعایت شده","رعایت نشده"))))</f>
        <v/>
      </c>
      <c r="P580" s="79"/>
      <c r="Q580" s="77"/>
      <c r="R580" s="79"/>
      <c r="S580" s="79"/>
      <c r="T580" s="78"/>
      <c r="U580" s="80"/>
      <c r="V580" s="78"/>
      <c r="W580" s="77" t="str">
        <f t="array" ref="W580">IF(D580="","",_xlfn.XLOOKUP(D580,DATA!B:B,DATA!L:L,""))</f>
        <v/>
      </c>
      <c r="X580" s="78" t="str">
        <f t="array" ref="X580">IF(F580="","",_xlfn.XLOOKUP(F580,DATA!B:B,DATA!L:L,""))</f>
        <v/>
      </c>
    </row>
    <row r="581">
      <c r="A581" s="81"/>
      <c r="B581" s="79"/>
      <c r="C581" s="90"/>
      <c r="D581" s="82"/>
      <c r="E581" s="89"/>
      <c r="F581" s="83"/>
      <c r="G581" s="78"/>
      <c r="H581" s="64" t="str">
        <f t="array" ref="H581">_xlfn.XLOOKUP(G581,DATA!D:D,DATA!E:E,"")</f>
        <v/>
      </c>
      <c r="I581" s="84"/>
      <c r="J581" s="23"/>
      <c r="K581" s="23"/>
      <c r="L581" s="66" t="str">
        <f t="shared" si="1"/>
        <v/>
      </c>
      <c r="M581" s="77"/>
      <c r="N581" s="78"/>
      <c r="O581" s="66" t="str">
        <f>IF(M581="","",
 IF(M581="عدم پاسخ","بدون پاسخ",
 IF(L581="","اطلاعات ناقص",
 IF(L581&lt;=DATA!$M$1,"رعایت شده","رعایت نشده"))))</f>
        <v/>
      </c>
      <c r="P581" s="79"/>
      <c r="Q581" s="77"/>
      <c r="R581" s="79"/>
      <c r="S581" s="79"/>
      <c r="T581" s="78"/>
      <c r="U581" s="80"/>
      <c r="V581" s="78"/>
      <c r="W581" s="77" t="str">
        <f t="array" ref="W581">IF(D581="","",_xlfn.XLOOKUP(D581,DATA!B:B,DATA!L:L,""))</f>
        <v/>
      </c>
      <c r="X581" s="78" t="str">
        <f t="array" ref="X581">IF(F581="","",_xlfn.XLOOKUP(F581,DATA!B:B,DATA!L:L,""))</f>
        <v/>
      </c>
    </row>
    <row r="582">
      <c r="A582" s="81"/>
      <c r="B582" s="79"/>
      <c r="C582" s="90"/>
      <c r="D582" s="82"/>
      <c r="E582" s="89"/>
      <c r="F582" s="83"/>
      <c r="G582" s="78"/>
      <c r="H582" s="64" t="str">
        <f t="array" ref="H582">_xlfn.XLOOKUP(G582,DATA!D:D,DATA!E:E,"")</f>
        <v/>
      </c>
      <c r="I582" s="84"/>
      <c r="J582" s="23"/>
      <c r="K582" s="23"/>
      <c r="L582" s="66" t="str">
        <f t="shared" si="1"/>
        <v/>
      </c>
      <c r="M582" s="77"/>
      <c r="N582" s="78"/>
      <c r="O582" s="66" t="str">
        <f>IF(M582="","",
 IF(M582="عدم پاسخ","بدون پاسخ",
 IF(L582="","اطلاعات ناقص",
 IF(L582&lt;=DATA!$M$1,"رعایت شده","رعایت نشده"))))</f>
        <v/>
      </c>
      <c r="P582" s="79"/>
      <c r="Q582" s="77"/>
      <c r="R582" s="79"/>
      <c r="S582" s="79"/>
      <c r="T582" s="78"/>
      <c r="U582" s="80"/>
      <c r="V582" s="78"/>
      <c r="W582" s="77" t="str">
        <f t="array" ref="W582">IF(D582="","",_xlfn.XLOOKUP(D582,DATA!B:B,DATA!L:L,""))</f>
        <v/>
      </c>
      <c r="X582" s="78" t="str">
        <f t="array" ref="X582">IF(F582="","",_xlfn.XLOOKUP(F582,DATA!B:B,DATA!L:L,""))</f>
        <v/>
      </c>
    </row>
    <row r="583">
      <c r="A583" s="81"/>
      <c r="B583" s="79"/>
      <c r="C583" s="90"/>
      <c r="D583" s="82"/>
      <c r="E583" s="89"/>
      <c r="F583" s="83"/>
      <c r="G583" s="78"/>
      <c r="H583" s="64" t="str">
        <f t="array" ref="H583">_xlfn.XLOOKUP(G583,DATA!D:D,DATA!E:E,"")</f>
        <v/>
      </c>
      <c r="I583" s="84"/>
      <c r="J583" s="23"/>
      <c r="K583" s="23"/>
      <c r="L583" s="66" t="str">
        <f t="shared" si="1"/>
        <v/>
      </c>
      <c r="M583" s="77"/>
      <c r="N583" s="78"/>
      <c r="O583" s="66" t="str">
        <f>IF(M583="","",
 IF(M583="عدم پاسخ","بدون پاسخ",
 IF(L583="","اطلاعات ناقص",
 IF(L583&lt;=DATA!$M$1,"رعایت شده","رعایت نشده"))))</f>
        <v/>
      </c>
      <c r="P583" s="79"/>
      <c r="Q583" s="77"/>
      <c r="R583" s="79"/>
      <c r="S583" s="79"/>
      <c r="T583" s="78"/>
      <c r="U583" s="80"/>
      <c r="V583" s="78"/>
      <c r="W583" s="77" t="str">
        <f t="array" ref="W583">IF(D583="","",_xlfn.XLOOKUP(D583,DATA!B:B,DATA!L:L,""))</f>
        <v/>
      </c>
      <c r="X583" s="78" t="str">
        <f t="array" ref="X583">IF(F583="","",_xlfn.XLOOKUP(F583,DATA!B:B,DATA!L:L,""))</f>
        <v/>
      </c>
    </row>
    <row r="584">
      <c r="A584" s="81"/>
      <c r="B584" s="79"/>
      <c r="C584" s="90"/>
      <c r="D584" s="82"/>
      <c r="E584" s="89"/>
      <c r="F584" s="83"/>
      <c r="G584" s="78"/>
      <c r="H584" s="64" t="str">
        <f t="array" ref="H584">_xlfn.XLOOKUP(G584,DATA!D:D,DATA!E:E,"")</f>
        <v/>
      </c>
      <c r="I584" s="84"/>
      <c r="J584" s="23"/>
      <c r="K584" s="23"/>
      <c r="L584" s="66" t="str">
        <f t="shared" si="1"/>
        <v/>
      </c>
      <c r="M584" s="77"/>
      <c r="N584" s="78"/>
      <c r="O584" s="66" t="str">
        <f>IF(M584="","",
 IF(M584="عدم پاسخ","بدون پاسخ",
 IF(L584="","اطلاعات ناقص",
 IF(L584&lt;=DATA!$M$1,"رعایت شده","رعایت نشده"))))</f>
        <v/>
      </c>
      <c r="P584" s="79"/>
      <c r="Q584" s="77"/>
      <c r="R584" s="79"/>
      <c r="S584" s="79"/>
      <c r="T584" s="78"/>
      <c r="U584" s="80"/>
      <c r="V584" s="78"/>
      <c r="W584" s="77" t="str">
        <f t="array" ref="W584">IF(D584="","",_xlfn.XLOOKUP(D584,DATA!B:B,DATA!L:L,""))</f>
        <v/>
      </c>
      <c r="X584" s="78" t="str">
        <f t="array" ref="X584">IF(F584="","",_xlfn.XLOOKUP(F584,DATA!B:B,DATA!L:L,""))</f>
        <v/>
      </c>
    </row>
    <row r="585">
      <c r="A585" s="81"/>
      <c r="B585" s="79"/>
      <c r="C585" s="90"/>
      <c r="D585" s="82"/>
      <c r="E585" s="89"/>
      <c r="F585" s="83"/>
      <c r="G585" s="78"/>
      <c r="H585" s="64" t="str">
        <f t="array" ref="H585">_xlfn.XLOOKUP(G585,DATA!D:D,DATA!E:E,"")</f>
        <v/>
      </c>
      <c r="I585" s="84"/>
      <c r="J585" s="23"/>
      <c r="K585" s="23"/>
      <c r="L585" s="66" t="str">
        <f t="shared" si="1"/>
        <v/>
      </c>
      <c r="M585" s="77"/>
      <c r="N585" s="78"/>
      <c r="O585" s="66" t="str">
        <f>IF(M585="","",
 IF(M585="عدم پاسخ","بدون پاسخ",
 IF(L585="","اطلاعات ناقص",
 IF(L585&lt;=DATA!$M$1,"رعایت شده","رعایت نشده"))))</f>
        <v/>
      </c>
      <c r="P585" s="79"/>
      <c r="Q585" s="77"/>
      <c r="R585" s="79"/>
      <c r="S585" s="79"/>
      <c r="T585" s="78"/>
      <c r="U585" s="80"/>
      <c r="V585" s="78"/>
      <c r="W585" s="77" t="str">
        <f t="array" ref="W585">IF(D585="","",_xlfn.XLOOKUP(D585,DATA!B:B,DATA!L:L,""))</f>
        <v/>
      </c>
      <c r="X585" s="78" t="str">
        <f t="array" ref="X585">IF(F585="","",_xlfn.XLOOKUP(F585,DATA!B:B,DATA!L:L,""))</f>
        <v/>
      </c>
    </row>
    <row r="586">
      <c r="A586" s="81"/>
      <c r="B586" s="79"/>
      <c r="C586" s="90"/>
      <c r="D586" s="82"/>
      <c r="E586" s="89"/>
      <c r="F586" s="83"/>
      <c r="G586" s="78"/>
      <c r="H586" s="64" t="str">
        <f t="array" ref="H586">_xlfn.XLOOKUP(G586,DATA!D:D,DATA!E:E,"")</f>
        <v/>
      </c>
      <c r="I586" s="84"/>
      <c r="J586" s="23"/>
      <c r="K586" s="23"/>
      <c r="L586" s="66" t="str">
        <f t="shared" si="1"/>
        <v/>
      </c>
      <c r="M586" s="77"/>
      <c r="N586" s="78"/>
      <c r="O586" s="66" t="str">
        <f>IF(M586="","",
 IF(M586="عدم پاسخ","بدون پاسخ",
 IF(L586="","اطلاعات ناقص",
 IF(L586&lt;=DATA!$M$1,"رعایت شده","رعایت نشده"))))</f>
        <v/>
      </c>
      <c r="P586" s="79"/>
      <c r="Q586" s="77"/>
      <c r="R586" s="79"/>
      <c r="S586" s="79"/>
      <c r="T586" s="78"/>
      <c r="U586" s="80"/>
      <c r="V586" s="78"/>
      <c r="W586" s="77" t="str">
        <f t="array" ref="W586">IF(D586="","",_xlfn.XLOOKUP(D586,DATA!B:B,DATA!L:L,""))</f>
        <v/>
      </c>
      <c r="X586" s="78" t="str">
        <f t="array" ref="X586">IF(F586="","",_xlfn.XLOOKUP(F586,DATA!B:B,DATA!L:L,""))</f>
        <v/>
      </c>
    </row>
    <row r="587">
      <c r="A587" s="81"/>
      <c r="B587" s="79"/>
      <c r="C587" s="90"/>
      <c r="D587" s="82"/>
      <c r="E587" s="89"/>
      <c r="F587" s="83"/>
      <c r="G587" s="78"/>
      <c r="H587" s="64" t="str">
        <f t="array" ref="H587">_xlfn.XLOOKUP(G587,DATA!D:D,DATA!E:E,"")</f>
        <v/>
      </c>
      <c r="I587" s="84"/>
      <c r="J587" s="23"/>
      <c r="K587" s="23"/>
      <c r="L587" s="66" t="str">
        <f t="shared" si="1"/>
        <v/>
      </c>
      <c r="M587" s="77"/>
      <c r="N587" s="78"/>
      <c r="O587" s="66" t="str">
        <f>IF(M587="","",
 IF(M587="عدم پاسخ","بدون پاسخ",
 IF(L587="","اطلاعات ناقص",
 IF(L587&lt;=DATA!$M$1,"رعایت شده","رعایت نشده"))))</f>
        <v/>
      </c>
      <c r="P587" s="79"/>
      <c r="Q587" s="77"/>
      <c r="R587" s="79"/>
      <c r="S587" s="79"/>
      <c r="T587" s="78"/>
      <c r="U587" s="80"/>
      <c r="V587" s="78"/>
      <c r="W587" s="77" t="str">
        <f t="array" ref="W587">IF(D587="","",_xlfn.XLOOKUP(D587,DATA!B:B,DATA!L:L,""))</f>
        <v/>
      </c>
      <c r="X587" s="78" t="str">
        <f t="array" ref="X587">IF(F587="","",_xlfn.XLOOKUP(F587,DATA!B:B,DATA!L:L,""))</f>
        <v/>
      </c>
    </row>
    <row r="588">
      <c r="A588" s="81"/>
      <c r="B588" s="79"/>
      <c r="C588" s="90"/>
      <c r="D588" s="82"/>
      <c r="E588" s="89"/>
      <c r="F588" s="83"/>
      <c r="G588" s="78"/>
      <c r="H588" s="64" t="str">
        <f t="array" ref="H588">_xlfn.XLOOKUP(G588,DATA!D:D,DATA!E:E,"")</f>
        <v/>
      </c>
      <c r="I588" s="84"/>
      <c r="J588" s="23"/>
      <c r="K588" s="23"/>
      <c r="L588" s="66" t="str">
        <f t="shared" si="1"/>
        <v/>
      </c>
      <c r="M588" s="77"/>
      <c r="N588" s="78"/>
      <c r="O588" s="66" t="str">
        <f>IF(M588="","",
 IF(M588="عدم پاسخ","بدون پاسخ",
 IF(L588="","اطلاعات ناقص",
 IF(L588&lt;=DATA!$M$1,"رعایت شده","رعایت نشده"))))</f>
        <v/>
      </c>
      <c r="P588" s="79"/>
      <c r="Q588" s="77"/>
      <c r="R588" s="79"/>
      <c r="S588" s="79"/>
      <c r="T588" s="78"/>
      <c r="U588" s="80"/>
      <c r="V588" s="78"/>
      <c r="W588" s="77" t="str">
        <f t="array" ref="W588">IF(D588="","",_xlfn.XLOOKUP(D588,DATA!B:B,DATA!L:L,""))</f>
        <v/>
      </c>
      <c r="X588" s="78" t="str">
        <f t="array" ref="X588">IF(F588="","",_xlfn.XLOOKUP(F588,DATA!B:B,DATA!L:L,""))</f>
        <v/>
      </c>
    </row>
    <row r="589">
      <c r="A589" s="81"/>
      <c r="B589" s="79"/>
      <c r="C589" s="90"/>
      <c r="D589" s="82"/>
      <c r="E589" s="89"/>
      <c r="F589" s="83"/>
      <c r="G589" s="78"/>
      <c r="H589" s="64" t="str">
        <f t="array" ref="H589">_xlfn.XLOOKUP(G589,DATA!D:D,DATA!E:E,"")</f>
        <v/>
      </c>
      <c r="I589" s="84"/>
      <c r="J589" s="23"/>
      <c r="K589" s="23"/>
      <c r="L589" s="66" t="str">
        <f t="shared" si="1"/>
        <v/>
      </c>
      <c r="M589" s="77"/>
      <c r="N589" s="78"/>
      <c r="O589" s="66" t="str">
        <f>IF(M589="","",
 IF(M589="عدم پاسخ","بدون پاسخ",
 IF(L589="","اطلاعات ناقص",
 IF(L589&lt;=DATA!$M$1,"رعایت شده","رعایت نشده"))))</f>
        <v/>
      </c>
      <c r="P589" s="79"/>
      <c r="Q589" s="77"/>
      <c r="R589" s="79"/>
      <c r="S589" s="79"/>
      <c r="T589" s="78"/>
      <c r="U589" s="80"/>
      <c r="V589" s="78"/>
      <c r="W589" s="77" t="str">
        <f t="array" ref="W589">IF(D589="","",_xlfn.XLOOKUP(D589,DATA!B:B,DATA!L:L,""))</f>
        <v/>
      </c>
      <c r="X589" s="78" t="str">
        <f t="array" ref="X589">IF(F589="","",_xlfn.XLOOKUP(F589,DATA!B:B,DATA!L:L,""))</f>
        <v/>
      </c>
    </row>
    <row r="590">
      <c r="A590" s="81"/>
      <c r="B590" s="79"/>
      <c r="C590" s="90"/>
      <c r="D590" s="82"/>
      <c r="E590" s="89"/>
      <c r="F590" s="83"/>
      <c r="G590" s="78"/>
      <c r="H590" s="64" t="str">
        <f t="array" ref="H590">_xlfn.XLOOKUP(G590,DATA!D:D,DATA!E:E,"")</f>
        <v/>
      </c>
      <c r="I590" s="84"/>
      <c r="J590" s="23"/>
      <c r="K590" s="23"/>
      <c r="L590" s="66" t="str">
        <f t="shared" si="1"/>
        <v/>
      </c>
      <c r="M590" s="77"/>
      <c r="N590" s="78"/>
      <c r="O590" s="66" t="str">
        <f>IF(M590="","",
 IF(M590="عدم پاسخ","بدون پاسخ",
 IF(L590="","اطلاعات ناقص",
 IF(L590&lt;=DATA!$M$1,"رعایت شده","رعایت نشده"))))</f>
        <v/>
      </c>
      <c r="P590" s="79"/>
      <c r="Q590" s="77"/>
      <c r="R590" s="79"/>
      <c r="S590" s="79"/>
      <c r="T590" s="78"/>
      <c r="U590" s="80"/>
      <c r="V590" s="78"/>
      <c r="W590" s="77" t="str">
        <f t="array" ref="W590">IF(D590="","",_xlfn.XLOOKUP(D590,DATA!B:B,DATA!L:L,""))</f>
        <v/>
      </c>
      <c r="X590" s="78" t="str">
        <f t="array" ref="X590">IF(F590="","",_xlfn.XLOOKUP(F590,DATA!B:B,DATA!L:L,""))</f>
        <v/>
      </c>
    </row>
    <row r="591">
      <c r="A591" s="81"/>
      <c r="B591" s="79"/>
      <c r="C591" s="90"/>
      <c r="D591" s="82"/>
      <c r="E591" s="89"/>
      <c r="F591" s="83"/>
      <c r="G591" s="78"/>
      <c r="H591" s="64" t="str">
        <f t="array" ref="H591">_xlfn.XLOOKUP(G591,DATA!D:D,DATA!E:E,"")</f>
        <v/>
      </c>
      <c r="I591" s="84"/>
      <c r="J591" s="23"/>
      <c r="K591" s="23"/>
      <c r="L591" s="66" t="str">
        <f t="shared" si="1"/>
        <v/>
      </c>
      <c r="M591" s="77"/>
      <c r="N591" s="78"/>
      <c r="O591" s="66" t="str">
        <f>IF(M591="","",
 IF(M591="عدم پاسخ","بدون پاسخ",
 IF(L591="","اطلاعات ناقص",
 IF(L591&lt;=DATA!$M$1,"رعایت شده","رعایت نشده"))))</f>
        <v/>
      </c>
      <c r="P591" s="79"/>
      <c r="Q591" s="77"/>
      <c r="R591" s="79"/>
      <c r="S591" s="79"/>
      <c r="T591" s="78"/>
      <c r="U591" s="80"/>
      <c r="V591" s="78"/>
      <c r="W591" s="77" t="str">
        <f t="array" ref="W591">IF(D591="","",_xlfn.XLOOKUP(D591,DATA!B:B,DATA!L:L,""))</f>
        <v/>
      </c>
      <c r="X591" s="78" t="str">
        <f t="array" ref="X591">IF(F591="","",_xlfn.XLOOKUP(F591,DATA!B:B,DATA!L:L,""))</f>
        <v/>
      </c>
    </row>
    <row r="592">
      <c r="A592" s="81"/>
      <c r="B592" s="79"/>
      <c r="C592" s="90"/>
      <c r="D592" s="82"/>
      <c r="E592" s="89"/>
      <c r="F592" s="83"/>
      <c r="G592" s="78"/>
      <c r="H592" s="64" t="str">
        <f t="array" ref="H592">_xlfn.XLOOKUP(G592,DATA!D:D,DATA!E:E,"")</f>
        <v/>
      </c>
      <c r="I592" s="84"/>
      <c r="J592" s="23"/>
      <c r="K592" s="23"/>
      <c r="L592" s="66" t="str">
        <f t="shared" si="1"/>
        <v/>
      </c>
      <c r="M592" s="77"/>
      <c r="N592" s="78"/>
      <c r="O592" s="66" t="str">
        <f>IF(M592="","",
 IF(M592="عدم پاسخ","بدون پاسخ",
 IF(L592="","اطلاعات ناقص",
 IF(L592&lt;=DATA!$M$1,"رعایت شده","رعایت نشده"))))</f>
        <v/>
      </c>
      <c r="P592" s="79"/>
      <c r="Q592" s="77"/>
      <c r="R592" s="79"/>
      <c r="S592" s="79"/>
      <c r="T592" s="78"/>
      <c r="U592" s="80"/>
      <c r="V592" s="78"/>
      <c r="W592" s="77" t="str">
        <f t="array" ref="W592">IF(D592="","",_xlfn.XLOOKUP(D592,DATA!B:B,DATA!L:L,""))</f>
        <v/>
      </c>
      <c r="X592" s="78" t="str">
        <f t="array" ref="X592">IF(F592="","",_xlfn.XLOOKUP(F592,DATA!B:B,DATA!L:L,""))</f>
        <v/>
      </c>
    </row>
    <row r="593">
      <c r="A593" s="81"/>
      <c r="B593" s="79"/>
      <c r="C593" s="90"/>
      <c r="D593" s="82"/>
      <c r="E593" s="89"/>
      <c r="F593" s="83"/>
      <c r="G593" s="78"/>
      <c r="H593" s="64" t="str">
        <f t="array" ref="H593">_xlfn.XLOOKUP(G593,DATA!D:D,DATA!E:E,"")</f>
        <v/>
      </c>
      <c r="I593" s="84"/>
      <c r="J593" s="23"/>
      <c r="K593" s="23"/>
      <c r="L593" s="66" t="str">
        <f t="shared" si="1"/>
        <v/>
      </c>
      <c r="M593" s="77"/>
      <c r="N593" s="78"/>
      <c r="O593" s="66" t="str">
        <f>IF(M593="","",
 IF(M593="عدم پاسخ","بدون پاسخ",
 IF(L593="","اطلاعات ناقص",
 IF(L593&lt;=DATA!$M$1,"رعایت شده","رعایت نشده"))))</f>
        <v/>
      </c>
      <c r="P593" s="79"/>
      <c r="Q593" s="77"/>
      <c r="R593" s="79"/>
      <c r="S593" s="79"/>
      <c r="T593" s="78"/>
      <c r="U593" s="80"/>
      <c r="V593" s="78"/>
      <c r="W593" s="77" t="str">
        <f t="array" ref="W593">IF(D593="","",_xlfn.XLOOKUP(D593,DATA!B:B,DATA!L:L,""))</f>
        <v/>
      </c>
      <c r="X593" s="78" t="str">
        <f t="array" ref="X593">IF(F593="","",_xlfn.XLOOKUP(F593,DATA!B:B,DATA!L:L,""))</f>
        <v/>
      </c>
    </row>
    <row r="594">
      <c r="A594" s="81"/>
      <c r="B594" s="79"/>
      <c r="C594" s="90"/>
      <c r="D594" s="82"/>
      <c r="E594" s="89"/>
      <c r="F594" s="83"/>
      <c r="G594" s="78"/>
      <c r="H594" s="64" t="str">
        <f t="array" ref="H594">_xlfn.XLOOKUP(G594,DATA!D:D,DATA!E:E,"")</f>
        <v/>
      </c>
      <c r="I594" s="84"/>
      <c r="J594" s="23"/>
      <c r="K594" s="23"/>
      <c r="L594" s="66" t="str">
        <f t="shared" si="1"/>
        <v/>
      </c>
      <c r="M594" s="77"/>
      <c r="N594" s="78"/>
      <c r="O594" s="66" t="str">
        <f>IF(M594="","",
 IF(M594="عدم پاسخ","بدون پاسخ",
 IF(L594="","اطلاعات ناقص",
 IF(L594&lt;=DATA!$M$1,"رعایت شده","رعایت نشده"))))</f>
        <v/>
      </c>
      <c r="P594" s="79"/>
      <c r="Q594" s="77"/>
      <c r="R594" s="79"/>
      <c r="S594" s="79"/>
      <c r="T594" s="78"/>
      <c r="U594" s="80"/>
      <c r="V594" s="78"/>
      <c r="W594" s="77" t="str">
        <f t="array" ref="W594">IF(D594="","",_xlfn.XLOOKUP(D594,DATA!B:B,DATA!L:L,""))</f>
        <v/>
      </c>
      <c r="X594" s="78" t="str">
        <f t="array" ref="X594">IF(F594="","",_xlfn.XLOOKUP(F594,DATA!B:B,DATA!L:L,""))</f>
        <v/>
      </c>
    </row>
    <row r="595">
      <c r="A595" s="81"/>
      <c r="B595" s="79"/>
      <c r="C595" s="90"/>
      <c r="D595" s="82"/>
      <c r="E595" s="89"/>
      <c r="F595" s="83"/>
      <c r="G595" s="78"/>
      <c r="H595" s="64" t="str">
        <f t="array" ref="H595">_xlfn.XLOOKUP(G595,DATA!D:D,DATA!E:E,"")</f>
        <v/>
      </c>
      <c r="I595" s="84"/>
      <c r="J595" s="23"/>
      <c r="K595" s="23"/>
      <c r="L595" s="66" t="str">
        <f t="shared" si="1"/>
        <v/>
      </c>
      <c r="M595" s="77"/>
      <c r="N595" s="78"/>
      <c r="O595" s="66" t="str">
        <f>IF(M595="","",
 IF(M595="عدم پاسخ","بدون پاسخ",
 IF(L595="","اطلاعات ناقص",
 IF(L595&lt;=DATA!$M$1,"رعایت شده","رعایت نشده"))))</f>
        <v/>
      </c>
      <c r="P595" s="79"/>
      <c r="Q595" s="77"/>
      <c r="R595" s="79"/>
      <c r="S595" s="79"/>
      <c r="T595" s="78"/>
      <c r="U595" s="80"/>
      <c r="V595" s="78"/>
      <c r="W595" s="77" t="str">
        <f t="array" ref="W595">IF(D595="","",_xlfn.XLOOKUP(D595,DATA!B:B,DATA!L:L,""))</f>
        <v/>
      </c>
      <c r="X595" s="78" t="str">
        <f t="array" ref="X595">IF(F595="","",_xlfn.XLOOKUP(F595,DATA!B:B,DATA!L:L,""))</f>
        <v/>
      </c>
    </row>
    <row r="596">
      <c r="A596" s="81"/>
      <c r="B596" s="79"/>
      <c r="C596" s="90"/>
      <c r="D596" s="82"/>
      <c r="E596" s="89"/>
      <c r="F596" s="83"/>
      <c r="G596" s="78"/>
      <c r="H596" s="64" t="str">
        <f t="array" ref="H596">_xlfn.XLOOKUP(G596,DATA!D:D,DATA!E:E,"")</f>
        <v/>
      </c>
      <c r="I596" s="84"/>
      <c r="J596" s="23"/>
      <c r="K596" s="23"/>
      <c r="L596" s="66" t="str">
        <f t="shared" si="1"/>
        <v/>
      </c>
      <c r="M596" s="77"/>
      <c r="N596" s="78"/>
      <c r="O596" s="66" t="str">
        <f>IF(M596="","",
 IF(M596="عدم پاسخ","بدون پاسخ",
 IF(L596="","اطلاعات ناقص",
 IF(L596&lt;=DATA!$M$1,"رعایت شده","رعایت نشده"))))</f>
        <v/>
      </c>
      <c r="P596" s="79"/>
      <c r="Q596" s="77"/>
      <c r="R596" s="79"/>
      <c r="S596" s="79"/>
      <c r="T596" s="78"/>
      <c r="U596" s="80"/>
      <c r="V596" s="78"/>
      <c r="W596" s="77" t="str">
        <f t="array" ref="W596">IF(D596="","",_xlfn.XLOOKUP(D596,DATA!B:B,DATA!L:L,""))</f>
        <v/>
      </c>
      <c r="X596" s="78" t="str">
        <f t="array" ref="X596">IF(F596="","",_xlfn.XLOOKUP(F596,DATA!B:B,DATA!L:L,""))</f>
        <v/>
      </c>
    </row>
    <row r="597">
      <c r="A597" s="81"/>
      <c r="B597" s="79"/>
      <c r="C597" s="90"/>
      <c r="D597" s="82"/>
      <c r="E597" s="89"/>
      <c r="F597" s="83"/>
      <c r="G597" s="78"/>
      <c r="H597" s="64" t="str">
        <f t="array" ref="H597">_xlfn.XLOOKUP(G597,DATA!D:D,DATA!E:E,"")</f>
        <v/>
      </c>
      <c r="I597" s="84"/>
      <c r="J597" s="23"/>
      <c r="K597" s="23"/>
      <c r="L597" s="66" t="str">
        <f t="shared" si="1"/>
        <v/>
      </c>
      <c r="M597" s="77"/>
      <c r="N597" s="78"/>
      <c r="O597" s="66" t="str">
        <f>IF(M597="","",
 IF(M597="عدم پاسخ","بدون پاسخ",
 IF(L597="","اطلاعات ناقص",
 IF(L597&lt;=DATA!$M$1,"رعایت شده","رعایت نشده"))))</f>
        <v/>
      </c>
      <c r="P597" s="79"/>
      <c r="Q597" s="77"/>
      <c r="R597" s="79"/>
      <c r="S597" s="79"/>
      <c r="T597" s="78"/>
      <c r="U597" s="80"/>
      <c r="V597" s="78"/>
      <c r="W597" s="77" t="str">
        <f t="array" ref="W597">IF(D597="","",_xlfn.XLOOKUP(D597,DATA!B:B,DATA!L:L,""))</f>
        <v/>
      </c>
      <c r="X597" s="78" t="str">
        <f t="array" ref="X597">IF(F597="","",_xlfn.XLOOKUP(F597,DATA!B:B,DATA!L:L,""))</f>
        <v/>
      </c>
    </row>
    <row r="598">
      <c r="A598" s="81"/>
      <c r="B598" s="79"/>
      <c r="C598" s="90"/>
      <c r="D598" s="82"/>
      <c r="E598" s="89"/>
      <c r="F598" s="83"/>
      <c r="G598" s="78"/>
      <c r="H598" s="64" t="str">
        <f t="array" ref="H598">_xlfn.XLOOKUP(G598,DATA!D:D,DATA!E:E,"")</f>
        <v/>
      </c>
      <c r="I598" s="84"/>
      <c r="J598" s="23"/>
      <c r="K598" s="23"/>
      <c r="L598" s="66" t="str">
        <f t="shared" si="1"/>
        <v/>
      </c>
      <c r="M598" s="77"/>
      <c r="N598" s="78"/>
      <c r="O598" s="66" t="str">
        <f>IF(M598="","",
 IF(M598="عدم پاسخ","بدون پاسخ",
 IF(L598="","اطلاعات ناقص",
 IF(L598&lt;=DATA!$M$1,"رعایت شده","رعایت نشده"))))</f>
        <v/>
      </c>
      <c r="P598" s="79"/>
      <c r="Q598" s="77"/>
      <c r="R598" s="79"/>
      <c r="S598" s="79"/>
      <c r="T598" s="78"/>
      <c r="U598" s="80"/>
      <c r="V598" s="78"/>
      <c r="W598" s="77" t="str">
        <f t="array" ref="W598">IF(D598="","",_xlfn.XLOOKUP(D598,DATA!B:B,DATA!L:L,""))</f>
        <v/>
      </c>
      <c r="X598" s="78" t="str">
        <f t="array" ref="X598">IF(F598="","",_xlfn.XLOOKUP(F598,DATA!B:B,DATA!L:L,""))</f>
        <v/>
      </c>
    </row>
    <row r="599">
      <c r="A599" s="81"/>
      <c r="B599" s="79"/>
      <c r="C599" s="90"/>
      <c r="D599" s="82"/>
      <c r="E599" s="89"/>
      <c r="F599" s="83"/>
      <c r="G599" s="78"/>
      <c r="H599" s="64" t="str">
        <f t="array" ref="H599">_xlfn.XLOOKUP(G599,DATA!D:D,DATA!E:E,"")</f>
        <v/>
      </c>
      <c r="I599" s="84"/>
      <c r="J599" s="23"/>
      <c r="K599" s="23"/>
      <c r="L599" s="66" t="str">
        <f t="shared" si="1"/>
        <v/>
      </c>
      <c r="M599" s="77"/>
      <c r="N599" s="78"/>
      <c r="O599" s="66" t="str">
        <f>IF(M599="","",
 IF(M599="عدم پاسخ","بدون پاسخ",
 IF(L599="","اطلاعات ناقص",
 IF(L599&lt;=DATA!$M$1,"رعایت شده","رعایت نشده"))))</f>
        <v/>
      </c>
      <c r="P599" s="79"/>
      <c r="Q599" s="77"/>
      <c r="R599" s="79"/>
      <c r="S599" s="79"/>
      <c r="T599" s="78"/>
      <c r="U599" s="80"/>
      <c r="V599" s="78"/>
      <c r="W599" s="77" t="str">
        <f t="array" ref="W599">IF(D599="","",_xlfn.XLOOKUP(D599,DATA!B:B,DATA!L:L,""))</f>
        <v/>
      </c>
      <c r="X599" s="78" t="str">
        <f t="array" ref="X599">IF(F599="","",_xlfn.XLOOKUP(F599,DATA!B:B,DATA!L:L,""))</f>
        <v/>
      </c>
    </row>
    <row r="600">
      <c r="A600" s="81"/>
      <c r="B600" s="79"/>
      <c r="C600" s="90"/>
      <c r="D600" s="82"/>
      <c r="E600" s="89"/>
      <c r="F600" s="83"/>
      <c r="G600" s="78"/>
      <c r="H600" s="64" t="str">
        <f t="array" ref="H600">_xlfn.XLOOKUP(G600,DATA!D:D,DATA!E:E,"")</f>
        <v/>
      </c>
      <c r="I600" s="84"/>
      <c r="J600" s="23"/>
      <c r="K600" s="23"/>
      <c r="L600" s="66" t="str">
        <f t="shared" si="1"/>
        <v/>
      </c>
      <c r="M600" s="77"/>
      <c r="N600" s="78"/>
      <c r="O600" s="66" t="str">
        <f>IF(M600="","",
 IF(M600="عدم پاسخ","بدون پاسخ",
 IF(L600="","اطلاعات ناقص",
 IF(L600&lt;=DATA!$M$1,"رعایت شده","رعایت نشده"))))</f>
        <v/>
      </c>
      <c r="P600" s="79"/>
      <c r="Q600" s="77"/>
      <c r="R600" s="79"/>
      <c r="S600" s="79"/>
      <c r="T600" s="78"/>
      <c r="U600" s="80"/>
      <c r="V600" s="78"/>
      <c r="W600" s="77" t="str">
        <f t="array" ref="W600">IF(D600="","",_xlfn.XLOOKUP(D600,DATA!B:B,DATA!L:L,""))</f>
        <v/>
      </c>
      <c r="X600" s="78" t="str">
        <f t="array" ref="X600">IF(F600="","",_xlfn.XLOOKUP(F600,DATA!B:B,DATA!L:L,""))</f>
        <v/>
      </c>
    </row>
    <row r="601">
      <c r="A601" s="81"/>
      <c r="B601" s="79"/>
      <c r="C601" s="90"/>
      <c r="D601" s="82"/>
      <c r="E601" s="89"/>
      <c r="F601" s="83"/>
      <c r="G601" s="78"/>
      <c r="H601" s="64" t="str">
        <f t="array" ref="H601">_xlfn.XLOOKUP(G601,DATA!D:D,DATA!E:E,"")</f>
        <v/>
      </c>
      <c r="I601" s="84"/>
      <c r="J601" s="23"/>
      <c r="K601" s="23"/>
      <c r="L601" s="66" t="str">
        <f t="shared" si="1"/>
        <v/>
      </c>
      <c r="M601" s="77"/>
      <c r="N601" s="78"/>
      <c r="O601" s="66" t="str">
        <f>IF(M601="","",
 IF(M601="عدم پاسخ","بدون پاسخ",
 IF(L601="","اطلاعات ناقص",
 IF(L601&lt;=DATA!$M$1,"رعایت شده","رعایت نشده"))))</f>
        <v/>
      </c>
      <c r="P601" s="79"/>
      <c r="Q601" s="77"/>
      <c r="R601" s="79"/>
      <c r="S601" s="79"/>
      <c r="T601" s="78"/>
      <c r="U601" s="80"/>
      <c r="V601" s="78"/>
      <c r="W601" s="77" t="str">
        <f t="array" ref="W601">IF(D601="","",_xlfn.XLOOKUP(D601,DATA!B:B,DATA!L:L,""))</f>
        <v/>
      </c>
      <c r="X601" s="78" t="str">
        <f t="array" ref="X601">IF(F601="","",_xlfn.XLOOKUP(F601,DATA!B:B,DATA!L:L,""))</f>
        <v/>
      </c>
    </row>
    <row r="602">
      <c r="A602" s="81"/>
      <c r="B602" s="79"/>
      <c r="C602" s="90"/>
      <c r="D602" s="82"/>
      <c r="E602" s="89"/>
      <c r="F602" s="83"/>
      <c r="G602" s="78"/>
      <c r="H602" s="64" t="str">
        <f t="array" ref="H602">_xlfn.XLOOKUP(G602,DATA!D:D,DATA!E:E,"")</f>
        <v/>
      </c>
      <c r="I602" s="84"/>
      <c r="J602" s="23"/>
      <c r="K602" s="23"/>
      <c r="L602" s="66" t="str">
        <f t="shared" si="1"/>
        <v/>
      </c>
      <c r="M602" s="77"/>
      <c r="N602" s="78"/>
      <c r="O602" s="66" t="str">
        <f>IF(M602="","",
 IF(M602="عدم پاسخ","بدون پاسخ",
 IF(L602="","اطلاعات ناقص",
 IF(L602&lt;=DATA!$M$1,"رعایت شده","رعایت نشده"))))</f>
        <v/>
      </c>
      <c r="P602" s="79"/>
      <c r="Q602" s="77"/>
      <c r="R602" s="79"/>
      <c r="S602" s="79"/>
      <c r="T602" s="78"/>
      <c r="U602" s="80"/>
      <c r="V602" s="78"/>
      <c r="W602" s="77" t="str">
        <f t="array" ref="W602">IF(D602="","",_xlfn.XLOOKUP(D602,DATA!B:B,DATA!L:L,""))</f>
        <v/>
      </c>
      <c r="X602" s="78" t="str">
        <f t="array" ref="X602">IF(F602="","",_xlfn.XLOOKUP(F602,DATA!B:B,DATA!L:L,""))</f>
        <v/>
      </c>
    </row>
    <row r="603">
      <c r="A603" s="81"/>
      <c r="B603" s="79"/>
      <c r="C603" s="90"/>
      <c r="D603" s="82"/>
      <c r="E603" s="89"/>
      <c r="F603" s="83"/>
      <c r="G603" s="78"/>
      <c r="H603" s="64" t="str">
        <f t="array" ref="H603">_xlfn.XLOOKUP(G603,DATA!D:D,DATA!E:E,"")</f>
        <v/>
      </c>
      <c r="I603" s="84"/>
      <c r="J603" s="23"/>
      <c r="K603" s="23"/>
      <c r="L603" s="66" t="str">
        <f t="shared" si="1"/>
        <v/>
      </c>
      <c r="M603" s="77"/>
      <c r="N603" s="78"/>
      <c r="O603" s="66" t="str">
        <f>IF(M603="","",
 IF(M603="عدم پاسخ","بدون پاسخ",
 IF(L603="","اطلاعات ناقص",
 IF(L603&lt;=DATA!$M$1,"رعایت شده","رعایت نشده"))))</f>
        <v/>
      </c>
      <c r="P603" s="79"/>
      <c r="Q603" s="77"/>
      <c r="R603" s="79"/>
      <c r="S603" s="79"/>
      <c r="T603" s="78"/>
      <c r="U603" s="80"/>
      <c r="V603" s="78"/>
      <c r="W603" s="77" t="str">
        <f t="array" ref="W603">IF(D603="","",_xlfn.XLOOKUP(D603,DATA!B:B,DATA!L:L,""))</f>
        <v/>
      </c>
      <c r="X603" s="78" t="str">
        <f t="array" ref="X603">IF(F603="","",_xlfn.XLOOKUP(F603,DATA!B:B,DATA!L:L,""))</f>
        <v/>
      </c>
    </row>
    <row r="604">
      <c r="A604" s="81"/>
      <c r="B604" s="79"/>
      <c r="C604" s="90"/>
      <c r="D604" s="82"/>
      <c r="E604" s="89"/>
      <c r="F604" s="83"/>
      <c r="G604" s="78"/>
      <c r="H604" s="64" t="str">
        <f t="array" ref="H604">_xlfn.XLOOKUP(G604,DATA!D:D,DATA!E:E,"")</f>
        <v/>
      </c>
      <c r="I604" s="84"/>
      <c r="J604" s="23"/>
      <c r="K604" s="23"/>
      <c r="L604" s="66" t="str">
        <f t="shared" si="1"/>
        <v/>
      </c>
      <c r="M604" s="77"/>
      <c r="N604" s="78"/>
      <c r="O604" s="66" t="str">
        <f>IF(M604="","",
 IF(M604="عدم پاسخ","بدون پاسخ",
 IF(L604="","اطلاعات ناقص",
 IF(L604&lt;=DATA!$M$1,"رعایت شده","رعایت نشده"))))</f>
        <v/>
      </c>
      <c r="P604" s="79"/>
      <c r="Q604" s="77"/>
      <c r="R604" s="79"/>
      <c r="S604" s="79"/>
      <c r="T604" s="78"/>
      <c r="U604" s="80"/>
      <c r="V604" s="78"/>
      <c r="W604" s="77" t="str">
        <f t="array" ref="W604">IF(D604="","",_xlfn.XLOOKUP(D604,DATA!B:B,DATA!L:L,""))</f>
        <v/>
      </c>
      <c r="X604" s="78" t="str">
        <f t="array" ref="X604">IF(F604="","",_xlfn.XLOOKUP(F604,DATA!B:B,DATA!L:L,""))</f>
        <v/>
      </c>
    </row>
    <row r="605">
      <c r="A605" s="81"/>
      <c r="B605" s="79"/>
      <c r="C605" s="90"/>
      <c r="D605" s="82"/>
      <c r="E605" s="89"/>
      <c r="F605" s="83"/>
      <c r="G605" s="78"/>
      <c r="H605" s="64" t="str">
        <f t="array" ref="H605">_xlfn.XLOOKUP(G605,DATA!D:D,DATA!E:E,"")</f>
        <v/>
      </c>
      <c r="I605" s="84"/>
      <c r="J605" s="23"/>
      <c r="K605" s="23"/>
      <c r="L605" s="66" t="str">
        <f t="shared" si="1"/>
        <v/>
      </c>
      <c r="M605" s="77"/>
      <c r="N605" s="78"/>
      <c r="O605" s="66" t="str">
        <f>IF(M605="","",
 IF(M605="عدم پاسخ","بدون پاسخ",
 IF(L605="","اطلاعات ناقص",
 IF(L605&lt;=DATA!$M$1,"رعایت شده","رعایت نشده"))))</f>
        <v/>
      </c>
      <c r="P605" s="79"/>
      <c r="Q605" s="77"/>
      <c r="R605" s="79"/>
      <c r="S605" s="79"/>
      <c r="T605" s="78"/>
      <c r="U605" s="80"/>
      <c r="V605" s="78"/>
      <c r="W605" s="77" t="str">
        <f t="array" ref="W605">IF(D605="","",_xlfn.XLOOKUP(D605,DATA!B:B,DATA!L:L,""))</f>
        <v/>
      </c>
      <c r="X605" s="78" t="str">
        <f t="array" ref="X605">IF(F605="","",_xlfn.XLOOKUP(F605,DATA!B:B,DATA!L:L,""))</f>
        <v/>
      </c>
    </row>
    <row r="606">
      <c r="A606" s="81"/>
      <c r="B606" s="79"/>
      <c r="C606" s="90"/>
      <c r="D606" s="82"/>
      <c r="E606" s="89"/>
      <c r="F606" s="83"/>
      <c r="G606" s="78"/>
      <c r="H606" s="64" t="str">
        <f t="array" ref="H606">_xlfn.XLOOKUP(G606,DATA!D:D,DATA!E:E,"")</f>
        <v/>
      </c>
      <c r="I606" s="84"/>
      <c r="J606" s="23"/>
      <c r="K606" s="23"/>
      <c r="L606" s="66" t="str">
        <f t="shared" si="1"/>
        <v/>
      </c>
      <c r="M606" s="77"/>
      <c r="N606" s="78"/>
      <c r="O606" s="66" t="str">
        <f>IF(M606="","",
 IF(M606="عدم پاسخ","بدون پاسخ",
 IF(L606="","اطلاعات ناقص",
 IF(L606&lt;=DATA!$M$1,"رعایت شده","رعایت نشده"))))</f>
        <v/>
      </c>
      <c r="P606" s="79"/>
      <c r="Q606" s="77"/>
      <c r="R606" s="79"/>
      <c r="S606" s="79"/>
      <c r="T606" s="78"/>
      <c r="U606" s="80"/>
      <c r="V606" s="78"/>
      <c r="W606" s="77" t="str">
        <f t="array" ref="W606">IF(D606="","",_xlfn.XLOOKUP(D606,DATA!B:B,DATA!L:L,""))</f>
        <v/>
      </c>
      <c r="X606" s="78" t="str">
        <f t="array" ref="X606">IF(F606="","",_xlfn.XLOOKUP(F606,DATA!B:B,DATA!L:L,""))</f>
        <v/>
      </c>
    </row>
    <row r="607">
      <c r="A607" s="81"/>
      <c r="B607" s="79"/>
      <c r="C607" s="90"/>
      <c r="D607" s="82"/>
      <c r="E607" s="89"/>
      <c r="F607" s="83"/>
      <c r="G607" s="78"/>
      <c r="H607" s="64" t="str">
        <f t="array" ref="H607">_xlfn.XLOOKUP(G607,DATA!D:D,DATA!E:E,"")</f>
        <v/>
      </c>
      <c r="I607" s="84"/>
      <c r="J607" s="23"/>
      <c r="K607" s="23"/>
      <c r="L607" s="66" t="str">
        <f t="shared" si="1"/>
        <v/>
      </c>
      <c r="M607" s="77"/>
      <c r="N607" s="78"/>
      <c r="O607" s="66" t="str">
        <f>IF(M607="","",
 IF(M607="عدم پاسخ","بدون پاسخ",
 IF(L607="","اطلاعات ناقص",
 IF(L607&lt;=DATA!$M$1,"رعایت شده","رعایت نشده"))))</f>
        <v/>
      </c>
      <c r="P607" s="79"/>
      <c r="Q607" s="77"/>
      <c r="R607" s="79"/>
      <c r="S607" s="79"/>
      <c r="T607" s="78"/>
      <c r="U607" s="80"/>
      <c r="V607" s="78"/>
      <c r="W607" s="77" t="str">
        <f t="array" ref="W607">IF(D607="","",_xlfn.XLOOKUP(D607,DATA!B:B,DATA!L:L,""))</f>
        <v/>
      </c>
      <c r="X607" s="78" t="str">
        <f t="array" ref="X607">IF(F607="","",_xlfn.XLOOKUP(F607,DATA!B:B,DATA!L:L,""))</f>
        <v/>
      </c>
    </row>
    <row r="608">
      <c r="A608" s="81"/>
      <c r="B608" s="79"/>
      <c r="C608" s="90"/>
      <c r="D608" s="82"/>
      <c r="E608" s="89"/>
      <c r="F608" s="83"/>
      <c r="G608" s="78"/>
      <c r="H608" s="64" t="str">
        <f t="array" ref="H608">_xlfn.XLOOKUP(G608,DATA!D:D,DATA!E:E,"")</f>
        <v/>
      </c>
      <c r="I608" s="84"/>
      <c r="J608" s="23"/>
      <c r="K608" s="23"/>
      <c r="L608" s="66" t="str">
        <f t="shared" si="1"/>
        <v/>
      </c>
      <c r="M608" s="77"/>
      <c r="N608" s="78"/>
      <c r="O608" s="66" t="str">
        <f>IF(M608="","",
 IF(M608="عدم پاسخ","بدون پاسخ",
 IF(L608="","اطلاعات ناقص",
 IF(L608&lt;=DATA!$M$1,"رعایت شده","رعایت نشده"))))</f>
        <v/>
      </c>
      <c r="P608" s="79"/>
      <c r="Q608" s="77"/>
      <c r="R608" s="79"/>
      <c r="S608" s="79"/>
      <c r="T608" s="78"/>
      <c r="U608" s="80"/>
      <c r="V608" s="78"/>
      <c r="W608" s="77" t="str">
        <f t="array" ref="W608">IF(D608="","",_xlfn.XLOOKUP(D608,DATA!B:B,DATA!L:L,""))</f>
        <v/>
      </c>
      <c r="X608" s="78" t="str">
        <f t="array" ref="X608">IF(F608="","",_xlfn.XLOOKUP(F608,DATA!B:B,DATA!L:L,""))</f>
        <v/>
      </c>
    </row>
    <row r="609">
      <c r="A609" s="81"/>
      <c r="B609" s="79"/>
      <c r="C609" s="90"/>
      <c r="D609" s="82"/>
      <c r="E609" s="89"/>
      <c r="F609" s="83"/>
      <c r="G609" s="78"/>
      <c r="H609" s="64" t="str">
        <f t="array" ref="H609">_xlfn.XLOOKUP(G609,DATA!D:D,DATA!E:E,"")</f>
        <v/>
      </c>
      <c r="I609" s="84"/>
      <c r="J609" s="23"/>
      <c r="K609" s="23"/>
      <c r="L609" s="66" t="str">
        <f t="shared" si="1"/>
        <v/>
      </c>
      <c r="M609" s="77"/>
      <c r="N609" s="78"/>
      <c r="O609" s="66" t="str">
        <f>IF(M609="","",
 IF(M609="عدم پاسخ","بدون پاسخ",
 IF(L609="","اطلاعات ناقص",
 IF(L609&lt;=DATA!$M$1,"رعایت شده","رعایت نشده"))))</f>
        <v/>
      </c>
      <c r="P609" s="79"/>
      <c r="Q609" s="77"/>
      <c r="R609" s="79"/>
      <c r="S609" s="79"/>
      <c r="T609" s="78"/>
      <c r="U609" s="80"/>
      <c r="V609" s="78"/>
      <c r="W609" s="77" t="str">
        <f t="array" ref="W609">IF(D609="","",_xlfn.XLOOKUP(D609,DATA!B:B,DATA!L:L,""))</f>
        <v/>
      </c>
      <c r="X609" s="78" t="str">
        <f t="array" ref="X609">IF(F609="","",_xlfn.XLOOKUP(F609,DATA!B:B,DATA!L:L,""))</f>
        <v/>
      </c>
    </row>
    <row r="610">
      <c r="A610" s="81"/>
      <c r="B610" s="79"/>
      <c r="C610" s="90"/>
      <c r="D610" s="82"/>
      <c r="E610" s="89"/>
      <c r="F610" s="83"/>
      <c r="G610" s="78"/>
      <c r="H610" s="64" t="str">
        <f t="array" ref="H610">_xlfn.XLOOKUP(G610,DATA!D:D,DATA!E:E,"")</f>
        <v/>
      </c>
      <c r="I610" s="84"/>
      <c r="J610" s="23"/>
      <c r="K610" s="23"/>
      <c r="L610" s="66" t="str">
        <f t="shared" si="1"/>
        <v/>
      </c>
      <c r="M610" s="77"/>
      <c r="N610" s="78"/>
      <c r="O610" s="66" t="str">
        <f>IF(M610="","",
 IF(M610="عدم پاسخ","بدون پاسخ",
 IF(L610="","اطلاعات ناقص",
 IF(L610&lt;=DATA!$M$1,"رعایت شده","رعایت نشده"))))</f>
        <v/>
      </c>
      <c r="P610" s="79"/>
      <c r="Q610" s="77"/>
      <c r="R610" s="79"/>
      <c r="S610" s="79"/>
      <c r="T610" s="78"/>
      <c r="U610" s="80"/>
      <c r="V610" s="78"/>
      <c r="W610" s="77" t="str">
        <f t="array" ref="W610">IF(D610="","",_xlfn.XLOOKUP(D610,DATA!B:B,DATA!L:L,""))</f>
        <v/>
      </c>
      <c r="X610" s="78" t="str">
        <f t="array" ref="X610">IF(F610="","",_xlfn.XLOOKUP(F610,DATA!B:B,DATA!L:L,""))</f>
        <v/>
      </c>
    </row>
    <row r="611">
      <c r="A611" s="81"/>
      <c r="B611" s="79"/>
      <c r="C611" s="90"/>
      <c r="D611" s="82"/>
      <c r="E611" s="89"/>
      <c r="F611" s="83"/>
      <c r="G611" s="78"/>
      <c r="H611" s="64" t="str">
        <f t="array" ref="H611">_xlfn.XLOOKUP(G611,DATA!D:D,DATA!E:E,"")</f>
        <v/>
      </c>
      <c r="I611" s="84"/>
      <c r="J611" s="23"/>
      <c r="K611" s="23"/>
      <c r="L611" s="66" t="str">
        <f t="shared" si="1"/>
        <v/>
      </c>
      <c r="M611" s="77"/>
      <c r="N611" s="78"/>
      <c r="O611" s="66" t="str">
        <f>IF(M611="","",
 IF(M611="عدم پاسخ","بدون پاسخ",
 IF(L611="","اطلاعات ناقص",
 IF(L611&lt;=DATA!$M$1,"رعایت شده","رعایت نشده"))))</f>
        <v/>
      </c>
      <c r="P611" s="79"/>
      <c r="Q611" s="77"/>
      <c r="R611" s="79"/>
      <c r="S611" s="79"/>
      <c r="T611" s="78"/>
      <c r="U611" s="80"/>
      <c r="V611" s="78"/>
      <c r="W611" s="77" t="str">
        <f t="array" ref="W611">IF(D611="","",_xlfn.XLOOKUP(D611,DATA!B:B,DATA!L:L,""))</f>
        <v/>
      </c>
      <c r="X611" s="78" t="str">
        <f t="array" ref="X611">IF(F611="","",_xlfn.XLOOKUP(F611,DATA!B:B,DATA!L:L,""))</f>
        <v/>
      </c>
    </row>
    <row r="612">
      <c r="A612" s="81"/>
      <c r="B612" s="79"/>
      <c r="C612" s="90"/>
      <c r="D612" s="82"/>
      <c r="E612" s="89"/>
      <c r="F612" s="83"/>
      <c r="G612" s="78"/>
      <c r="H612" s="64" t="str">
        <f t="array" ref="H612">_xlfn.XLOOKUP(G612,DATA!D:D,DATA!E:E,"")</f>
        <v/>
      </c>
      <c r="I612" s="84"/>
      <c r="J612" s="23"/>
      <c r="K612" s="23"/>
      <c r="L612" s="66" t="str">
        <f t="shared" si="1"/>
        <v/>
      </c>
      <c r="M612" s="77"/>
      <c r="N612" s="78"/>
      <c r="O612" s="66" t="str">
        <f>IF(M612="","",
 IF(M612="عدم پاسخ","بدون پاسخ",
 IF(L612="","اطلاعات ناقص",
 IF(L612&lt;=DATA!$M$1,"رعایت شده","رعایت نشده"))))</f>
        <v/>
      </c>
      <c r="P612" s="79"/>
      <c r="Q612" s="77"/>
      <c r="R612" s="79"/>
      <c r="S612" s="79"/>
      <c r="T612" s="78"/>
      <c r="U612" s="80"/>
      <c r="V612" s="78"/>
      <c r="W612" s="77" t="str">
        <f t="array" ref="W612">IF(D612="","",_xlfn.XLOOKUP(D612,DATA!B:B,DATA!L:L,""))</f>
        <v/>
      </c>
      <c r="X612" s="78" t="str">
        <f t="array" ref="X612">IF(F612="","",_xlfn.XLOOKUP(F612,DATA!B:B,DATA!L:L,""))</f>
        <v/>
      </c>
    </row>
    <row r="613">
      <c r="A613" s="81"/>
      <c r="B613" s="79"/>
      <c r="C613" s="90"/>
      <c r="D613" s="82"/>
      <c r="E613" s="89"/>
      <c r="F613" s="83"/>
      <c r="G613" s="78"/>
      <c r="H613" s="64" t="str">
        <f t="array" ref="H613">_xlfn.XLOOKUP(G613,DATA!D:D,DATA!E:E,"")</f>
        <v/>
      </c>
      <c r="I613" s="84"/>
      <c r="J613" s="23"/>
      <c r="K613" s="23"/>
      <c r="L613" s="66" t="str">
        <f t="shared" si="1"/>
        <v/>
      </c>
      <c r="M613" s="77"/>
      <c r="N613" s="78"/>
      <c r="O613" s="66" t="str">
        <f>IF(M613="","",
 IF(M613="عدم پاسخ","بدون پاسخ",
 IF(L613="","اطلاعات ناقص",
 IF(L613&lt;=DATA!$M$1,"رعایت شده","رعایت نشده"))))</f>
        <v/>
      </c>
      <c r="P613" s="79"/>
      <c r="Q613" s="77"/>
      <c r="R613" s="79"/>
      <c r="S613" s="79"/>
      <c r="T613" s="78"/>
      <c r="U613" s="80"/>
      <c r="V613" s="78"/>
      <c r="W613" s="77" t="str">
        <f t="array" ref="W613">IF(D613="","",_xlfn.XLOOKUP(D613,DATA!B:B,DATA!L:L,""))</f>
        <v/>
      </c>
      <c r="X613" s="78" t="str">
        <f t="array" ref="X613">IF(F613="","",_xlfn.XLOOKUP(F613,DATA!B:B,DATA!L:L,""))</f>
        <v/>
      </c>
    </row>
    <row r="614">
      <c r="A614" s="81"/>
      <c r="B614" s="79"/>
      <c r="C614" s="90"/>
      <c r="D614" s="82"/>
      <c r="E614" s="89"/>
      <c r="F614" s="83"/>
      <c r="G614" s="78"/>
      <c r="H614" s="64" t="str">
        <f t="array" ref="H614">_xlfn.XLOOKUP(G614,DATA!D:D,DATA!E:E,"")</f>
        <v/>
      </c>
      <c r="I614" s="84"/>
      <c r="J614" s="23"/>
      <c r="K614" s="23"/>
      <c r="L614" s="66" t="str">
        <f t="shared" si="1"/>
        <v/>
      </c>
      <c r="M614" s="77"/>
      <c r="N614" s="78"/>
      <c r="O614" s="66" t="str">
        <f>IF(M614="","",
 IF(M614="عدم پاسخ","بدون پاسخ",
 IF(L614="","اطلاعات ناقص",
 IF(L614&lt;=DATA!$M$1,"رعایت شده","رعایت نشده"))))</f>
        <v/>
      </c>
      <c r="P614" s="79"/>
      <c r="Q614" s="77"/>
      <c r="R614" s="79"/>
      <c r="S614" s="79"/>
      <c r="T614" s="78"/>
      <c r="U614" s="80"/>
      <c r="V614" s="78"/>
      <c r="W614" s="77" t="str">
        <f t="array" ref="W614">IF(D614="","",_xlfn.XLOOKUP(D614,DATA!B:B,DATA!L:L,""))</f>
        <v/>
      </c>
      <c r="X614" s="78" t="str">
        <f t="array" ref="X614">IF(F614="","",_xlfn.XLOOKUP(F614,DATA!B:B,DATA!L:L,""))</f>
        <v/>
      </c>
    </row>
    <row r="615">
      <c r="A615" s="81"/>
      <c r="B615" s="79"/>
      <c r="C615" s="90"/>
      <c r="D615" s="82"/>
      <c r="E615" s="89"/>
      <c r="F615" s="83"/>
      <c r="G615" s="78"/>
      <c r="H615" s="64" t="str">
        <f t="array" ref="H615">_xlfn.XLOOKUP(G615,DATA!D:D,DATA!E:E,"")</f>
        <v/>
      </c>
      <c r="I615" s="84"/>
      <c r="J615" s="23"/>
      <c r="K615" s="23"/>
      <c r="L615" s="66" t="str">
        <f t="shared" si="1"/>
        <v/>
      </c>
      <c r="M615" s="77"/>
      <c r="N615" s="78"/>
      <c r="O615" s="66" t="str">
        <f>IF(M615="","",
 IF(M615="عدم پاسخ","بدون پاسخ",
 IF(L615="","اطلاعات ناقص",
 IF(L615&lt;=DATA!$M$1,"رعایت شده","رعایت نشده"))))</f>
        <v/>
      </c>
      <c r="P615" s="79"/>
      <c r="Q615" s="77"/>
      <c r="R615" s="79"/>
      <c r="S615" s="79"/>
      <c r="T615" s="78"/>
      <c r="U615" s="80"/>
      <c r="V615" s="78"/>
      <c r="W615" s="77" t="str">
        <f t="array" ref="W615">IF(D615="","",_xlfn.XLOOKUP(D615,DATA!B:B,DATA!L:L,""))</f>
        <v/>
      </c>
      <c r="X615" s="78" t="str">
        <f t="array" ref="X615">IF(F615="","",_xlfn.XLOOKUP(F615,DATA!B:B,DATA!L:L,""))</f>
        <v/>
      </c>
    </row>
    <row r="616">
      <c r="A616" s="81"/>
      <c r="B616" s="79"/>
      <c r="C616" s="90"/>
      <c r="D616" s="82"/>
      <c r="E616" s="89"/>
      <c r="F616" s="83"/>
      <c r="G616" s="78"/>
      <c r="H616" s="64" t="str">
        <f t="array" ref="H616">_xlfn.XLOOKUP(G616,DATA!D:D,DATA!E:E,"")</f>
        <v/>
      </c>
      <c r="I616" s="84"/>
      <c r="J616" s="23"/>
      <c r="K616" s="23"/>
      <c r="L616" s="66" t="str">
        <f t="shared" si="1"/>
        <v/>
      </c>
      <c r="M616" s="77"/>
      <c r="N616" s="78"/>
      <c r="O616" s="66" t="str">
        <f>IF(M616="","",
 IF(M616="عدم پاسخ","بدون پاسخ",
 IF(L616="","اطلاعات ناقص",
 IF(L616&lt;=DATA!$M$1,"رعایت شده","رعایت نشده"))))</f>
        <v/>
      </c>
      <c r="P616" s="79"/>
      <c r="Q616" s="77"/>
      <c r="R616" s="79"/>
      <c r="S616" s="79"/>
      <c r="T616" s="78"/>
      <c r="U616" s="80"/>
      <c r="V616" s="78"/>
      <c r="W616" s="77" t="str">
        <f t="array" ref="W616">IF(D616="","",_xlfn.XLOOKUP(D616,DATA!B:B,DATA!L:L,""))</f>
        <v/>
      </c>
      <c r="X616" s="78" t="str">
        <f t="array" ref="X616">IF(F616="","",_xlfn.XLOOKUP(F616,DATA!B:B,DATA!L:L,""))</f>
        <v/>
      </c>
    </row>
    <row r="617">
      <c r="A617" s="81"/>
      <c r="B617" s="79"/>
      <c r="C617" s="90"/>
      <c r="D617" s="82"/>
      <c r="E617" s="89"/>
      <c r="F617" s="83"/>
      <c r="G617" s="78"/>
      <c r="H617" s="64" t="str">
        <f t="array" ref="H617">_xlfn.XLOOKUP(G617,DATA!D:D,DATA!E:E,"")</f>
        <v/>
      </c>
      <c r="I617" s="84"/>
      <c r="J617" s="23"/>
      <c r="K617" s="23"/>
      <c r="L617" s="66" t="str">
        <f t="shared" si="1"/>
        <v/>
      </c>
      <c r="M617" s="77"/>
      <c r="N617" s="78"/>
      <c r="O617" s="66" t="str">
        <f>IF(M617="","",
 IF(M617="عدم پاسخ","بدون پاسخ",
 IF(L617="","اطلاعات ناقص",
 IF(L617&lt;=DATA!$M$1,"رعایت شده","رعایت نشده"))))</f>
        <v/>
      </c>
      <c r="P617" s="79"/>
      <c r="Q617" s="77"/>
      <c r="R617" s="79"/>
      <c r="S617" s="79"/>
      <c r="T617" s="78"/>
      <c r="U617" s="80"/>
      <c r="V617" s="78"/>
      <c r="W617" s="77" t="str">
        <f t="array" ref="W617">IF(D617="","",_xlfn.XLOOKUP(D617,DATA!B:B,DATA!L:L,""))</f>
        <v/>
      </c>
      <c r="X617" s="78" t="str">
        <f t="array" ref="X617">IF(F617="","",_xlfn.XLOOKUP(F617,DATA!B:B,DATA!L:L,""))</f>
        <v/>
      </c>
    </row>
    <row r="618">
      <c r="A618" s="81"/>
      <c r="B618" s="79"/>
      <c r="C618" s="90"/>
      <c r="D618" s="82"/>
      <c r="E618" s="89"/>
      <c r="F618" s="83"/>
      <c r="G618" s="78"/>
      <c r="H618" s="64" t="str">
        <f t="array" ref="H618">_xlfn.XLOOKUP(G618,DATA!D:D,DATA!E:E,"")</f>
        <v/>
      </c>
      <c r="I618" s="84"/>
      <c r="J618" s="23"/>
      <c r="K618" s="23"/>
      <c r="L618" s="66" t="str">
        <f t="shared" si="1"/>
        <v/>
      </c>
      <c r="M618" s="77"/>
      <c r="N618" s="78"/>
      <c r="O618" s="66" t="str">
        <f>IF(M618="","",
 IF(M618="عدم پاسخ","بدون پاسخ",
 IF(L618="","اطلاعات ناقص",
 IF(L618&lt;=DATA!$M$1,"رعایت شده","رعایت نشده"))))</f>
        <v/>
      </c>
      <c r="P618" s="79"/>
      <c r="Q618" s="77"/>
      <c r="R618" s="79"/>
      <c r="S618" s="79"/>
      <c r="T618" s="78"/>
      <c r="U618" s="80"/>
      <c r="V618" s="78"/>
      <c r="W618" s="77" t="str">
        <f t="array" ref="W618">IF(D618="","",_xlfn.XLOOKUP(D618,DATA!B:B,DATA!L:L,""))</f>
        <v/>
      </c>
      <c r="X618" s="78" t="str">
        <f t="array" ref="X618">IF(F618="","",_xlfn.XLOOKUP(F618,DATA!B:B,DATA!L:L,""))</f>
        <v/>
      </c>
    </row>
    <row r="619">
      <c r="A619" s="81"/>
      <c r="B619" s="79"/>
      <c r="C619" s="90"/>
      <c r="D619" s="82"/>
      <c r="E619" s="89"/>
      <c r="F619" s="83"/>
      <c r="G619" s="78"/>
      <c r="H619" s="64" t="str">
        <f t="array" ref="H619">_xlfn.XLOOKUP(G619,DATA!D:D,DATA!E:E,"")</f>
        <v/>
      </c>
      <c r="I619" s="84"/>
      <c r="J619" s="23"/>
      <c r="K619" s="23"/>
      <c r="L619" s="66" t="str">
        <f t="shared" si="1"/>
        <v/>
      </c>
      <c r="M619" s="77"/>
      <c r="N619" s="78"/>
      <c r="O619" s="66" t="str">
        <f>IF(M619="","",
 IF(M619="عدم پاسخ","بدون پاسخ",
 IF(L619="","اطلاعات ناقص",
 IF(L619&lt;=DATA!$M$1,"رعایت شده","رعایت نشده"))))</f>
        <v/>
      </c>
      <c r="P619" s="79"/>
      <c r="Q619" s="77"/>
      <c r="R619" s="79"/>
      <c r="S619" s="79"/>
      <c r="T619" s="78"/>
      <c r="U619" s="80"/>
      <c r="V619" s="78"/>
      <c r="W619" s="77" t="str">
        <f t="array" ref="W619">IF(D619="","",_xlfn.XLOOKUP(D619,DATA!B:B,DATA!L:L,""))</f>
        <v/>
      </c>
      <c r="X619" s="78" t="str">
        <f t="array" ref="X619">IF(F619="","",_xlfn.XLOOKUP(F619,DATA!B:B,DATA!L:L,""))</f>
        <v/>
      </c>
    </row>
    <row r="620">
      <c r="A620" s="81"/>
      <c r="B620" s="79"/>
      <c r="C620" s="90"/>
      <c r="D620" s="82"/>
      <c r="E620" s="89"/>
      <c r="F620" s="83"/>
      <c r="G620" s="78"/>
      <c r="H620" s="64" t="str">
        <f t="array" ref="H620">_xlfn.XLOOKUP(G620,DATA!D:D,DATA!E:E,"")</f>
        <v/>
      </c>
      <c r="I620" s="84"/>
      <c r="J620" s="23"/>
      <c r="K620" s="23"/>
      <c r="L620" s="66" t="str">
        <f t="shared" si="1"/>
        <v/>
      </c>
      <c r="M620" s="77"/>
      <c r="N620" s="78"/>
      <c r="O620" s="66" t="str">
        <f>IF(M620="","",
 IF(M620="عدم پاسخ","بدون پاسخ",
 IF(L620="","اطلاعات ناقص",
 IF(L620&lt;=DATA!$M$1,"رعایت شده","رعایت نشده"))))</f>
        <v/>
      </c>
      <c r="P620" s="79"/>
      <c r="Q620" s="77"/>
      <c r="R620" s="79"/>
      <c r="S620" s="79"/>
      <c r="T620" s="78"/>
      <c r="U620" s="80"/>
      <c r="V620" s="78"/>
      <c r="W620" s="77" t="str">
        <f t="array" ref="W620">IF(D620="","",_xlfn.XLOOKUP(D620,DATA!B:B,DATA!L:L,""))</f>
        <v/>
      </c>
      <c r="X620" s="78" t="str">
        <f t="array" ref="X620">IF(F620="","",_xlfn.XLOOKUP(F620,DATA!B:B,DATA!L:L,""))</f>
        <v/>
      </c>
    </row>
    <row r="621">
      <c r="A621" s="81"/>
      <c r="B621" s="79"/>
      <c r="C621" s="90"/>
      <c r="D621" s="82"/>
      <c r="E621" s="89"/>
      <c r="F621" s="83"/>
      <c r="G621" s="78"/>
      <c r="H621" s="64" t="str">
        <f t="array" ref="H621">_xlfn.XLOOKUP(G621,DATA!D:D,DATA!E:E,"")</f>
        <v/>
      </c>
      <c r="I621" s="84"/>
      <c r="J621" s="23"/>
      <c r="K621" s="23"/>
      <c r="L621" s="66" t="str">
        <f t="shared" si="1"/>
        <v/>
      </c>
      <c r="M621" s="77"/>
      <c r="N621" s="78"/>
      <c r="O621" s="66" t="str">
        <f>IF(M621="","",
 IF(M621="عدم پاسخ","بدون پاسخ",
 IF(L621="","اطلاعات ناقص",
 IF(L621&lt;=DATA!$M$1,"رعایت شده","رعایت نشده"))))</f>
        <v/>
      </c>
      <c r="P621" s="79"/>
      <c r="Q621" s="77"/>
      <c r="R621" s="79"/>
      <c r="S621" s="79"/>
      <c r="T621" s="78"/>
      <c r="U621" s="80"/>
      <c r="V621" s="78"/>
      <c r="W621" s="77" t="str">
        <f t="array" ref="W621">IF(D621="","",_xlfn.XLOOKUP(D621,DATA!B:B,DATA!L:L,""))</f>
        <v/>
      </c>
      <c r="X621" s="78" t="str">
        <f t="array" ref="X621">IF(F621="","",_xlfn.XLOOKUP(F621,DATA!B:B,DATA!L:L,""))</f>
        <v/>
      </c>
    </row>
    <row r="622">
      <c r="A622" s="81"/>
      <c r="B622" s="79"/>
      <c r="C622" s="90"/>
      <c r="D622" s="82"/>
      <c r="E622" s="89"/>
      <c r="F622" s="83"/>
      <c r="G622" s="78"/>
      <c r="H622" s="64" t="str">
        <f t="array" ref="H622">_xlfn.XLOOKUP(G622,DATA!D:D,DATA!E:E,"")</f>
        <v/>
      </c>
      <c r="I622" s="84"/>
      <c r="J622" s="23"/>
      <c r="K622" s="23"/>
      <c r="L622" s="66" t="str">
        <f t="shared" si="1"/>
        <v/>
      </c>
      <c r="M622" s="77"/>
      <c r="N622" s="78"/>
      <c r="O622" s="66" t="str">
        <f>IF(M622="","",
 IF(M622="عدم پاسخ","بدون پاسخ",
 IF(L622="","اطلاعات ناقص",
 IF(L622&lt;=DATA!$M$1,"رعایت شده","رعایت نشده"))))</f>
        <v/>
      </c>
      <c r="P622" s="79"/>
      <c r="Q622" s="77"/>
      <c r="R622" s="79"/>
      <c r="S622" s="79"/>
      <c r="T622" s="78"/>
      <c r="U622" s="80"/>
      <c r="V622" s="78"/>
      <c r="W622" s="77" t="str">
        <f t="array" ref="W622">IF(D622="","",_xlfn.XLOOKUP(D622,DATA!B:B,DATA!L:L,""))</f>
        <v/>
      </c>
      <c r="X622" s="78" t="str">
        <f t="array" ref="X622">IF(F622="","",_xlfn.XLOOKUP(F622,DATA!B:B,DATA!L:L,""))</f>
        <v/>
      </c>
    </row>
    <row r="623">
      <c r="A623" s="81"/>
      <c r="B623" s="79"/>
      <c r="C623" s="90"/>
      <c r="D623" s="82"/>
      <c r="E623" s="89"/>
      <c r="F623" s="83"/>
      <c r="G623" s="78"/>
      <c r="H623" s="64" t="str">
        <f t="array" ref="H623">_xlfn.XLOOKUP(G623,DATA!D:D,DATA!E:E,"")</f>
        <v/>
      </c>
      <c r="I623" s="84"/>
      <c r="J623" s="23"/>
      <c r="K623" s="23"/>
      <c r="L623" s="66" t="str">
        <f t="shared" si="1"/>
        <v/>
      </c>
      <c r="M623" s="77"/>
      <c r="N623" s="78"/>
      <c r="O623" s="66" t="str">
        <f>IF(M623="","",
 IF(M623="عدم پاسخ","بدون پاسخ",
 IF(L623="","اطلاعات ناقص",
 IF(L623&lt;=DATA!$M$1,"رعایت شده","رعایت نشده"))))</f>
        <v/>
      </c>
      <c r="P623" s="79"/>
      <c r="Q623" s="77"/>
      <c r="R623" s="79"/>
      <c r="S623" s="79"/>
      <c r="T623" s="78"/>
      <c r="U623" s="80"/>
      <c r="V623" s="78"/>
      <c r="W623" s="77" t="str">
        <f t="array" ref="W623">IF(D623="","",_xlfn.XLOOKUP(D623,DATA!B:B,DATA!L:L,""))</f>
        <v/>
      </c>
      <c r="X623" s="78" t="str">
        <f t="array" ref="X623">IF(F623="","",_xlfn.XLOOKUP(F623,DATA!B:B,DATA!L:L,""))</f>
        <v/>
      </c>
    </row>
    <row r="624">
      <c r="A624" s="81"/>
      <c r="B624" s="79"/>
      <c r="C624" s="90"/>
      <c r="D624" s="82"/>
      <c r="E624" s="89"/>
      <c r="F624" s="83"/>
      <c r="G624" s="78"/>
      <c r="H624" s="64" t="str">
        <f t="array" ref="H624">_xlfn.XLOOKUP(G624,DATA!D:D,DATA!E:E,"")</f>
        <v/>
      </c>
      <c r="I624" s="84"/>
      <c r="J624" s="23"/>
      <c r="K624" s="23"/>
      <c r="L624" s="66" t="str">
        <f t="shared" si="1"/>
        <v/>
      </c>
      <c r="M624" s="77"/>
      <c r="N624" s="78"/>
      <c r="O624" s="66" t="str">
        <f>IF(M624="","",
 IF(M624="عدم پاسخ","بدون پاسخ",
 IF(L624="","اطلاعات ناقص",
 IF(L624&lt;=DATA!$M$1,"رعایت شده","رعایت نشده"))))</f>
        <v/>
      </c>
      <c r="P624" s="79"/>
      <c r="Q624" s="77"/>
      <c r="R624" s="79"/>
      <c r="S624" s="79"/>
      <c r="T624" s="78"/>
      <c r="U624" s="80"/>
      <c r="V624" s="78"/>
      <c r="W624" s="77" t="str">
        <f t="array" ref="W624">IF(D624="","",_xlfn.XLOOKUP(D624,DATA!B:B,DATA!L:L,""))</f>
        <v/>
      </c>
      <c r="X624" s="78" t="str">
        <f t="array" ref="X624">IF(F624="","",_xlfn.XLOOKUP(F624,DATA!B:B,DATA!L:L,""))</f>
        <v/>
      </c>
    </row>
    <row r="625">
      <c r="A625" s="81"/>
      <c r="B625" s="79"/>
      <c r="C625" s="90"/>
      <c r="D625" s="82"/>
      <c r="E625" s="89"/>
      <c r="F625" s="83"/>
      <c r="G625" s="78"/>
      <c r="H625" s="64" t="str">
        <f t="array" ref="H625">_xlfn.XLOOKUP(G625,DATA!D:D,DATA!E:E,"")</f>
        <v/>
      </c>
      <c r="I625" s="84"/>
      <c r="J625" s="23"/>
      <c r="K625" s="23"/>
      <c r="L625" s="66" t="str">
        <f t="shared" si="1"/>
        <v/>
      </c>
      <c r="M625" s="77"/>
      <c r="N625" s="78"/>
      <c r="O625" s="66" t="str">
        <f>IF(M625="","",
 IF(M625="عدم پاسخ","بدون پاسخ",
 IF(L625="","اطلاعات ناقص",
 IF(L625&lt;=DATA!$M$1,"رعایت شده","رعایت نشده"))))</f>
        <v/>
      </c>
      <c r="P625" s="79"/>
      <c r="Q625" s="77"/>
      <c r="R625" s="79"/>
      <c r="S625" s="79"/>
      <c r="T625" s="78"/>
      <c r="U625" s="80"/>
      <c r="V625" s="78"/>
      <c r="W625" s="77" t="str">
        <f t="array" ref="W625">IF(D625="","",_xlfn.XLOOKUP(D625,DATA!B:B,DATA!L:L,""))</f>
        <v/>
      </c>
      <c r="X625" s="78" t="str">
        <f t="array" ref="X625">IF(F625="","",_xlfn.XLOOKUP(F625,DATA!B:B,DATA!L:L,""))</f>
        <v/>
      </c>
    </row>
    <row r="626">
      <c r="A626" s="81"/>
      <c r="B626" s="79"/>
      <c r="C626" s="90"/>
      <c r="D626" s="82"/>
      <c r="E626" s="89"/>
      <c r="F626" s="83"/>
      <c r="G626" s="78"/>
      <c r="H626" s="64" t="str">
        <f t="array" ref="H626">_xlfn.XLOOKUP(G626,DATA!D:D,DATA!E:E,"")</f>
        <v/>
      </c>
      <c r="I626" s="84"/>
      <c r="J626" s="23"/>
      <c r="K626" s="23"/>
      <c r="L626" s="66" t="str">
        <f t="shared" si="1"/>
        <v/>
      </c>
      <c r="M626" s="77"/>
      <c r="N626" s="78"/>
      <c r="O626" s="66" t="str">
        <f>IF(M626="","",
 IF(M626="عدم پاسخ","بدون پاسخ",
 IF(L626="","اطلاعات ناقص",
 IF(L626&lt;=DATA!$M$1,"رعایت شده","رعایت نشده"))))</f>
        <v/>
      </c>
      <c r="P626" s="79"/>
      <c r="Q626" s="77"/>
      <c r="R626" s="79"/>
      <c r="S626" s="79"/>
      <c r="T626" s="78"/>
      <c r="U626" s="80"/>
      <c r="V626" s="78"/>
      <c r="W626" s="77" t="str">
        <f t="array" ref="W626">IF(D626="","",_xlfn.XLOOKUP(D626,DATA!B:B,DATA!L:L,""))</f>
        <v/>
      </c>
      <c r="X626" s="78" t="str">
        <f t="array" ref="X626">IF(F626="","",_xlfn.XLOOKUP(F626,DATA!B:B,DATA!L:L,""))</f>
        <v/>
      </c>
    </row>
    <row r="627">
      <c r="A627" s="81"/>
      <c r="B627" s="79"/>
      <c r="C627" s="90"/>
      <c r="D627" s="82"/>
      <c r="E627" s="89"/>
      <c r="F627" s="83"/>
      <c r="G627" s="78"/>
      <c r="H627" s="64" t="str">
        <f t="array" ref="H627">_xlfn.XLOOKUP(G627,DATA!D:D,DATA!E:E,"")</f>
        <v/>
      </c>
      <c r="I627" s="84"/>
      <c r="J627" s="23"/>
      <c r="K627" s="23"/>
      <c r="L627" s="66" t="str">
        <f t="shared" si="1"/>
        <v/>
      </c>
      <c r="M627" s="77"/>
      <c r="N627" s="78"/>
      <c r="O627" s="66" t="str">
        <f>IF(M627="","",
 IF(M627="عدم پاسخ","بدون پاسخ",
 IF(L627="","اطلاعات ناقص",
 IF(L627&lt;=DATA!$M$1,"رعایت شده","رعایت نشده"))))</f>
        <v/>
      </c>
      <c r="P627" s="79"/>
      <c r="Q627" s="77"/>
      <c r="R627" s="79"/>
      <c r="S627" s="79"/>
      <c r="T627" s="78"/>
      <c r="U627" s="80"/>
      <c r="V627" s="78"/>
      <c r="W627" s="77" t="str">
        <f t="array" ref="W627">IF(D627="","",_xlfn.XLOOKUP(D627,DATA!B:B,DATA!L:L,""))</f>
        <v/>
      </c>
      <c r="X627" s="78" t="str">
        <f t="array" ref="X627">IF(F627="","",_xlfn.XLOOKUP(F627,DATA!B:B,DATA!L:L,""))</f>
        <v/>
      </c>
    </row>
    <row r="628">
      <c r="A628" s="81"/>
      <c r="B628" s="79"/>
      <c r="C628" s="90"/>
      <c r="D628" s="82"/>
      <c r="E628" s="89"/>
      <c r="F628" s="83"/>
      <c r="G628" s="78"/>
      <c r="H628" s="64" t="str">
        <f t="array" ref="H628">_xlfn.XLOOKUP(G628,DATA!D:D,DATA!E:E,"")</f>
        <v/>
      </c>
      <c r="I628" s="84"/>
      <c r="J628" s="23"/>
      <c r="K628" s="23"/>
      <c r="L628" s="66" t="str">
        <f t="shared" si="1"/>
        <v/>
      </c>
      <c r="M628" s="77"/>
      <c r="N628" s="78"/>
      <c r="O628" s="66" t="str">
        <f>IF(M628="","",
 IF(M628="عدم پاسخ","بدون پاسخ",
 IF(L628="","اطلاعات ناقص",
 IF(L628&lt;=DATA!$M$1,"رعایت شده","رعایت نشده"))))</f>
        <v/>
      </c>
      <c r="P628" s="79"/>
      <c r="Q628" s="77"/>
      <c r="R628" s="79"/>
      <c r="S628" s="79"/>
      <c r="T628" s="78"/>
      <c r="U628" s="80"/>
      <c r="V628" s="78"/>
      <c r="W628" s="77" t="str">
        <f t="array" ref="W628">IF(D628="","",_xlfn.XLOOKUP(D628,DATA!B:B,DATA!L:L,""))</f>
        <v/>
      </c>
      <c r="X628" s="78" t="str">
        <f t="array" ref="X628">IF(F628="","",_xlfn.XLOOKUP(F628,DATA!B:B,DATA!L:L,""))</f>
        <v/>
      </c>
    </row>
    <row r="629">
      <c r="A629" s="81"/>
      <c r="B629" s="79"/>
      <c r="C629" s="90"/>
      <c r="D629" s="82"/>
      <c r="E629" s="89"/>
      <c r="F629" s="83"/>
      <c r="G629" s="78"/>
      <c r="H629" s="64" t="str">
        <f t="array" ref="H629">_xlfn.XLOOKUP(G629,DATA!D:D,DATA!E:E,"")</f>
        <v/>
      </c>
      <c r="I629" s="84"/>
      <c r="J629" s="23"/>
      <c r="K629" s="23"/>
      <c r="L629" s="66" t="str">
        <f t="shared" si="1"/>
        <v/>
      </c>
      <c r="M629" s="77"/>
      <c r="N629" s="78"/>
      <c r="O629" s="66" t="str">
        <f>IF(M629="","",
 IF(M629="عدم پاسخ","بدون پاسخ",
 IF(L629="","اطلاعات ناقص",
 IF(L629&lt;=DATA!$M$1,"رعایت شده","رعایت نشده"))))</f>
        <v/>
      </c>
      <c r="P629" s="79"/>
      <c r="Q629" s="77"/>
      <c r="R629" s="79"/>
      <c r="S629" s="79"/>
      <c r="T629" s="78"/>
      <c r="U629" s="80"/>
      <c r="V629" s="78"/>
      <c r="W629" s="77" t="str">
        <f t="array" ref="W629">IF(D629="","",_xlfn.XLOOKUP(D629,DATA!B:B,DATA!L:L,""))</f>
        <v/>
      </c>
      <c r="X629" s="78" t="str">
        <f t="array" ref="X629">IF(F629="","",_xlfn.XLOOKUP(F629,DATA!B:B,DATA!L:L,""))</f>
        <v/>
      </c>
    </row>
    <row r="630">
      <c r="A630" s="81"/>
      <c r="B630" s="79"/>
      <c r="C630" s="90"/>
      <c r="D630" s="82"/>
      <c r="E630" s="89"/>
      <c r="F630" s="83"/>
      <c r="G630" s="78"/>
      <c r="H630" s="64" t="str">
        <f t="array" ref="H630">_xlfn.XLOOKUP(G630,DATA!D:D,DATA!E:E,"")</f>
        <v/>
      </c>
      <c r="I630" s="84"/>
      <c r="J630" s="23"/>
      <c r="K630" s="23"/>
      <c r="L630" s="66" t="str">
        <f t="shared" si="1"/>
        <v/>
      </c>
      <c r="M630" s="77"/>
      <c r="N630" s="78"/>
      <c r="O630" s="66" t="str">
        <f>IF(M630="","",
 IF(M630="عدم پاسخ","بدون پاسخ",
 IF(L630="","اطلاعات ناقص",
 IF(L630&lt;=DATA!$M$1,"رعایت شده","رعایت نشده"))))</f>
        <v/>
      </c>
      <c r="P630" s="79"/>
      <c r="Q630" s="77"/>
      <c r="R630" s="79"/>
      <c r="S630" s="79"/>
      <c r="T630" s="78"/>
      <c r="U630" s="80"/>
      <c r="V630" s="78"/>
      <c r="W630" s="77" t="str">
        <f t="array" ref="W630">IF(D630="","",_xlfn.XLOOKUP(D630,DATA!B:B,DATA!L:L,""))</f>
        <v/>
      </c>
      <c r="X630" s="78" t="str">
        <f t="array" ref="X630">IF(F630="","",_xlfn.XLOOKUP(F630,DATA!B:B,DATA!L:L,""))</f>
        <v/>
      </c>
    </row>
    <row r="631">
      <c r="A631" s="81"/>
      <c r="B631" s="79"/>
      <c r="C631" s="90"/>
      <c r="D631" s="82"/>
      <c r="E631" s="89"/>
      <c r="F631" s="83"/>
      <c r="G631" s="78"/>
      <c r="H631" s="64" t="str">
        <f t="array" ref="H631">_xlfn.XLOOKUP(G631,DATA!D:D,DATA!E:E,"")</f>
        <v/>
      </c>
      <c r="I631" s="84"/>
      <c r="J631" s="23"/>
      <c r="K631" s="23"/>
      <c r="L631" s="66" t="str">
        <f t="shared" si="1"/>
        <v/>
      </c>
      <c r="M631" s="77"/>
      <c r="N631" s="78"/>
      <c r="O631" s="66" t="str">
        <f>IF(M631="","",
 IF(M631="عدم پاسخ","بدون پاسخ",
 IF(L631="","اطلاعات ناقص",
 IF(L631&lt;=DATA!$M$1,"رعایت شده","رعایت نشده"))))</f>
        <v/>
      </c>
      <c r="P631" s="79"/>
      <c r="Q631" s="77"/>
      <c r="R631" s="79"/>
      <c r="S631" s="79"/>
      <c r="T631" s="78"/>
      <c r="U631" s="80"/>
      <c r="V631" s="78"/>
      <c r="W631" s="77" t="str">
        <f t="array" ref="W631">IF(D631="","",_xlfn.XLOOKUP(D631,DATA!B:B,DATA!L:L,""))</f>
        <v/>
      </c>
      <c r="X631" s="78" t="str">
        <f t="array" ref="X631">IF(F631="","",_xlfn.XLOOKUP(F631,DATA!B:B,DATA!L:L,""))</f>
        <v/>
      </c>
    </row>
    <row r="632">
      <c r="A632" s="81"/>
      <c r="B632" s="79"/>
      <c r="C632" s="90"/>
      <c r="D632" s="82"/>
      <c r="E632" s="89"/>
      <c r="F632" s="83"/>
      <c r="G632" s="78"/>
      <c r="H632" s="64" t="str">
        <f t="array" ref="H632">_xlfn.XLOOKUP(G632,DATA!D:D,DATA!E:E,"")</f>
        <v/>
      </c>
      <c r="I632" s="84"/>
      <c r="J632" s="23"/>
      <c r="K632" s="23"/>
      <c r="L632" s="66" t="str">
        <f t="shared" si="1"/>
        <v/>
      </c>
      <c r="M632" s="77"/>
      <c r="N632" s="78"/>
      <c r="O632" s="66" t="str">
        <f>IF(M632="","",
 IF(M632="عدم پاسخ","بدون پاسخ",
 IF(L632="","اطلاعات ناقص",
 IF(L632&lt;=DATA!$M$1,"رعایت شده","رعایت نشده"))))</f>
        <v/>
      </c>
      <c r="P632" s="79"/>
      <c r="Q632" s="77"/>
      <c r="R632" s="79"/>
      <c r="S632" s="79"/>
      <c r="T632" s="78"/>
      <c r="U632" s="80"/>
      <c r="V632" s="78"/>
      <c r="W632" s="77" t="str">
        <f t="array" ref="W632">IF(D632="","",_xlfn.XLOOKUP(D632,DATA!B:B,DATA!L:L,""))</f>
        <v/>
      </c>
      <c r="X632" s="78" t="str">
        <f t="array" ref="X632">IF(F632="","",_xlfn.XLOOKUP(F632,DATA!B:B,DATA!L:L,""))</f>
        <v/>
      </c>
    </row>
    <row r="633">
      <c r="A633" s="81"/>
      <c r="B633" s="79"/>
      <c r="C633" s="90"/>
      <c r="D633" s="82"/>
      <c r="E633" s="89"/>
      <c r="F633" s="83"/>
      <c r="G633" s="78"/>
      <c r="H633" s="64" t="str">
        <f t="array" ref="H633">_xlfn.XLOOKUP(G633,DATA!D:D,DATA!E:E,"")</f>
        <v/>
      </c>
      <c r="I633" s="84"/>
      <c r="J633" s="23"/>
      <c r="K633" s="23"/>
      <c r="L633" s="66" t="str">
        <f t="shared" si="1"/>
        <v/>
      </c>
      <c r="M633" s="77"/>
      <c r="N633" s="78"/>
      <c r="O633" s="66" t="str">
        <f>IF(M633="","",
 IF(M633="عدم پاسخ","بدون پاسخ",
 IF(L633="","اطلاعات ناقص",
 IF(L633&lt;=DATA!$M$1,"رعایت شده","رعایت نشده"))))</f>
        <v/>
      </c>
      <c r="P633" s="79"/>
      <c r="Q633" s="77"/>
      <c r="R633" s="79"/>
      <c r="S633" s="79"/>
      <c r="T633" s="78"/>
      <c r="U633" s="80"/>
      <c r="V633" s="78"/>
      <c r="W633" s="77" t="str">
        <f t="array" ref="W633">IF(D633="","",_xlfn.XLOOKUP(D633,DATA!B:B,DATA!L:L,""))</f>
        <v/>
      </c>
      <c r="X633" s="78" t="str">
        <f t="array" ref="X633">IF(F633="","",_xlfn.XLOOKUP(F633,DATA!B:B,DATA!L:L,""))</f>
        <v/>
      </c>
    </row>
    <row r="634">
      <c r="A634" s="81"/>
      <c r="B634" s="79"/>
      <c r="C634" s="90"/>
      <c r="D634" s="82"/>
      <c r="E634" s="89"/>
      <c r="F634" s="83"/>
      <c r="G634" s="78"/>
      <c r="H634" s="64" t="str">
        <f t="array" ref="H634">_xlfn.XLOOKUP(G634,DATA!D:D,DATA!E:E,"")</f>
        <v/>
      </c>
      <c r="I634" s="84"/>
      <c r="J634" s="23"/>
      <c r="K634" s="23"/>
      <c r="L634" s="66" t="str">
        <f t="shared" si="1"/>
        <v/>
      </c>
      <c r="M634" s="77"/>
      <c r="N634" s="78"/>
      <c r="O634" s="66" t="str">
        <f>IF(M634="","",
 IF(M634="عدم پاسخ","بدون پاسخ",
 IF(L634="","اطلاعات ناقص",
 IF(L634&lt;=DATA!$M$1,"رعایت شده","رعایت نشده"))))</f>
        <v/>
      </c>
      <c r="P634" s="79"/>
      <c r="Q634" s="77"/>
      <c r="R634" s="79"/>
      <c r="S634" s="79"/>
      <c r="T634" s="78"/>
      <c r="U634" s="80"/>
      <c r="V634" s="78"/>
      <c r="W634" s="77" t="str">
        <f t="array" ref="W634">IF(D634="","",_xlfn.XLOOKUP(D634,DATA!B:B,DATA!L:L,""))</f>
        <v/>
      </c>
      <c r="X634" s="78" t="str">
        <f t="array" ref="X634">IF(F634="","",_xlfn.XLOOKUP(F634,DATA!B:B,DATA!L:L,""))</f>
        <v/>
      </c>
    </row>
    <row r="635">
      <c r="A635" s="81"/>
      <c r="B635" s="79"/>
      <c r="C635" s="90"/>
      <c r="D635" s="82"/>
      <c r="E635" s="89"/>
      <c r="F635" s="83"/>
      <c r="G635" s="78"/>
      <c r="H635" s="64" t="str">
        <f t="array" ref="H635">_xlfn.XLOOKUP(G635,DATA!D:D,DATA!E:E,"")</f>
        <v/>
      </c>
      <c r="I635" s="84"/>
      <c r="J635" s="23"/>
      <c r="K635" s="23"/>
      <c r="L635" s="66" t="str">
        <f t="shared" si="1"/>
        <v/>
      </c>
      <c r="M635" s="77"/>
      <c r="N635" s="78"/>
      <c r="O635" s="66" t="str">
        <f>IF(M635="","",
 IF(M635="عدم پاسخ","بدون پاسخ",
 IF(L635="","اطلاعات ناقص",
 IF(L635&lt;=DATA!$M$1,"رعایت شده","رعایت نشده"))))</f>
        <v/>
      </c>
      <c r="P635" s="79"/>
      <c r="Q635" s="77"/>
      <c r="R635" s="79"/>
      <c r="S635" s="79"/>
      <c r="T635" s="78"/>
      <c r="U635" s="80"/>
      <c r="V635" s="78"/>
      <c r="W635" s="77" t="str">
        <f t="array" ref="W635">IF(D635="","",_xlfn.XLOOKUP(D635,DATA!B:B,DATA!L:L,""))</f>
        <v/>
      </c>
      <c r="X635" s="78" t="str">
        <f t="array" ref="X635">IF(F635="","",_xlfn.XLOOKUP(F635,DATA!B:B,DATA!L:L,""))</f>
        <v/>
      </c>
    </row>
    <row r="636">
      <c r="A636" s="81"/>
      <c r="B636" s="79"/>
      <c r="C636" s="90"/>
      <c r="D636" s="82"/>
      <c r="E636" s="89"/>
      <c r="F636" s="83"/>
      <c r="G636" s="78"/>
      <c r="H636" s="64" t="str">
        <f t="array" ref="H636">_xlfn.XLOOKUP(G636,DATA!D:D,DATA!E:E,"")</f>
        <v/>
      </c>
      <c r="I636" s="84"/>
      <c r="J636" s="23"/>
      <c r="K636" s="23"/>
      <c r="L636" s="66" t="str">
        <f t="shared" si="1"/>
        <v/>
      </c>
      <c r="M636" s="77"/>
      <c r="N636" s="78"/>
      <c r="O636" s="66" t="str">
        <f>IF(M636="","",
 IF(M636="عدم پاسخ","بدون پاسخ",
 IF(L636="","اطلاعات ناقص",
 IF(L636&lt;=DATA!$M$1,"رعایت شده","رعایت نشده"))))</f>
        <v/>
      </c>
      <c r="P636" s="79"/>
      <c r="Q636" s="77"/>
      <c r="R636" s="79"/>
      <c r="S636" s="79"/>
      <c r="T636" s="78"/>
      <c r="U636" s="80"/>
      <c r="V636" s="78"/>
      <c r="W636" s="77" t="str">
        <f t="array" ref="W636">IF(D636="","",_xlfn.XLOOKUP(D636,DATA!B:B,DATA!L:L,""))</f>
        <v/>
      </c>
      <c r="X636" s="78" t="str">
        <f t="array" ref="X636">IF(F636="","",_xlfn.XLOOKUP(F636,DATA!B:B,DATA!L:L,""))</f>
        <v/>
      </c>
    </row>
    <row r="637">
      <c r="A637" s="81"/>
      <c r="B637" s="79"/>
      <c r="C637" s="90"/>
      <c r="D637" s="82"/>
      <c r="E637" s="89"/>
      <c r="F637" s="83"/>
      <c r="G637" s="78"/>
      <c r="H637" s="64" t="str">
        <f t="array" ref="H637">_xlfn.XLOOKUP(G637,DATA!D:D,DATA!E:E,"")</f>
        <v/>
      </c>
      <c r="I637" s="84"/>
      <c r="J637" s="23"/>
      <c r="K637" s="23"/>
      <c r="L637" s="66" t="str">
        <f t="shared" si="1"/>
        <v/>
      </c>
      <c r="M637" s="77"/>
      <c r="N637" s="78"/>
      <c r="O637" s="66" t="str">
        <f>IF(M637="","",
 IF(M637="عدم پاسخ","بدون پاسخ",
 IF(L637="","اطلاعات ناقص",
 IF(L637&lt;=DATA!$M$1,"رعایت شده","رعایت نشده"))))</f>
        <v/>
      </c>
      <c r="P637" s="79"/>
      <c r="Q637" s="77"/>
      <c r="R637" s="79"/>
      <c r="S637" s="79"/>
      <c r="T637" s="78"/>
      <c r="U637" s="80"/>
      <c r="V637" s="78"/>
      <c r="W637" s="77" t="str">
        <f t="array" ref="W637">IF(D637="","",_xlfn.XLOOKUP(D637,DATA!B:B,DATA!L:L,""))</f>
        <v/>
      </c>
      <c r="X637" s="78" t="str">
        <f t="array" ref="X637">IF(F637="","",_xlfn.XLOOKUP(F637,DATA!B:B,DATA!L:L,""))</f>
        <v/>
      </c>
    </row>
    <row r="638">
      <c r="A638" s="81"/>
      <c r="B638" s="79"/>
      <c r="C638" s="90"/>
      <c r="D638" s="82"/>
      <c r="E638" s="89"/>
      <c r="F638" s="83"/>
      <c r="G638" s="78"/>
      <c r="H638" s="64" t="str">
        <f t="array" ref="H638">_xlfn.XLOOKUP(G638,DATA!D:D,DATA!E:E,"")</f>
        <v/>
      </c>
      <c r="I638" s="84"/>
      <c r="J638" s="23"/>
      <c r="K638" s="23"/>
      <c r="L638" s="66" t="str">
        <f t="shared" si="1"/>
        <v/>
      </c>
      <c r="M638" s="77"/>
      <c r="N638" s="78"/>
      <c r="O638" s="66" t="str">
        <f>IF(M638="","",
 IF(M638="عدم پاسخ","بدون پاسخ",
 IF(L638="","اطلاعات ناقص",
 IF(L638&lt;=DATA!$M$1,"رعایت شده","رعایت نشده"))))</f>
        <v/>
      </c>
      <c r="P638" s="79"/>
      <c r="Q638" s="77"/>
      <c r="R638" s="79"/>
      <c r="S638" s="79"/>
      <c r="T638" s="78"/>
      <c r="U638" s="80"/>
      <c r="V638" s="78"/>
      <c r="W638" s="77" t="str">
        <f t="array" ref="W638">IF(D638="","",_xlfn.XLOOKUP(D638,DATA!B:B,DATA!L:L,""))</f>
        <v/>
      </c>
      <c r="X638" s="78" t="str">
        <f t="array" ref="X638">IF(F638="","",_xlfn.XLOOKUP(F638,DATA!B:B,DATA!L:L,""))</f>
        <v/>
      </c>
    </row>
    <row r="639">
      <c r="A639" s="81"/>
      <c r="B639" s="79"/>
      <c r="C639" s="90"/>
      <c r="D639" s="82"/>
      <c r="E639" s="89"/>
      <c r="F639" s="83"/>
      <c r="G639" s="78"/>
      <c r="H639" s="64" t="str">
        <f t="array" ref="H639">_xlfn.XLOOKUP(G639,DATA!D:D,DATA!E:E,"")</f>
        <v/>
      </c>
      <c r="I639" s="84"/>
      <c r="J639" s="23"/>
      <c r="K639" s="23"/>
      <c r="L639" s="66" t="str">
        <f t="shared" si="1"/>
        <v/>
      </c>
      <c r="M639" s="77"/>
      <c r="N639" s="78"/>
      <c r="O639" s="66" t="str">
        <f>IF(M639="","",
 IF(M639="عدم پاسخ","بدون پاسخ",
 IF(L639="","اطلاعات ناقص",
 IF(L639&lt;=DATA!$M$1,"رعایت شده","رعایت نشده"))))</f>
        <v/>
      </c>
      <c r="P639" s="79"/>
      <c r="Q639" s="77"/>
      <c r="R639" s="79"/>
      <c r="S639" s="79"/>
      <c r="T639" s="78"/>
      <c r="U639" s="80"/>
      <c r="V639" s="78"/>
      <c r="W639" s="77" t="str">
        <f t="array" ref="W639">IF(D639="","",_xlfn.XLOOKUP(D639,DATA!B:B,DATA!L:L,""))</f>
        <v/>
      </c>
      <c r="X639" s="78" t="str">
        <f t="array" ref="X639">IF(F639="","",_xlfn.XLOOKUP(F639,DATA!B:B,DATA!L:L,""))</f>
        <v/>
      </c>
    </row>
    <row r="640">
      <c r="A640" s="81"/>
      <c r="B640" s="79"/>
      <c r="C640" s="90"/>
      <c r="D640" s="82"/>
      <c r="E640" s="89"/>
      <c r="F640" s="83"/>
      <c r="G640" s="78"/>
      <c r="H640" s="64" t="str">
        <f t="array" ref="H640">_xlfn.XLOOKUP(G640,DATA!D:D,DATA!E:E,"")</f>
        <v/>
      </c>
      <c r="I640" s="84"/>
      <c r="J640" s="23"/>
      <c r="K640" s="23"/>
      <c r="L640" s="66" t="str">
        <f t="shared" si="1"/>
        <v/>
      </c>
      <c r="M640" s="77"/>
      <c r="N640" s="78"/>
      <c r="O640" s="66" t="str">
        <f>IF(M640="","",
 IF(M640="عدم پاسخ","بدون پاسخ",
 IF(L640="","اطلاعات ناقص",
 IF(L640&lt;=DATA!$M$1,"رعایت شده","رعایت نشده"))))</f>
        <v/>
      </c>
      <c r="P640" s="79"/>
      <c r="Q640" s="77"/>
      <c r="R640" s="79"/>
      <c r="S640" s="79"/>
      <c r="T640" s="78"/>
      <c r="U640" s="80"/>
      <c r="V640" s="78"/>
      <c r="W640" s="77" t="str">
        <f t="array" ref="W640">IF(D640="","",_xlfn.XLOOKUP(D640,DATA!B:B,DATA!L:L,""))</f>
        <v/>
      </c>
      <c r="X640" s="78" t="str">
        <f t="array" ref="X640">IF(F640="","",_xlfn.XLOOKUP(F640,DATA!B:B,DATA!L:L,""))</f>
        <v/>
      </c>
    </row>
    <row r="641">
      <c r="A641" s="81"/>
      <c r="B641" s="79"/>
      <c r="C641" s="90"/>
      <c r="D641" s="82"/>
      <c r="E641" s="89"/>
      <c r="F641" s="83"/>
      <c r="G641" s="78"/>
      <c r="H641" s="64" t="str">
        <f t="array" ref="H641">_xlfn.XLOOKUP(G641,DATA!D:D,DATA!E:E,"")</f>
        <v/>
      </c>
      <c r="I641" s="84"/>
      <c r="J641" s="23"/>
      <c r="K641" s="23"/>
      <c r="L641" s="66" t="str">
        <f t="shared" si="1"/>
        <v/>
      </c>
      <c r="M641" s="77"/>
      <c r="N641" s="78"/>
      <c r="O641" s="66" t="str">
        <f>IF(M641="","",
 IF(M641="عدم پاسخ","بدون پاسخ",
 IF(L641="","اطلاعات ناقص",
 IF(L641&lt;=DATA!$M$1,"رعایت شده","رعایت نشده"))))</f>
        <v/>
      </c>
      <c r="P641" s="79"/>
      <c r="Q641" s="77"/>
      <c r="R641" s="79"/>
      <c r="S641" s="79"/>
      <c r="T641" s="78"/>
      <c r="U641" s="80"/>
      <c r="V641" s="78"/>
      <c r="W641" s="77" t="str">
        <f t="array" ref="W641">IF(D641="","",_xlfn.XLOOKUP(D641,DATA!B:B,DATA!L:L,""))</f>
        <v/>
      </c>
      <c r="X641" s="78" t="str">
        <f t="array" ref="X641">IF(F641="","",_xlfn.XLOOKUP(F641,DATA!B:B,DATA!L:L,""))</f>
        <v/>
      </c>
    </row>
    <row r="642">
      <c r="A642" s="81"/>
      <c r="B642" s="79"/>
      <c r="C642" s="90"/>
      <c r="D642" s="82"/>
      <c r="E642" s="89"/>
      <c r="F642" s="83"/>
      <c r="G642" s="78"/>
      <c r="H642" s="64" t="str">
        <f t="array" ref="H642">_xlfn.XLOOKUP(G642,DATA!D:D,DATA!E:E,"")</f>
        <v/>
      </c>
      <c r="I642" s="84"/>
      <c r="J642" s="23"/>
      <c r="K642" s="23"/>
      <c r="L642" s="66" t="str">
        <f t="shared" si="1"/>
        <v/>
      </c>
      <c r="M642" s="77"/>
      <c r="N642" s="78"/>
      <c r="O642" s="66" t="str">
        <f>IF(M642="","",
 IF(M642="عدم پاسخ","بدون پاسخ",
 IF(L642="","اطلاعات ناقص",
 IF(L642&lt;=DATA!$M$1,"رعایت شده","رعایت نشده"))))</f>
        <v/>
      </c>
      <c r="P642" s="79"/>
      <c r="Q642" s="77"/>
      <c r="R642" s="79"/>
      <c r="S642" s="79"/>
      <c r="T642" s="78"/>
      <c r="U642" s="80"/>
      <c r="V642" s="78"/>
      <c r="W642" s="77" t="str">
        <f t="array" ref="W642">IF(D642="","",_xlfn.XLOOKUP(D642,DATA!B:B,DATA!L:L,""))</f>
        <v/>
      </c>
      <c r="X642" s="78" t="str">
        <f t="array" ref="X642">IF(F642="","",_xlfn.XLOOKUP(F642,DATA!B:B,DATA!L:L,""))</f>
        <v/>
      </c>
    </row>
    <row r="643">
      <c r="A643" s="81"/>
      <c r="B643" s="79"/>
      <c r="C643" s="90"/>
      <c r="D643" s="82"/>
      <c r="E643" s="89"/>
      <c r="F643" s="83"/>
      <c r="G643" s="78"/>
      <c r="H643" s="64" t="str">
        <f t="array" ref="H643">_xlfn.XLOOKUP(G643,DATA!D:D,DATA!E:E,"")</f>
        <v/>
      </c>
      <c r="I643" s="84"/>
      <c r="J643" s="23"/>
      <c r="K643" s="23"/>
      <c r="L643" s="66" t="str">
        <f t="shared" si="1"/>
        <v/>
      </c>
      <c r="M643" s="77"/>
      <c r="N643" s="78"/>
      <c r="O643" s="66" t="str">
        <f>IF(M643="","",
 IF(M643="عدم پاسخ","بدون پاسخ",
 IF(L643="","اطلاعات ناقص",
 IF(L643&lt;=DATA!$M$1,"رعایت شده","رعایت نشده"))))</f>
        <v/>
      </c>
      <c r="P643" s="79"/>
      <c r="Q643" s="77"/>
      <c r="R643" s="79"/>
      <c r="S643" s="79"/>
      <c r="T643" s="78"/>
      <c r="U643" s="80"/>
      <c r="V643" s="78"/>
      <c r="W643" s="77" t="str">
        <f t="array" ref="W643">IF(D643="","",_xlfn.XLOOKUP(D643,DATA!B:B,DATA!L:L,""))</f>
        <v/>
      </c>
      <c r="X643" s="78" t="str">
        <f t="array" ref="X643">IF(F643="","",_xlfn.XLOOKUP(F643,DATA!B:B,DATA!L:L,""))</f>
        <v/>
      </c>
    </row>
    <row r="644">
      <c r="A644" s="81"/>
      <c r="B644" s="79"/>
      <c r="C644" s="90"/>
      <c r="D644" s="82"/>
      <c r="E644" s="89"/>
      <c r="F644" s="83"/>
      <c r="G644" s="78"/>
      <c r="H644" s="64" t="str">
        <f t="array" ref="H644">_xlfn.XLOOKUP(G644,DATA!D:D,DATA!E:E,"")</f>
        <v/>
      </c>
      <c r="I644" s="84"/>
      <c r="J644" s="23"/>
      <c r="K644" s="23"/>
      <c r="L644" s="66" t="str">
        <f t="shared" si="1"/>
        <v/>
      </c>
      <c r="M644" s="77"/>
      <c r="N644" s="78"/>
      <c r="O644" s="66" t="str">
        <f>IF(M644="","",
 IF(M644="عدم پاسخ","بدون پاسخ",
 IF(L644="","اطلاعات ناقص",
 IF(L644&lt;=DATA!$M$1,"رعایت شده","رعایت نشده"))))</f>
        <v/>
      </c>
      <c r="P644" s="79"/>
      <c r="Q644" s="77"/>
      <c r="R644" s="79"/>
      <c r="S644" s="79"/>
      <c r="T644" s="78"/>
      <c r="U644" s="80"/>
      <c r="V644" s="78"/>
      <c r="W644" s="77" t="str">
        <f t="array" ref="W644">IF(D644="","",_xlfn.XLOOKUP(D644,DATA!B:B,DATA!L:L,""))</f>
        <v/>
      </c>
      <c r="X644" s="78" t="str">
        <f t="array" ref="X644">IF(F644="","",_xlfn.XLOOKUP(F644,DATA!B:B,DATA!L:L,""))</f>
        <v/>
      </c>
    </row>
    <row r="645">
      <c r="A645" s="81"/>
      <c r="B645" s="79"/>
      <c r="C645" s="90"/>
      <c r="D645" s="82"/>
      <c r="E645" s="89"/>
      <c r="F645" s="83"/>
      <c r="G645" s="78"/>
      <c r="H645" s="64" t="str">
        <f t="array" ref="H645">_xlfn.XLOOKUP(G645,DATA!D:D,DATA!E:E,"")</f>
        <v/>
      </c>
      <c r="I645" s="84"/>
      <c r="J645" s="23"/>
      <c r="K645" s="23"/>
      <c r="L645" s="66" t="str">
        <f t="shared" si="1"/>
        <v/>
      </c>
      <c r="M645" s="77"/>
      <c r="N645" s="78"/>
      <c r="O645" s="66" t="str">
        <f>IF(M645="","",
 IF(M645="عدم پاسخ","بدون پاسخ",
 IF(L645="","اطلاعات ناقص",
 IF(L645&lt;=DATA!$M$1,"رعایت شده","رعایت نشده"))))</f>
        <v/>
      </c>
      <c r="P645" s="79"/>
      <c r="Q645" s="77"/>
      <c r="R645" s="79"/>
      <c r="S645" s="79"/>
      <c r="T645" s="78"/>
      <c r="U645" s="80"/>
      <c r="V645" s="78"/>
      <c r="W645" s="77" t="str">
        <f t="array" ref="W645">IF(D645="","",_xlfn.XLOOKUP(D645,DATA!B:B,DATA!L:L,""))</f>
        <v/>
      </c>
      <c r="X645" s="78" t="str">
        <f t="array" ref="X645">IF(F645="","",_xlfn.XLOOKUP(F645,DATA!B:B,DATA!L:L,""))</f>
        <v/>
      </c>
    </row>
    <row r="646">
      <c r="A646" s="81"/>
      <c r="B646" s="79"/>
      <c r="C646" s="90"/>
      <c r="D646" s="82"/>
      <c r="E646" s="89"/>
      <c r="F646" s="83"/>
      <c r="G646" s="78"/>
      <c r="H646" s="64" t="str">
        <f t="array" ref="H646">_xlfn.XLOOKUP(G646,DATA!D:D,DATA!E:E,"")</f>
        <v/>
      </c>
      <c r="I646" s="84"/>
      <c r="J646" s="23"/>
      <c r="K646" s="23"/>
      <c r="L646" s="66" t="str">
        <f t="shared" si="1"/>
        <v/>
      </c>
      <c r="M646" s="77"/>
      <c r="N646" s="78"/>
      <c r="O646" s="66" t="str">
        <f>IF(M646="","",
 IF(M646="عدم پاسخ","بدون پاسخ",
 IF(L646="","اطلاعات ناقص",
 IF(L646&lt;=DATA!$M$1,"رعایت شده","رعایت نشده"))))</f>
        <v/>
      </c>
      <c r="P646" s="79"/>
      <c r="Q646" s="77"/>
      <c r="R646" s="79"/>
      <c r="S646" s="79"/>
      <c r="T646" s="78"/>
      <c r="U646" s="80"/>
      <c r="V646" s="78"/>
      <c r="W646" s="77" t="str">
        <f t="array" ref="W646">IF(D646="","",_xlfn.XLOOKUP(D646,DATA!B:B,DATA!L:L,""))</f>
        <v/>
      </c>
      <c r="X646" s="78" t="str">
        <f t="array" ref="X646">IF(F646="","",_xlfn.XLOOKUP(F646,DATA!B:B,DATA!L:L,""))</f>
        <v/>
      </c>
    </row>
    <row r="647">
      <c r="A647" s="81"/>
      <c r="B647" s="79"/>
      <c r="C647" s="90"/>
      <c r="D647" s="82"/>
      <c r="E647" s="89"/>
      <c r="F647" s="83"/>
      <c r="G647" s="78"/>
      <c r="H647" s="64" t="str">
        <f t="array" ref="H647">_xlfn.XLOOKUP(G647,DATA!D:D,DATA!E:E,"")</f>
        <v/>
      </c>
      <c r="I647" s="84"/>
      <c r="J647" s="23"/>
      <c r="K647" s="23"/>
      <c r="L647" s="66" t="str">
        <f t="shared" si="1"/>
        <v/>
      </c>
      <c r="M647" s="77"/>
      <c r="N647" s="78"/>
      <c r="O647" s="66" t="str">
        <f>IF(M647="","",
 IF(M647="عدم پاسخ","بدون پاسخ",
 IF(L647="","اطلاعات ناقص",
 IF(L647&lt;=DATA!$M$1,"رعایت شده","رعایت نشده"))))</f>
        <v/>
      </c>
      <c r="P647" s="79"/>
      <c r="Q647" s="77"/>
      <c r="R647" s="79"/>
      <c r="S647" s="79"/>
      <c r="T647" s="78"/>
      <c r="U647" s="80"/>
      <c r="V647" s="78"/>
      <c r="W647" s="77" t="str">
        <f t="array" ref="W647">IF(D647="","",_xlfn.XLOOKUP(D647,DATA!B:B,DATA!L:L,""))</f>
        <v/>
      </c>
      <c r="X647" s="78" t="str">
        <f t="array" ref="X647">IF(F647="","",_xlfn.XLOOKUP(F647,DATA!B:B,DATA!L:L,""))</f>
        <v/>
      </c>
    </row>
    <row r="648">
      <c r="A648" s="81"/>
      <c r="B648" s="79"/>
      <c r="C648" s="90"/>
      <c r="D648" s="82"/>
      <c r="E648" s="89"/>
      <c r="F648" s="83"/>
      <c r="G648" s="78"/>
      <c r="H648" s="64" t="str">
        <f t="array" ref="H648">_xlfn.XLOOKUP(G648,DATA!D:D,DATA!E:E,"")</f>
        <v/>
      </c>
      <c r="I648" s="84"/>
      <c r="J648" s="23"/>
      <c r="K648" s="23"/>
      <c r="L648" s="66" t="str">
        <f t="shared" si="1"/>
        <v/>
      </c>
      <c r="M648" s="77"/>
      <c r="N648" s="78"/>
      <c r="O648" s="66" t="str">
        <f>IF(M648="","",
 IF(M648="عدم پاسخ","بدون پاسخ",
 IF(L648="","اطلاعات ناقص",
 IF(L648&lt;=DATA!$M$1,"رعایت شده","رعایت نشده"))))</f>
        <v/>
      </c>
      <c r="P648" s="79"/>
      <c r="Q648" s="77"/>
      <c r="R648" s="79"/>
      <c r="S648" s="79"/>
      <c r="T648" s="78"/>
      <c r="U648" s="80"/>
      <c r="V648" s="78"/>
      <c r="W648" s="77" t="str">
        <f t="array" ref="W648">IF(D648="","",_xlfn.XLOOKUP(D648,DATA!B:B,DATA!L:L,""))</f>
        <v/>
      </c>
      <c r="X648" s="78" t="str">
        <f t="array" ref="X648">IF(F648="","",_xlfn.XLOOKUP(F648,DATA!B:B,DATA!L:L,""))</f>
        <v/>
      </c>
    </row>
    <row r="649">
      <c r="A649" s="81"/>
      <c r="B649" s="79"/>
      <c r="C649" s="90"/>
      <c r="D649" s="82"/>
      <c r="E649" s="89"/>
      <c r="F649" s="83"/>
      <c r="G649" s="78"/>
      <c r="H649" s="64" t="str">
        <f t="array" ref="H649">_xlfn.XLOOKUP(G649,DATA!D:D,DATA!E:E,"")</f>
        <v/>
      </c>
      <c r="I649" s="84"/>
      <c r="J649" s="23"/>
      <c r="K649" s="23"/>
      <c r="L649" s="66" t="str">
        <f t="shared" si="1"/>
        <v/>
      </c>
      <c r="M649" s="77"/>
      <c r="N649" s="78"/>
      <c r="O649" s="66" t="str">
        <f>IF(M649="","",
 IF(M649="عدم پاسخ","بدون پاسخ",
 IF(L649="","اطلاعات ناقص",
 IF(L649&lt;=DATA!$M$1,"رعایت شده","رعایت نشده"))))</f>
        <v/>
      </c>
      <c r="P649" s="79"/>
      <c r="Q649" s="77"/>
      <c r="R649" s="79"/>
      <c r="S649" s="79"/>
      <c r="T649" s="78"/>
      <c r="U649" s="80"/>
      <c r="V649" s="78"/>
      <c r="W649" s="77" t="str">
        <f t="array" ref="W649">IF(D649="","",_xlfn.XLOOKUP(D649,DATA!B:B,DATA!L:L,""))</f>
        <v/>
      </c>
      <c r="X649" s="78" t="str">
        <f t="array" ref="X649">IF(F649="","",_xlfn.XLOOKUP(F649,DATA!B:B,DATA!L:L,""))</f>
        <v/>
      </c>
    </row>
    <row r="650">
      <c r="A650" s="81"/>
      <c r="B650" s="79"/>
      <c r="C650" s="90"/>
      <c r="D650" s="82"/>
      <c r="E650" s="89"/>
      <c r="F650" s="83"/>
      <c r="G650" s="78"/>
      <c r="H650" s="64" t="str">
        <f t="array" ref="H650">_xlfn.XLOOKUP(G650,DATA!D:D,DATA!E:E,"")</f>
        <v/>
      </c>
      <c r="I650" s="84"/>
      <c r="J650" s="23"/>
      <c r="K650" s="23"/>
      <c r="L650" s="66" t="str">
        <f t="shared" si="1"/>
        <v/>
      </c>
      <c r="M650" s="77"/>
      <c r="N650" s="78"/>
      <c r="O650" s="66" t="str">
        <f>IF(M650="","",
 IF(M650="عدم پاسخ","بدون پاسخ",
 IF(L650="","اطلاعات ناقص",
 IF(L650&lt;=DATA!$M$1,"رعایت شده","رعایت نشده"))))</f>
        <v/>
      </c>
      <c r="P650" s="79"/>
      <c r="Q650" s="77"/>
      <c r="R650" s="79"/>
      <c r="S650" s="79"/>
      <c r="T650" s="78"/>
      <c r="U650" s="80"/>
      <c r="V650" s="78"/>
      <c r="W650" s="77" t="str">
        <f t="array" ref="W650">IF(D650="","",_xlfn.XLOOKUP(D650,DATA!B:B,DATA!L:L,""))</f>
        <v/>
      </c>
      <c r="X650" s="78" t="str">
        <f t="array" ref="X650">IF(F650="","",_xlfn.XLOOKUP(F650,DATA!B:B,DATA!L:L,""))</f>
        <v/>
      </c>
    </row>
    <row r="651">
      <c r="A651" s="81"/>
      <c r="B651" s="79"/>
      <c r="C651" s="90"/>
      <c r="D651" s="82"/>
      <c r="E651" s="89"/>
      <c r="F651" s="83"/>
      <c r="G651" s="78"/>
      <c r="H651" s="64" t="str">
        <f t="array" ref="H651">_xlfn.XLOOKUP(G651,DATA!D:D,DATA!E:E,"")</f>
        <v/>
      </c>
      <c r="I651" s="84"/>
      <c r="J651" s="23"/>
      <c r="K651" s="23"/>
      <c r="L651" s="66" t="str">
        <f t="shared" si="1"/>
        <v/>
      </c>
      <c r="M651" s="77"/>
      <c r="N651" s="78"/>
      <c r="O651" s="66" t="str">
        <f>IF(M651="","",
 IF(M651="عدم پاسخ","بدون پاسخ",
 IF(L651="","اطلاعات ناقص",
 IF(L651&lt;=DATA!$M$1,"رعایت شده","رعایت نشده"))))</f>
        <v/>
      </c>
      <c r="P651" s="79"/>
      <c r="Q651" s="77"/>
      <c r="R651" s="79"/>
      <c r="S651" s="79"/>
      <c r="T651" s="78"/>
      <c r="U651" s="80"/>
      <c r="V651" s="78"/>
      <c r="W651" s="77" t="str">
        <f t="array" ref="W651">IF(D651="","",_xlfn.XLOOKUP(D651,DATA!B:B,DATA!L:L,""))</f>
        <v/>
      </c>
      <c r="X651" s="78" t="str">
        <f t="array" ref="X651">IF(F651="","",_xlfn.XLOOKUP(F651,DATA!B:B,DATA!L:L,""))</f>
        <v/>
      </c>
    </row>
    <row r="652">
      <c r="A652" s="81"/>
      <c r="B652" s="79"/>
      <c r="C652" s="90"/>
      <c r="D652" s="82"/>
      <c r="E652" s="89"/>
      <c r="F652" s="83"/>
      <c r="G652" s="78"/>
      <c r="H652" s="64" t="str">
        <f t="array" ref="H652">_xlfn.XLOOKUP(G652,DATA!D:D,DATA!E:E,"")</f>
        <v/>
      </c>
      <c r="I652" s="84"/>
      <c r="J652" s="23"/>
      <c r="K652" s="23"/>
      <c r="L652" s="66" t="str">
        <f t="shared" si="1"/>
        <v/>
      </c>
      <c r="M652" s="77"/>
      <c r="N652" s="78"/>
      <c r="O652" s="66" t="str">
        <f>IF(M652="","",
 IF(M652="عدم پاسخ","بدون پاسخ",
 IF(L652="","اطلاعات ناقص",
 IF(L652&lt;=DATA!$M$1,"رعایت شده","رعایت نشده"))))</f>
        <v/>
      </c>
      <c r="P652" s="79"/>
      <c r="Q652" s="77"/>
      <c r="R652" s="79"/>
      <c r="S652" s="79"/>
      <c r="T652" s="78"/>
      <c r="U652" s="80"/>
      <c r="V652" s="78"/>
      <c r="W652" s="77" t="str">
        <f t="array" ref="W652">IF(D652="","",_xlfn.XLOOKUP(D652,DATA!B:B,DATA!L:L,""))</f>
        <v/>
      </c>
      <c r="X652" s="78" t="str">
        <f t="array" ref="X652">IF(F652="","",_xlfn.XLOOKUP(F652,DATA!B:B,DATA!L:L,""))</f>
        <v/>
      </c>
    </row>
    <row r="653">
      <c r="A653" s="81"/>
      <c r="B653" s="79"/>
      <c r="C653" s="90"/>
      <c r="D653" s="82"/>
      <c r="E653" s="89"/>
      <c r="F653" s="83"/>
      <c r="G653" s="78"/>
      <c r="H653" s="64" t="str">
        <f t="array" ref="H653">_xlfn.XLOOKUP(G653,DATA!D:D,DATA!E:E,"")</f>
        <v/>
      </c>
      <c r="I653" s="84"/>
      <c r="J653" s="23"/>
      <c r="K653" s="23"/>
      <c r="L653" s="66" t="str">
        <f t="shared" si="1"/>
        <v/>
      </c>
      <c r="M653" s="77"/>
      <c r="N653" s="78"/>
      <c r="O653" s="66" t="str">
        <f>IF(M653="","",
 IF(M653="عدم پاسخ","بدون پاسخ",
 IF(L653="","اطلاعات ناقص",
 IF(L653&lt;=DATA!$M$1,"رعایت شده","رعایت نشده"))))</f>
        <v/>
      </c>
      <c r="P653" s="79"/>
      <c r="Q653" s="77"/>
      <c r="R653" s="79"/>
      <c r="S653" s="79"/>
      <c r="T653" s="78"/>
      <c r="U653" s="80"/>
      <c r="V653" s="78"/>
      <c r="W653" s="77" t="str">
        <f t="array" ref="W653">IF(D653="","",_xlfn.XLOOKUP(D653,DATA!B:B,DATA!L:L,""))</f>
        <v/>
      </c>
      <c r="X653" s="78" t="str">
        <f t="array" ref="X653">IF(F653="","",_xlfn.XLOOKUP(F653,DATA!B:B,DATA!L:L,""))</f>
        <v/>
      </c>
    </row>
    <row r="654">
      <c r="A654" s="81"/>
      <c r="B654" s="79"/>
      <c r="C654" s="90"/>
      <c r="D654" s="82"/>
      <c r="E654" s="89"/>
      <c r="F654" s="83"/>
      <c r="G654" s="78"/>
      <c r="H654" s="64" t="str">
        <f t="array" ref="H654">_xlfn.XLOOKUP(G654,DATA!D:D,DATA!E:E,"")</f>
        <v/>
      </c>
      <c r="I654" s="84"/>
      <c r="J654" s="23"/>
      <c r="K654" s="23"/>
      <c r="L654" s="66" t="str">
        <f t="shared" si="1"/>
        <v/>
      </c>
      <c r="M654" s="77"/>
      <c r="N654" s="78"/>
      <c r="O654" s="66" t="str">
        <f>IF(M654="","",
 IF(M654="عدم پاسخ","بدون پاسخ",
 IF(L654="","اطلاعات ناقص",
 IF(L654&lt;=DATA!$M$1,"رعایت شده","رعایت نشده"))))</f>
        <v/>
      </c>
      <c r="P654" s="79"/>
      <c r="Q654" s="77"/>
      <c r="R654" s="79"/>
      <c r="S654" s="79"/>
      <c r="T654" s="78"/>
      <c r="U654" s="80"/>
      <c r="V654" s="78"/>
      <c r="W654" s="77" t="str">
        <f t="array" ref="W654">IF(D654="","",_xlfn.XLOOKUP(D654,DATA!B:B,DATA!L:L,""))</f>
        <v/>
      </c>
      <c r="X654" s="78" t="str">
        <f t="array" ref="X654">IF(F654="","",_xlfn.XLOOKUP(F654,DATA!B:B,DATA!L:L,""))</f>
        <v/>
      </c>
    </row>
    <row r="655">
      <c r="A655" s="81"/>
      <c r="B655" s="79"/>
      <c r="C655" s="90"/>
      <c r="D655" s="82"/>
      <c r="E655" s="89"/>
      <c r="F655" s="83"/>
      <c r="G655" s="78"/>
      <c r="H655" s="64" t="str">
        <f t="array" ref="H655">_xlfn.XLOOKUP(G655,DATA!D:D,DATA!E:E,"")</f>
        <v/>
      </c>
      <c r="I655" s="84"/>
      <c r="J655" s="23"/>
      <c r="K655" s="23"/>
      <c r="L655" s="66" t="str">
        <f t="shared" si="1"/>
        <v/>
      </c>
      <c r="M655" s="77"/>
      <c r="N655" s="78"/>
      <c r="O655" s="66" t="str">
        <f>IF(M655="","",
 IF(M655="عدم پاسخ","بدون پاسخ",
 IF(L655="","اطلاعات ناقص",
 IF(L655&lt;=DATA!$M$1,"رعایت شده","رعایت نشده"))))</f>
        <v/>
      </c>
      <c r="P655" s="79"/>
      <c r="Q655" s="77"/>
      <c r="R655" s="79"/>
      <c r="S655" s="79"/>
      <c r="T655" s="78"/>
      <c r="U655" s="80"/>
      <c r="V655" s="78"/>
      <c r="W655" s="77" t="str">
        <f t="array" ref="W655">IF(D655="","",_xlfn.XLOOKUP(D655,DATA!B:B,DATA!L:L,""))</f>
        <v/>
      </c>
      <c r="X655" s="78" t="str">
        <f t="array" ref="X655">IF(F655="","",_xlfn.XLOOKUP(F655,DATA!B:B,DATA!L:L,""))</f>
        <v/>
      </c>
    </row>
    <row r="656">
      <c r="A656" s="81"/>
      <c r="B656" s="79"/>
      <c r="C656" s="90"/>
      <c r="D656" s="82"/>
      <c r="E656" s="89"/>
      <c r="F656" s="83"/>
      <c r="G656" s="78"/>
      <c r="H656" s="64" t="str">
        <f t="array" ref="H656">_xlfn.XLOOKUP(G656,DATA!D:D,DATA!E:E,"")</f>
        <v/>
      </c>
      <c r="I656" s="84"/>
      <c r="J656" s="23"/>
      <c r="K656" s="23"/>
      <c r="L656" s="66" t="str">
        <f t="shared" si="1"/>
        <v/>
      </c>
      <c r="M656" s="77"/>
      <c r="N656" s="78"/>
      <c r="O656" s="66" t="str">
        <f>IF(M656="","",
 IF(M656="عدم پاسخ","بدون پاسخ",
 IF(L656="","اطلاعات ناقص",
 IF(L656&lt;=DATA!$M$1,"رعایت شده","رعایت نشده"))))</f>
        <v/>
      </c>
      <c r="P656" s="79"/>
      <c r="Q656" s="77"/>
      <c r="R656" s="79"/>
      <c r="S656" s="79"/>
      <c r="T656" s="78"/>
      <c r="U656" s="80"/>
      <c r="V656" s="78"/>
      <c r="W656" s="77" t="str">
        <f t="array" ref="W656">IF(D656="","",_xlfn.XLOOKUP(D656,DATA!B:B,DATA!L:L,""))</f>
        <v/>
      </c>
      <c r="X656" s="78" t="str">
        <f t="array" ref="X656">IF(F656="","",_xlfn.XLOOKUP(F656,DATA!B:B,DATA!L:L,""))</f>
        <v/>
      </c>
    </row>
    <row r="657">
      <c r="A657" s="81"/>
      <c r="B657" s="79"/>
      <c r="C657" s="90"/>
      <c r="D657" s="82"/>
      <c r="E657" s="89"/>
      <c r="F657" s="83"/>
      <c r="G657" s="78"/>
      <c r="H657" s="64" t="str">
        <f t="array" ref="H657">_xlfn.XLOOKUP(G657,DATA!D:D,DATA!E:E,"")</f>
        <v/>
      </c>
      <c r="I657" s="84"/>
      <c r="J657" s="23"/>
      <c r="K657" s="23"/>
      <c r="L657" s="66" t="str">
        <f t="shared" si="1"/>
        <v/>
      </c>
      <c r="M657" s="77"/>
      <c r="N657" s="78"/>
      <c r="O657" s="66" t="str">
        <f>IF(M657="","",
 IF(M657="عدم پاسخ","بدون پاسخ",
 IF(L657="","اطلاعات ناقص",
 IF(L657&lt;=DATA!$M$1,"رعایت شده","رعایت نشده"))))</f>
        <v/>
      </c>
      <c r="P657" s="79"/>
      <c r="Q657" s="77"/>
      <c r="R657" s="79"/>
      <c r="S657" s="79"/>
      <c r="T657" s="78"/>
      <c r="U657" s="80"/>
      <c r="V657" s="78"/>
      <c r="W657" s="77" t="str">
        <f t="array" ref="W657">IF(D657="","",_xlfn.XLOOKUP(D657,DATA!B:B,DATA!L:L,""))</f>
        <v/>
      </c>
      <c r="X657" s="78" t="str">
        <f t="array" ref="X657">IF(F657="","",_xlfn.XLOOKUP(F657,DATA!B:B,DATA!L:L,""))</f>
        <v/>
      </c>
    </row>
    <row r="658">
      <c r="A658" s="81"/>
      <c r="B658" s="79"/>
      <c r="C658" s="90"/>
      <c r="D658" s="82"/>
      <c r="E658" s="89"/>
      <c r="F658" s="83"/>
      <c r="G658" s="78"/>
      <c r="H658" s="64" t="str">
        <f t="array" ref="H658">_xlfn.XLOOKUP(G658,DATA!D:D,DATA!E:E,"")</f>
        <v/>
      </c>
      <c r="I658" s="84"/>
      <c r="J658" s="23"/>
      <c r="K658" s="23"/>
      <c r="L658" s="66" t="str">
        <f t="shared" si="1"/>
        <v/>
      </c>
      <c r="M658" s="77"/>
      <c r="N658" s="78"/>
      <c r="O658" s="66" t="str">
        <f>IF(M658="","",
 IF(M658="عدم پاسخ","بدون پاسخ",
 IF(L658="","اطلاعات ناقص",
 IF(L658&lt;=DATA!$M$1,"رعایت شده","رعایت نشده"))))</f>
        <v/>
      </c>
      <c r="P658" s="79"/>
      <c r="Q658" s="77"/>
      <c r="R658" s="79"/>
      <c r="S658" s="79"/>
      <c r="T658" s="78"/>
      <c r="U658" s="80"/>
      <c r="V658" s="78"/>
      <c r="W658" s="77" t="str">
        <f t="array" ref="W658">IF(D658="","",_xlfn.XLOOKUP(D658,DATA!B:B,DATA!L:L,""))</f>
        <v/>
      </c>
      <c r="X658" s="78" t="str">
        <f t="array" ref="X658">IF(F658="","",_xlfn.XLOOKUP(F658,DATA!B:B,DATA!L:L,""))</f>
        <v/>
      </c>
    </row>
    <row r="659">
      <c r="A659" s="81"/>
      <c r="B659" s="79"/>
      <c r="C659" s="90"/>
      <c r="D659" s="82"/>
      <c r="E659" s="89"/>
      <c r="F659" s="83"/>
      <c r="G659" s="78"/>
      <c r="H659" s="64" t="str">
        <f t="array" ref="H659">_xlfn.XLOOKUP(G659,DATA!D:D,DATA!E:E,"")</f>
        <v/>
      </c>
      <c r="I659" s="84"/>
      <c r="J659" s="23"/>
      <c r="K659" s="23"/>
      <c r="L659" s="66" t="str">
        <f t="shared" si="1"/>
        <v/>
      </c>
      <c r="M659" s="77"/>
      <c r="N659" s="78"/>
      <c r="O659" s="66" t="str">
        <f>IF(M659="","",
 IF(M659="عدم پاسخ","بدون پاسخ",
 IF(L659="","اطلاعات ناقص",
 IF(L659&lt;=DATA!$M$1,"رعایت شده","رعایت نشده"))))</f>
        <v/>
      </c>
      <c r="P659" s="79"/>
      <c r="Q659" s="77"/>
      <c r="R659" s="79"/>
      <c r="S659" s="79"/>
      <c r="T659" s="78"/>
      <c r="U659" s="80"/>
      <c r="V659" s="78"/>
      <c r="W659" s="77" t="str">
        <f t="array" ref="W659">IF(D659="","",_xlfn.XLOOKUP(D659,DATA!B:B,DATA!L:L,""))</f>
        <v/>
      </c>
      <c r="X659" s="78" t="str">
        <f t="array" ref="X659">IF(F659="","",_xlfn.XLOOKUP(F659,DATA!B:B,DATA!L:L,""))</f>
        <v/>
      </c>
    </row>
    <row r="660">
      <c r="A660" s="81"/>
      <c r="B660" s="79"/>
      <c r="C660" s="90"/>
      <c r="D660" s="82"/>
      <c r="E660" s="89"/>
      <c r="F660" s="83"/>
      <c r="G660" s="78"/>
      <c r="H660" s="64" t="str">
        <f t="array" ref="H660">_xlfn.XLOOKUP(G660,DATA!D:D,DATA!E:E,"")</f>
        <v/>
      </c>
      <c r="I660" s="84"/>
      <c r="J660" s="23"/>
      <c r="K660" s="23"/>
      <c r="L660" s="66" t="str">
        <f t="shared" si="1"/>
        <v/>
      </c>
      <c r="M660" s="77"/>
      <c r="N660" s="78"/>
      <c r="O660" s="66" t="str">
        <f>IF(M660="","",
 IF(M660="عدم پاسخ","بدون پاسخ",
 IF(L660="","اطلاعات ناقص",
 IF(L660&lt;=DATA!$M$1,"رعایت شده","رعایت نشده"))))</f>
        <v/>
      </c>
      <c r="P660" s="79"/>
      <c r="Q660" s="77"/>
      <c r="R660" s="79"/>
      <c r="S660" s="79"/>
      <c r="T660" s="78"/>
      <c r="U660" s="80"/>
      <c r="V660" s="78"/>
      <c r="W660" s="77" t="str">
        <f t="array" ref="W660">IF(D660="","",_xlfn.XLOOKUP(D660,DATA!B:B,DATA!L:L,""))</f>
        <v/>
      </c>
      <c r="X660" s="78" t="str">
        <f t="array" ref="X660">IF(F660="","",_xlfn.XLOOKUP(F660,DATA!B:B,DATA!L:L,""))</f>
        <v/>
      </c>
    </row>
    <row r="661">
      <c r="A661" s="81"/>
      <c r="B661" s="79"/>
      <c r="C661" s="90"/>
      <c r="D661" s="82"/>
      <c r="E661" s="89"/>
      <c r="F661" s="83"/>
      <c r="G661" s="78"/>
      <c r="H661" s="64" t="str">
        <f t="array" ref="H661">_xlfn.XLOOKUP(G661,DATA!D:D,DATA!E:E,"")</f>
        <v/>
      </c>
      <c r="I661" s="84"/>
      <c r="J661" s="23"/>
      <c r="K661" s="23"/>
      <c r="L661" s="66" t="str">
        <f t="shared" si="1"/>
        <v/>
      </c>
      <c r="M661" s="77"/>
      <c r="N661" s="78"/>
      <c r="O661" s="66" t="str">
        <f>IF(M661="","",
 IF(M661="عدم پاسخ","بدون پاسخ",
 IF(L661="","اطلاعات ناقص",
 IF(L661&lt;=DATA!$M$1,"رعایت شده","رعایت نشده"))))</f>
        <v/>
      </c>
      <c r="P661" s="79"/>
      <c r="Q661" s="77"/>
      <c r="R661" s="79"/>
      <c r="S661" s="79"/>
      <c r="T661" s="78"/>
      <c r="U661" s="80"/>
      <c r="V661" s="78"/>
      <c r="W661" s="77" t="str">
        <f t="array" ref="W661">IF(D661="","",_xlfn.XLOOKUP(D661,DATA!B:B,DATA!L:L,""))</f>
        <v/>
      </c>
      <c r="X661" s="78" t="str">
        <f t="array" ref="X661">IF(F661="","",_xlfn.XLOOKUP(F661,DATA!B:B,DATA!L:L,""))</f>
        <v/>
      </c>
    </row>
    <row r="662">
      <c r="A662" s="81"/>
      <c r="B662" s="79"/>
      <c r="C662" s="90"/>
      <c r="D662" s="82"/>
      <c r="E662" s="89"/>
      <c r="F662" s="83"/>
      <c r="G662" s="78"/>
      <c r="H662" s="64" t="str">
        <f t="array" ref="H662">_xlfn.XLOOKUP(G662,DATA!D:D,DATA!E:E,"")</f>
        <v/>
      </c>
      <c r="I662" s="84"/>
      <c r="J662" s="23"/>
      <c r="K662" s="23"/>
      <c r="L662" s="66" t="str">
        <f t="shared" si="1"/>
        <v/>
      </c>
      <c r="M662" s="77"/>
      <c r="N662" s="78"/>
      <c r="O662" s="66" t="str">
        <f>IF(M662="","",
 IF(M662="عدم پاسخ","بدون پاسخ",
 IF(L662="","اطلاعات ناقص",
 IF(L662&lt;=DATA!$M$1,"رعایت شده","رعایت نشده"))))</f>
        <v/>
      </c>
      <c r="P662" s="79"/>
      <c r="Q662" s="77"/>
      <c r="R662" s="79"/>
      <c r="S662" s="79"/>
      <c r="T662" s="78"/>
      <c r="U662" s="80"/>
      <c r="V662" s="78"/>
      <c r="W662" s="77" t="str">
        <f t="array" ref="W662">IF(D662="","",_xlfn.XLOOKUP(D662,DATA!B:B,DATA!L:L,""))</f>
        <v/>
      </c>
      <c r="X662" s="78" t="str">
        <f t="array" ref="X662">IF(F662="","",_xlfn.XLOOKUP(F662,DATA!B:B,DATA!L:L,""))</f>
        <v/>
      </c>
    </row>
    <row r="663">
      <c r="A663" s="81"/>
      <c r="B663" s="79"/>
      <c r="C663" s="90"/>
      <c r="D663" s="82"/>
      <c r="E663" s="89"/>
      <c r="F663" s="83"/>
      <c r="G663" s="78"/>
      <c r="H663" s="64" t="str">
        <f t="array" ref="H663">_xlfn.XLOOKUP(G663,DATA!D:D,DATA!E:E,"")</f>
        <v/>
      </c>
      <c r="I663" s="84"/>
      <c r="J663" s="23"/>
      <c r="K663" s="23"/>
      <c r="L663" s="66" t="str">
        <f t="shared" si="1"/>
        <v/>
      </c>
      <c r="M663" s="77"/>
      <c r="N663" s="78"/>
      <c r="O663" s="66" t="str">
        <f>IF(M663="","",
 IF(M663="عدم پاسخ","بدون پاسخ",
 IF(L663="","اطلاعات ناقص",
 IF(L663&lt;=DATA!$M$1,"رعایت شده","رعایت نشده"))))</f>
        <v/>
      </c>
      <c r="P663" s="79"/>
      <c r="Q663" s="77"/>
      <c r="R663" s="79"/>
      <c r="S663" s="79"/>
      <c r="T663" s="78"/>
      <c r="U663" s="80"/>
      <c r="V663" s="78"/>
      <c r="W663" s="77" t="str">
        <f t="array" ref="W663">IF(D663="","",_xlfn.XLOOKUP(D663,DATA!B:B,DATA!L:L,""))</f>
        <v/>
      </c>
      <c r="X663" s="78" t="str">
        <f t="array" ref="X663">IF(F663="","",_xlfn.XLOOKUP(F663,DATA!B:B,DATA!L:L,""))</f>
        <v/>
      </c>
    </row>
    <row r="664">
      <c r="A664" s="81"/>
      <c r="B664" s="79"/>
      <c r="C664" s="90"/>
      <c r="D664" s="82"/>
      <c r="E664" s="89"/>
      <c r="F664" s="83"/>
      <c r="G664" s="78"/>
      <c r="H664" s="64" t="str">
        <f t="array" ref="H664">_xlfn.XLOOKUP(G664,DATA!D:D,DATA!E:E,"")</f>
        <v/>
      </c>
      <c r="I664" s="84"/>
      <c r="J664" s="23"/>
      <c r="K664" s="23"/>
      <c r="L664" s="66" t="str">
        <f t="shared" si="1"/>
        <v/>
      </c>
      <c r="M664" s="77"/>
      <c r="N664" s="78"/>
      <c r="O664" s="66" t="str">
        <f>IF(M664="","",
 IF(M664="عدم پاسخ","بدون پاسخ",
 IF(L664="","اطلاعات ناقص",
 IF(L664&lt;=DATA!$M$1,"رعایت شده","رعایت نشده"))))</f>
        <v/>
      </c>
      <c r="P664" s="79"/>
      <c r="Q664" s="77"/>
      <c r="R664" s="79"/>
      <c r="S664" s="79"/>
      <c r="T664" s="78"/>
      <c r="U664" s="80"/>
      <c r="V664" s="78"/>
      <c r="W664" s="77" t="str">
        <f t="array" ref="W664">IF(D664="","",_xlfn.XLOOKUP(D664,DATA!B:B,DATA!L:L,""))</f>
        <v/>
      </c>
      <c r="X664" s="78" t="str">
        <f t="array" ref="X664">IF(F664="","",_xlfn.XLOOKUP(F664,DATA!B:B,DATA!L:L,""))</f>
        <v/>
      </c>
    </row>
    <row r="665">
      <c r="A665" s="81"/>
      <c r="B665" s="79"/>
      <c r="C665" s="90"/>
      <c r="D665" s="82"/>
      <c r="E665" s="89"/>
      <c r="F665" s="83"/>
      <c r="G665" s="78"/>
      <c r="H665" s="64" t="str">
        <f t="array" ref="H665">_xlfn.XLOOKUP(G665,DATA!D:D,DATA!E:E,"")</f>
        <v/>
      </c>
      <c r="I665" s="84"/>
      <c r="J665" s="23"/>
      <c r="K665" s="23"/>
      <c r="L665" s="66" t="str">
        <f t="shared" si="1"/>
        <v/>
      </c>
      <c r="M665" s="77"/>
      <c r="N665" s="78"/>
      <c r="O665" s="66" t="str">
        <f>IF(M665="","",
 IF(M665="عدم پاسخ","بدون پاسخ",
 IF(L665="","اطلاعات ناقص",
 IF(L665&lt;=DATA!$M$1,"رعایت شده","رعایت نشده"))))</f>
        <v/>
      </c>
      <c r="P665" s="79"/>
      <c r="Q665" s="77"/>
      <c r="R665" s="79"/>
      <c r="S665" s="79"/>
      <c r="T665" s="78"/>
      <c r="U665" s="80"/>
      <c r="V665" s="78"/>
      <c r="W665" s="77" t="str">
        <f t="array" ref="W665">IF(D665="","",_xlfn.XLOOKUP(D665,DATA!B:B,DATA!L:L,""))</f>
        <v/>
      </c>
      <c r="X665" s="78" t="str">
        <f t="array" ref="X665">IF(F665="","",_xlfn.XLOOKUP(F665,DATA!B:B,DATA!L:L,""))</f>
        <v/>
      </c>
    </row>
    <row r="666">
      <c r="A666" s="81"/>
      <c r="B666" s="79"/>
      <c r="C666" s="90"/>
      <c r="D666" s="82"/>
      <c r="E666" s="89"/>
      <c r="F666" s="83"/>
      <c r="G666" s="78"/>
      <c r="H666" s="64" t="str">
        <f t="array" ref="H666">_xlfn.XLOOKUP(G666,DATA!D:D,DATA!E:E,"")</f>
        <v/>
      </c>
      <c r="I666" s="84"/>
      <c r="J666" s="23"/>
      <c r="K666" s="23"/>
      <c r="L666" s="66" t="str">
        <f t="shared" si="1"/>
        <v/>
      </c>
      <c r="M666" s="77"/>
      <c r="N666" s="78"/>
      <c r="O666" s="66" t="str">
        <f>IF(M666="","",
 IF(M666="عدم پاسخ","بدون پاسخ",
 IF(L666="","اطلاعات ناقص",
 IF(L666&lt;=DATA!$M$1,"رعایت شده","رعایت نشده"))))</f>
        <v/>
      </c>
      <c r="P666" s="79"/>
      <c r="Q666" s="77"/>
      <c r="R666" s="79"/>
      <c r="S666" s="79"/>
      <c r="T666" s="78"/>
      <c r="U666" s="80"/>
      <c r="V666" s="78"/>
      <c r="W666" s="77" t="str">
        <f t="array" ref="W666">IF(D666="","",_xlfn.XLOOKUP(D666,DATA!B:B,DATA!L:L,""))</f>
        <v/>
      </c>
      <c r="X666" s="78" t="str">
        <f t="array" ref="X666">IF(F666="","",_xlfn.XLOOKUP(F666,DATA!B:B,DATA!L:L,""))</f>
        <v/>
      </c>
    </row>
    <row r="667">
      <c r="A667" s="81"/>
      <c r="B667" s="79"/>
      <c r="C667" s="90"/>
      <c r="D667" s="82"/>
      <c r="E667" s="89"/>
      <c r="F667" s="83"/>
      <c r="G667" s="78"/>
      <c r="H667" s="64" t="str">
        <f t="array" ref="H667">_xlfn.XLOOKUP(G667,DATA!D:D,DATA!E:E,"")</f>
        <v/>
      </c>
      <c r="I667" s="84"/>
      <c r="J667" s="23"/>
      <c r="K667" s="23"/>
      <c r="L667" s="66" t="str">
        <f t="shared" si="1"/>
        <v/>
      </c>
      <c r="M667" s="77"/>
      <c r="N667" s="78"/>
      <c r="O667" s="66" t="str">
        <f>IF(M667="","",
 IF(M667="عدم پاسخ","بدون پاسخ",
 IF(L667="","اطلاعات ناقص",
 IF(L667&lt;=DATA!$M$1,"رعایت شده","رعایت نشده"))))</f>
        <v/>
      </c>
      <c r="P667" s="79"/>
      <c r="Q667" s="77"/>
      <c r="R667" s="79"/>
      <c r="S667" s="79"/>
      <c r="T667" s="78"/>
      <c r="U667" s="80"/>
      <c r="V667" s="78"/>
      <c r="W667" s="77" t="str">
        <f t="array" ref="W667">IF(D667="","",_xlfn.XLOOKUP(D667,DATA!B:B,DATA!L:L,""))</f>
        <v/>
      </c>
      <c r="X667" s="78" t="str">
        <f t="array" ref="X667">IF(F667="","",_xlfn.XLOOKUP(F667,DATA!B:B,DATA!L:L,""))</f>
        <v/>
      </c>
    </row>
    <row r="668">
      <c r="A668" s="81"/>
      <c r="B668" s="79"/>
      <c r="C668" s="90"/>
      <c r="D668" s="82"/>
      <c r="E668" s="89"/>
      <c r="F668" s="83"/>
      <c r="G668" s="78"/>
      <c r="H668" s="64" t="str">
        <f t="array" ref="H668">_xlfn.XLOOKUP(G668,DATA!D:D,DATA!E:E,"")</f>
        <v/>
      </c>
      <c r="I668" s="84"/>
      <c r="J668" s="23"/>
      <c r="K668" s="23"/>
      <c r="L668" s="66" t="str">
        <f t="shared" si="1"/>
        <v/>
      </c>
      <c r="M668" s="77"/>
      <c r="N668" s="78"/>
      <c r="O668" s="66" t="str">
        <f>IF(M668="","",
 IF(M668="عدم پاسخ","بدون پاسخ",
 IF(L668="","اطلاعات ناقص",
 IF(L668&lt;=DATA!$M$1,"رعایت شده","رعایت نشده"))))</f>
        <v/>
      </c>
      <c r="P668" s="79"/>
      <c r="Q668" s="77"/>
      <c r="R668" s="79"/>
      <c r="S668" s="79"/>
      <c r="T668" s="78"/>
      <c r="U668" s="80"/>
      <c r="V668" s="78"/>
      <c r="W668" s="77" t="str">
        <f t="array" ref="W668">IF(D668="","",_xlfn.XLOOKUP(D668,DATA!B:B,DATA!L:L,""))</f>
        <v/>
      </c>
      <c r="X668" s="78" t="str">
        <f t="array" ref="X668">IF(F668="","",_xlfn.XLOOKUP(F668,DATA!B:B,DATA!L:L,""))</f>
        <v/>
      </c>
    </row>
    <row r="669">
      <c r="A669" s="81"/>
      <c r="B669" s="79"/>
      <c r="C669" s="90"/>
      <c r="D669" s="82"/>
      <c r="E669" s="89"/>
      <c r="F669" s="83"/>
      <c r="G669" s="78"/>
      <c r="H669" s="64" t="str">
        <f t="array" ref="H669">_xlfn.XLOOKUP(G669,DATA!D:D,DATA!E:E,"")</f>
        <v/>
      </c>
      <c r="I669" s="84"/>
      <c r="J669" s="23"/>
      <c r="K669" s="23"/>
      <c r="L669" s="66" t="str">
        <f t="shared" si="1"/>
        <v/>
      </c>
      <c r="M669" s="77"/>
      <c r="N669" s="78"/>
      <c r="O669" s="66" t="str">
        <f>IF(M669="","",
 IF(M669="عدم پاسخ","بدون پاسخ",
 IF(L669="","اطلاعات ناقص",
 IF(L669&lt;=DATA!$M$1,"رعایت شده","رعایت نشده"))))</f>
        <v/>
      </c>
      <c r="P669" s="79"/>
      <c r="Q669" s="77"/>
      <c r="R669" s="79"/>
      <c r="S669" s="79"/>
      <c r="T669" s="78"/>
      <c r="U669" s="80"/>
      <c r="V669" s="78"/>
      <c r="W669" s="77" t="str">
        <f t="array" ref="W669">IF(D669="","",_xlfn.XLOOKUP(D669,DATA!B:B,DATA!L:L,""))</f>
        <v/>
      </c>
      <c r="X669" s="78" t="str">
        <f t="array" ref="X669">IF(F669="","",_xlfn.XLOOKUP(F669,DATA!B:B,DATA!L:L,""))</f>
        <v/>
      </c>
    </row>
    <row r="670">
      <c r="A670" s="81"/>
      <c r="B670" s="79"/>
      <c r="C670" s="90"/>
      <c r="D670" s="82"/>
      <c r="E670" s="89"/>
      <c r="F670" s="83"/>
      <c r="G670" s="78"/>
      <c r="H670" s="64" t="str">
        <f t="array" ref="H670">_xlfn.XLOOKUP(G670,DATA!D:D,DATA!E:E,"")</f>
        <v/>
      </c>
      <c r="I670" s="84"/>
      <c r="J670" s="23"/>
      <c r="K670" s="23"/>
      <c r="L670" s="66" t="str">
        <f t="shared" si="1"/>
        <v/>
      </c>
      <c r="M670" s="77"/>
      <c r="N670" s="78"/>
      <c r="O670" s="66" t="str">
        <f>IF(M670="","",
 IF(M670="عدم پاسخ","بدون پاسخ",
 IF(L670="","اطلاعات ناقص",
 IF(L670&lt;=DATA!$M$1,"رعایت شده","رعایت نشده"))))</f>
        <v/>
      </c>
      <c r="P670" s="79"/>
      <c r="Q670" s="77"/>
      <c r="R670" s="79"/>
      <c r="S670" s="79"/>
      <c r="T670" s="78"/>
      <c r="U670" s="80"/>
      <c r="V670" s="78"/>
      <c r="W670" s="77" t="str">
        <f t="array" ref="W670">IF(D670="","",_xlfn.XLOOKUP(D670,DATA!B:B,DATA!L:L,""))</f>
        <v/>
      </c>
      <c r="X670" s="78" t="str">
        <f t="array" ref="X670">IF(F670="","",_xlfn.XLOOKUP(F670,DATA!B:B,DATA!L:L,""))</f>
        <v/>
      </c>
    </row>
    <row r="671">
      <c r="A671" s="81"/>
      <c r="B671" s="79"/>
      <c r="C671" s="90"/>
      <c r="D671" s="82"/>
      <c r="E671" s="89"/>
      <c r="F671" s="83"/>
      <c r="G671" s="78"/>
      <c r="H671" s="64" t="str">
        <f t="array" ref="H671">_xlfn.XLOOKUP(G671,DATA!D:D,DATA!E:E,"")</f>
        <v/>
      </c>
      <c r="I671" s="84"/>
      <c r="J671" s="23"/>
      <c r="K671" s="23"/>
      <c r="L671" s="66" t="str">
        <f t="shared" si="1"/>
        <v/>
      </c>
      <c r="M671" s="77"/>
      <c r="N671" s="78"/>
      <c r="O671" s="66" t="str">
        <f>IF(M671="","",
 IF(M671="عدم پاسخ","بدون پاسخ",
 IF(L671="","اطلاعات ناقص",
 IF(L671&lt;=DATA!$M$1,"رعایت شده","رعایت نشده"))))</f>
        <v/>
      </c>
      <c r="P671" s="79"/>
      <c r="Q671" s="77"/>
      <c r="R671" s="79"/>
      <c r="S671" s="79"/>
      <c r="T671" s="78"/>
      <c r="U671" s="80"/>
      <c r="V671" s="78"/>
      <c r="W671" s="77" t="str">
        <f t="array" ref="W671">IF(D671="","",_xlfn.XLOOKUP(D671,DATA!B:B,DATA!L:L,""))</f>
        <v/>
      </c>
      <c r="X671" s="78" t="str">
        <f t="array" ref="X671">IF(F671="","",_xlfn.XLOOKUP(F671,DATA!B:B,DATA!L:L,""))</f>
        <v/>
      </c>
    </row>
    <row r="672">
      <c r="A672" s="81"/>
      <c r="B672" s="79"/>
      <c r="C672" s="90"/>
      <c r="D672" s="82"/>
      <c r="E672" s="89"/>
      <c r="F672" s="83"/>
      <c r="G672" s="78"/>
      <c r="H672" s="64" t="str">
        <f t="array" ref="H672">_xlfn.XLOOKUP(G672,DATA!D:D,DATA!E:E,"")</f>
        <v/>
      </c>
      <c r="I672" s="84"/>
      <c r="J672" s="23"/>
      <c r="K672" s="23"/>
      <c r="L672" s="66" t="str">
        <f t="shared" si="1"/>
        <v/>
      </c>
      <c r="M672" s="77"/>
      <c r="N672" s="78"/>
      <c r="O672" s="66" t="str">
        <f>IF(M672="","",
 IF(M672="عدم پاسخ","بدون پاسخ",
 IF(L672="","اطلاعات ناقص",
 IF(L672&lt;=DATA!$M$1,"رعایت شده","رعایت نشده"))))</f>
        <v/>
      </c>
      <c r="P672" s="79"/>
      <c r="Q672" s="77"/>
      <c r="R672" s="79"/>
      <c r="S672" s="79"/>
      <c r="T672" s="78"/>
      <c r="U672" s="80"/>
      <c r="V672" s="78"/>
      <c r="W672" s="77" t="str">
        <f t="array" ref="W672">IF(D672="","",_xlfn.XLOOKUP(D672,DATA!B:B,DATA!L:L,""))</f>
        <v/>
      </c>
      <c r="X672" s="78" t="str">
        <f t="array" ref="X672">IF(F672="","",_xlfn.XLOOKUP(F672,DATA!B:B,DATA!L:L,""))</f>
        <v/>
      </c>
    </row>
    <row r="673">
      <c r="A673" s="81"/>
      <c r="B673" s="79"/>
      <c r="C673" s="90"/>
      <c r="D673" s="82"/>
      <c r="E673" s="89"/>
      <c r="F673" s="83"/>
      <c r="G673" s="78"/>
      <c r="H673" s="64" t="str">
        <f t="array" ref="H673">_xlfn.XLOOKUP(G673,DATA!D:D,DATA!E:E,"")</f>
        <v/>
      </c>
      <c r="I673" s="84"/>
      <c r="J673" s="23"/>
      <c r="K673" s="23"/>
      <c r="L673" s="66" t="str">
        <f t="shared" si="1"/>
        <v/>
      </c>
      <c r="M673" s="77"/>
      <c r="N673" s="78"/>
      <c r="O673" s="66" t="str">
        <f>IF(M673="","",
 IF(M673="عدم پاسخ","بدون پاسخ",
 IF(L673="","اطلاعات ناقص",
 IF(L673&lt;=DATA!$M$1,"رعایت شده","رعایت نشده"))))</f>
        <v/>
      </c>
      <c r="P673" s="79"/>
      <c r="Q673" s="77"/>
      <c r="R673" s="79"/>
      <c r="S673" s="79"/>
      <c r="T673" s="78"/>
      <c r="U673" s="80"/>
      <c r="V673" s="78"/>
      <c r="W673" s="77" t="str">
        <f t="array" ref="W673">IF(D673="","",_xlfn.XLOOKUP(D673,DATA!B:B,DATA!L:L,""))</f>
        <v/>
      </c>
      <c r="X673" s="78" t="str">
        <f t="array" ref="X673">IF(F673="","",_xlfn.XLOOKUP(F673,DATA!B:B,DATA!L:L,""))</f>
        <v/>
      </c>
    </row>
    <row r="674">
      <c r="A674" s="81"/>
      <c r="B674" s="79"/>
      <c r="C674" s="90"/>
      <c r="D674" s="82"/>
      <c r="E674" s="89"/>
      <c r="F674" s="83"/>
      <c r="G674" s="78"/>
      <c r="H674" s="64" t="str">
        <f t="array" ref="H674">_xlfn.XLOOKUP(G674,DATA!D:D,DATA!E:E,"")</f>
        <v/>
      </c>
      <c r="I674" s="84"/>
      <c r="J674" s="23"/>
      <c r="K674" s="23"/>
      <c r="L674" s="66" t="str">
        <f t="shared" si="1"/>
        <v/>
      </c>
      <c r="M674" s="77"/>
      <c r="N674" s="78"/>
      <c r="O674" s="66" t="str">
        <f>IF(M674="","",
 IF(M674="عدم پاسخ","بدون پاسخ",
 IF(L674="","اطلاعات ناقص",
 IF(L674&lt;=DATA!$M$1,"رعایت شده","رعایت نشده"))))</f>
        <v/>
      </c>
      <c r="P674" s="79"/>
      <c r="Q674" s="77"/>
      <c r="R674" s="79"/>
      <c r="S674" s="79"/>
      <c r="T674" s="78"/>
      <c r="U674" s="80"/>
      <c r="V674" s="78"/>
      <c r="W674" s="77" t="str">
        <f t="array" ref="W674">IF(D674="","",_xlfn.XLOOKUP(D674,DATA!B:B,DATA!L:L,""))</f>
        <v/>
      </c>
      <c r="X674" s="78" t="str">
        <f t="array" ref="X674">IF(F674="","",_xlfn.XLOOKUP(F674,DATA!B:B,DATA!L:L,""))</f>
        <v/>
      </c>
    </row>
    <row r="675">
      <c r="A675" s="81"/>
      <c r="B675" s="79"/>
      <c r="C675" s="90"/>
      <c r="D675" s="82"/>
      <c r="E675" s="89"/>
      <c r="F675" s="83"/>
      <c r="G675" s="78"/>
      <c r="H675" s="64" t="str">
        <f t="array" ref="H675">_xlfn.XLOOKUP(G675,DATA!D:D,DATA!E:E,"")</f>
        <v/>
      </c>
      <c r="I675" s="84"/>
      <c r="J675" s="23"/>
      <c r="K675" s="23"/>
      <c r="L675" s="66" t="str">
        <f t="shared" si="1"/>
        <v/>
      </c>
      <c r="M675" s="77"/>
      <c r="N675" s="78"/>
      <c r="O675" s="66" t="str">
        <f>IF(M675="","",
 IF(M675="عدم پاسخ","بدون پاسخ",
 IF(L675="","اطلاعات ناقص",
 IF(L675&lt;=DATA!$M$1,"رعایت شده","رعایت نشده"))))</f>
        <v/>
      </c>
      <c r="P675" s="79"/>
      <c r="Q675" s="77"/>
      <c r="R675" s="79"/>
      <c r="S675" s="79"/>
      <c r="T675" s="78"/>
      <c r="U675" s="80"/>
      <c r="V675" s="78"/>
      <c r="W675" s="77" t="str">
        <f t="array" ref="W675">IF(D675="","",_xlfn.XLOOKUP(D675,DATA!B:B,DATA!L:L,""))</f>
        <v/>
      </c>
      <c r="X675" s="78" t="str">
        <f t="array" ref="X675">IF(F675="","",_xlfn.XLOOKUP(F675,DATA!B:B,DATA!L:L,""))</f>
        <v/>
      </c>
    </row>
    <row r="676">
      <c r="A676" s="81"/>
      <c r="B676" s="79"/>
      <c r="C676" s="90"/>
      <c r="D676" s="82"/>
      <c r="E676" s="89"/>
      <c r="F676" s="83"/>
      <c r="G676" s="78"/>
      <c r="H676" s="64" t="str">
        <f t="array" ref="H676">_xlfn.XLOOKUP(G676,DATA!D:D,DATA!E:E,"")</f>
        <v/>
      </c>
      <c r="I676" s="84"/>
      <c r="J676" s="23"/>
      <c r="K676" s="23"/>
      <c r="L676" s="66" t="str">
        <f t="shared" si="1"/>
        <v/>
      </c>
      <c r="M676" s="77"/>
      <c r="N676" s="78"/>
      <c r="O676" s="66" t="str">
        <f>IF(M676="","",
 IF(M676="عدم پاسخ","بدون پاسخ",
 IF(L676="","اطلاعات ناقص",
 IF(L676&lt;=DATA!$M$1,"رعایت شده","رعایت نشده"))))</f>
        <v/>
      </c>
      <c r="P676" s="79"/>
      <c r="Q676" s="77"/>
      <c r="R676" s="79"/>
      <c r="S676" s="79"/>
      <c r="T676" s="78"/>
      <c r="U676" s="80"/>
      <c r="V676" s="78"/>
      <c r="W676" s="77" t="str">
        <f t="array" ref="W676">IF(D676="","",_xlfn.XLOOKUP(D676,DATA!B:B,DATA!L:L,""))</f>
        <v/>
      </c>
      <c r="X676" s="78" t="str">
        <f t="array" ref="X676">IF(F676="","",_xlfn.XLOOKUP(F676,DATA!B:B,DATA!L:L,""))</f>
        <v/>
      </c>
    </row>
    <row r="677">
      <c r="A677" s="81"/>
      <c r="B677" s="79"/>
      <c r="C677" s="90"/>
      <c r="D677" s="82"/>
      <c r="E677" s="89"/>
      <c r="F677" s="83"/>
      <c r="G677" s="78"/>
      <c r="H677" s="64" t="str">
        <f t="array" ref="H677">_xlfn.XLOOKUP(G677,DATA!D:D,DATA!E:E,"")</f>
        <v/>
      </c>
      <c r="I677" s="84"/>
      <c r="J677" s="23"/>
      <c r="K677" s="23"/>
      <c r="L677" s="66" t="str">
        <f t="shared" si="1"/>
        <v/>
      </c>
      <c r="M677" s="77"/>
      <c r="N677" s="78"/>
      <c r="O677" s="66" t="str">
        <f>IF(M677="","",
 IF(M677="عدم پاسخ","بدون پاسخ",
 IF(L677="","اطلاعات ناقص",
 IF(L677&lt;=DATA!$M$1,"رعایت شده","رعایت نشده"))))</f>
        <v/>
      </c>
      <c r="P677" s="79"/>
      <c r="Q677" s="77"/>
      <c r="R677" s="79"/>
      <c r="S677" s="79"/>
      <c r="T677" s="78"/>
      <c r="U677" s="80"/>
      <c r="V677" s="78"/>
      <c r="W677" s="77" t="str">
        <f t="array" ref="W677">IF(D677="","",_xlfn.XLOOKUP(D677,DATA!B:B,DATA!L:L,""))</f>
        <v/>
      </c>
      <c r="X677" s="78" t="str">
        <f t="array" ref="X677">IF(F677="","",_xlfn.XLOOKUP(F677,DATA!B:B,DATA!L:L,""))</f>
        <v/>
      </c>
    </row>
    <row r="678">
      <c r="A678" s="81"/>
      <c r="B678" s="79"/>
      <c r="C678" s="90"/>
      <c r="D678" s="82"/>
      <c r="E678" s="89"/>
      <c r="F678" s="83"/>
      <c r="G678" s="78"/>
      <c r="H678" s="64" t="str">
        <f t="array" ref="H678">_xlfn.XLOOKUP(G678,DATA!D:D,DATA!E:E,"")</f>
        <v/>
      </c>
      <c r="I678" s="84"/>
      <c r="J678" s="23"/>
      <c r="K678" s="23"/>
      <c r="L678" s="66" t="str">
        <f t="shared" si="1"/>
        <v/>
      </c>
      <c r="M678" s="77"/>
      <c r="N678" s="78"/>
      <c r="O678" s="66" t="str">
        <f>IF(M678="","",
 IF(M678="عدم پاسخ","بدون پاسخ",
 IF(L678="","اطلاعات ناقص",
 IF(L678&lt;=DATA!$M$1,"رعایت شده","رعایت نشده"))))</f>
        <v/>
      </c>
      <c r="P678" s="79"/>
      <c r="Q678" s="77"/>
      <c r="R678" s="79"/>
      <c r="S678" s="79"/>
      <c r="T678" s="78"/>
      <c r="U678" s="80"/>
      <c r="V678" s="78"/>
      <c r="W678" s="77" t="str">
        <f t="array" ref="W678">IF(D678="","",_xlfn.XLOOKUP(D678,DATA!B:B,DATA!L:L,""))</f>
        <v/>
      </c>
      <c r="X678" s="78" t="str">
        <f t="array" ref="X678">IF(F678="","",_xlfn.XLOOKUP(F678,DATA!B:B,DATA!L:L,""))</f>
        <v/>
      </c>
    </row>
    <row r="679">
      <c r="A679" s="81"/>
      <c r="B679" s="79"/>
      <c r="C679" s="90"/>
      <c r="D679" s="82"/>
      <c r="E679" s="89"/>
      <c r="F679" s="83"/>
      <c r="G679" s="78"/>
      <c r="H679" s="64" t="str">
        <f t="array" ref="H679">_xlfn.XLOOKUP(G679,DATA!D:D,DATA!E:E,"")</f>
        <v/>
      </c>
      <c r="I679" s="84"/>
      <c r="J679" s="23"/>
      <c r="K679" s="23"/>
      <c r="L679" s="66" t="str">
        <f t="shared" si="1"/>
        <v/>
      </c>
      <c r="M679" s="77"/>
      <c r="N679" s="78"/>
      <c r="O679" s="66" t="str">
        <f>IF(M679="","",
 IF(M679="عدم پاسخ","بدون پاسخ",
 IF(L679="","اطلاعات ناقص",
 IF(L679&lt;=DATA!$M$1,"رعایت شده","رعایت نشده"))))</f>
        <v/>
      </c>
      <c r="P679" s="79"/>
      <c r="Q679" s="77"/>
      <c r="R679" s="79"/>
      <c r="S679" s="79"/>
      <c r="T679" s="78"/>
      <c r="U679" s="80"/>
      <c r="V679" s="78"/>
      <c r="W679" s="77" t="str">
        <f t="array" ref="W679">IF(D679="","",_xlfn.XLOOKUP(D679,DATA!B:B,DATA!L:L,""))</f>
        <v/>
      </c>
      <c r="X679" s="78" t="str">
        <f t="array" ref="X679">IF(F679="","",_xlfn.XLOOKUP(F679,DATA!B:B,DATA!L:L,""))</f>
        <v/>
      </c>
    </row>
    <row r="680">
      <c r="A680" s="81"/>
      <c r="B680" s="79"/>
      <c r="C680" s="90"/>
      <c r="D680" s="82"/>
      <c r="E680" s="89"/>
      <c r="F680" s="83"/>
      <c r="G680" s="78"/>
      <c r="H680" s="64" t="str">
        <f t="array" ref="H680">_xlfn.XLOOKUP(G680,DATA!D:D,DATA!E:E,"")</f>
        <v/>
      </c>
      <c r="I680" s="84"/>
      <c r="J680" s="23"/>
      <c r="K680" s="23"/>
      <c r="L680" s="66" t="str">
        <f t="shared" si="1"/>
        <v/>
      </c>
      <c r="M680" s="77"/>
      <c r="N680" s="78"/>
      <c r="O680" s="66" t="str">
        <f>IF(M680="","",
 IF(M680="عدم پاسخ","بدون پاسخ",
 IF(L680="","اطلاعات ناقص",
 IF(L680&lt;=DATA!$M$1,"رعایت شده","رعایت نشده"))))</f>
        <v/>
      </c>
      <c r="P680" s="79"/>
      <c r="Q680" s="77"/>
      <c r="R680" s="79"/>
      <c r="S680" s="79"/>
      <c r="T680" s="78"/>
      <c r="U680" s="80"/>
      <c r="V680" s="78"/>
      <c r="W680" s="77" t="str">
        <f t="array" ref="W680">IF(D680="","",_xlfn.XLOOKUP(D680,DATA!B:B,DATA!L:L,""))</f>
        <v/>
      </c>
      <c r="X680" s="78" t="str">
        <f t="array" ref="X680">IF(F680="","",_xlfn.XLOOKUP(F680,DATA!B:B,DATA!L:L,""))</f>
        <v/>
      </c>
    </row>
    <row r="681">
      <c r="A681" s="81"/>
      <c r="B681" s="79"/>
      <c r="C681" s="90"/>
      <c r="D681" s="82"/>
      <c r="E681" s="89"/>
      <c r="F681" s="83"/>
      <c r="G681" s="78"/>
      <c r="H681" s="64" t="str">
        <f t="array" ref="H681">_xlfn.XLOOKUP(G681,DATA!D:D,DATA!E:E,"")</f>
        <v/>
      </c>
      <c r="I681" s="84"/>
      <c r="J681" s="23"/>
      <c r="K681" s="23"/>
      <c r="L681" s="66" t="str">
        <f t="shared" si="1"/>
        <v/>
      </c>
      <c r="M681" s="77"/>
      <c r="N681" s="78"/>
      <c r="O681" s="66" t="str">
        <f>IF(M681="","",
 IF(M681="عدم پاسخ","بدون پاسخ",
 IF(L681="","اطلاعات ناقص",
 IF(L681&lt;=DATA!$M$1,"رعایت شده","رعایت نشده"))))</f>
        <v/>
      </c>
      <c r="P681" s="79"/>
      <c r="Q681" s="77"/>
      <c r="R681" s="79"/>
      <c r="S681" s="79"/>
      <c r="T681" s="78"/>
      <c r="U681" s="80"/>
      <c r="V681" s="78"/>
      <c r="W681" s="77" t="str">
        <f t="array" ref="W681">IF(D681="","",_xlfn.XLOOKUP(D681,DATA!B:B,DATA!L:L,""))</f>
        <v/>
      </c>
      <c r="X681" s="78" t="str">
        <f t="array" ref="X681">IF(F681="","",_xlfn.XLOOKUP(F681,DATA!B:B,DATA!L:L,""))</f>
        <v/>
      </c>
    </row>
    <row r="682">
      <c r="A682" s="81"/>
      <c r="B682" s="79"/>
      <c r="C682" s="90"/>
      <c r="D682" s="82"/>
      <c r="E682" s="89"/>
      <c r="F682" s="83"/>
      <c r="G682" s="78"/>
      <c r="H682" s="64" t="str">
        <f t="array" ref="H682">_xlfn.XLOOKUP(G682,DATA!D:D,DATA!E:E,"")</f>
        <v/>
      </c>
      <c r="I682" s="84"/>
      <c r="J682" s="23"/>
      <c r="K682" s="23"/>
      <c r="L682" s="66" t="str">
        <f t="shared" si="1"/>
        <v/>
      </c>
      <c r="M682" s="77"/>
      <c r="N682" s="78"/>
      <c r="O682" s="66" t="str">
        <f>IF(M682="","",
 IF(M682="عدم پاسخ","بدون پاسخ",
 IF(L682="","اطلاعات ناقص",
 IF(L682&lt;=DATA!$M$1,"رعایت شده","رعایت نشده"))))</f>
        <v/>
      </c>
      <c r="P682" s="79"/>
      <c r="Q682" s="77"/>
      <c r="R682" s="79"/>
      <c r="S682" s="79"/>
      <c r="T682" s="78"/>
      <c r="U682" s="80"/>
      <c r="V682" s="78"/>
      <c r="W682" s="77" t="str">
        <f t="array" ref="W682">IF(D682="","",_xlfn.XLOOKUP(D682,DATA!B:B,DATA!L:L,""))</f>
        <v/>
      </c>
      <c r="X682" s="78" t="str">
        <f t="array" ref="X682">IF(F682="","",_xlfn.XLOOKUP(F682,DATA!B:B,DATA!L:L,""))</f>
        <v/>
      </c>
    </row>
    <row r="683">
      <c r="A683" s="81"/>
      <c r="B683" s="79"/>
      <c r="C683" s="90"/>
      <c r="D683" s="82"/>
      <c r="E683" s="89"/>
      <c r="F683" s="83"/>
      <c r="G683" s="78"/>
      <c r="H683" s="64" t="str">
        <f t="array" ref="H683">_xlfn.XLOOKUP(G683,DATA!D:D,DATA!E:E,"")</f>
        <v/>
      </c>
      <c r="I683" s="84"/>
      <c r="J683" s="23"/>
      <c r="K683" s="23"/>
      <c r="L683" s="66" t="str">
        <f t="shared" si="1"/>
        <v/>
      </c>
      <c r="M683" s="77"/>
      <c r="N683" s="78"/>
      <c r="O683" s="66" t="str">
        <f>IF(M683="","",
 IF(M683="عدم پاسخ","بدون پاسخ",
 IF(L683="","اطلاعات ناقص",
 IF(L683&lt;=DATA!$M$1,"رعایت شده","رعایت نشده"))))</f>
        <v/>
      </c>
      <c r="P683" s="79"/>
      <c r="Q683" s="77"/>
      <c r="R683" s="79"/>
      <c r="S683" s="79"/>
      <c r="T683" s="78"/>
      <c r="U683" s="80"/>
      <c r="V683" s="78"/>
      <c r="W683" s="77" t="str">
        <f t="array" ref="W683">IF(D683="","",_xlfn.XLOOKUP(D683,DATA!B:B,DATA!L:L,""))</f>
        <v/>
      </c>
      <c r="X683" s="78" t="str">
        <f t="array" ref="X683">IF(F683="","",_xlfn.XLOOKUP(F683,DATA!B:B,DATA!L:L,""))</f>
        <v/>
      </c>
    </row>
    <row r="684">
      <c r="A684" s="81"/>
      <c r="B684" s="79"/>
      <c r="C684" s="90"/>
      <c r="D684" s="82"/>
      <c r="E684" s="89"/>
      <c r="F684" s="83"/>
      <c r="G684" s="78"/>
      <c r="H684" s="64" t="str">
        <f t="array" ref="H684">_xlfn.XLOOKUP(G684,DATA!D:D,DATA!E:E,"")</f>
        <v/>
      </c>
      <c r="I684" s="84"/>
      <c r="J684" s="23"/>
      <c r="K684" s="23"/>
      <c r="L684" s="66" t="str">
        <f t="shared" si="1"/>
        <v/>
      </c>
      <c r="M684" s="77"/>
      <c r="N684" s="78"/>
      <c r="O684" s="66" t="str">
        <f>IF(M684="","",
 IF(M684="عدم پاسخ","بدون پاسخ",
 IF(L684="","اطلاعات ناقص",
 IF(L684&lt;=DATA!$M$1,"رعایت شده","رعایت نشده"))))</f>
        <v/>
      </c>
      <c r="P684" s="79"/>
      <c r="Q684" s="77"/>
      <c r="R684" s="79"/>
      <c r="S684" s="79"/>
      <c r="T684" s="78"/>
      <c r="U684" s="80"/>
      <c r="V684" s="78"/>
      <c r="W684" s="77" t="str">
        <f t="array" ref="W684">IF(D684="","",_xlfn.XLOOKUP(D684,DATA!B:B,DATA!L:L,""))</f>
        <v/>
      </c>
      <c r="X684" s="78" t="str">
        <f t="array" ref="X684">IF(F684="","",_xlfn.XLOOKUP(F684,DATA!B:B,DATA!L:L,""))</f>
        <v/>
      </c>
    </row>
    <row r="685">
      <c r="A685" s="81"/>
      <c r="B685" s="79"/>
      <c r="C685" s="90"/>
      <c r="D685" s="82"/>
      <c r="E685" s="89"/>
      <c r="F685" s="83"/>
      <c r="G685" s="78"/>
      <c r="H685" s="64" t="str">
        <f t="array" ref="H685">_xlfn.XLOOKUP(G685,DATA!D:D,DATA!E:E,"")</f>
        <v/>
      </c>
      <c r="I685" s="84"/>
      <c r="J685" s="23"/>
      <c r="K685" s="23"/>
      <c r="L685" s="66" t="str">
        <f t="shared" si="1"/>
        <v/>
      </c>
      <c r="M685" s="77"/>
      <c r="N685" s="78"/>
      <c r="O685" s="66" t="str">
        <f>IF(M685="","",
 IF(M685="عدم پاسخ","بدون پاسخ",
 IF(L685="","اطلاعات ناقص",
 IF(L685&lt;=DATA!$M$1,"رعایت شده","رعایت نشده"))))</f>
        <v/>
      </c>
      <c r="P685" s="79"/>
      <c r="Q685" s="77"/>
      <c r="R685" s="79"/>
      <c r="S685" s="79"/>
      <c r="T685" s="78"/>
      <c r="U685" s="80"/>
      <c r="V685" s="78"/>
      <c r="W685" s="77" t="str">
        <f t="array" ref="W685">IF(D685="","",_xlfn.XLOOKUP(D685,DATA!B:B,DATA!L:L,""))</f>
        <v/>
      </c>
      <c r="X685" s="78" t="str">
        <f t="array" ref="X685">IF(F685="","",_xlfn.XLOOKUP(F685,DATA!B:B,DATA!L:L,""))</f>
        <v/>
      </c>
    </row>
    <row r="686">
      <c r="A686" s="81"/>
      <c r="B686" s="79"/>
      <c r="C686" s="90"/>
      <c r="D686" s="82"/>
      <c r="E686" s="89"/>
      <c r="F686" s="83"/>
      <c r="G686" s="78"/>
      <c r="H686" s="64" t="str">
        <f t="array" ref="H686">_xlfn.XLOOKUP(G686,DATA!D:D,DATA!E:E,"")</f>
        <v/>
      </c>
      <c r="I686" s="84"/>
      <c r="J686" s="23"/>
      <c r="K686" s="23"/>
      <c r="L686" s="66" t="str">
        <f t="shared" si="1"/>
        <v/>
      </c>
      <c r="M686" s="77"/>
      <c r="N686" s="78"/>
      <c r="O686" s="66" t="str">
        <f>IF(M686="","",
 IF(M686="عدم پاسخ","بدون پاسخ",
 IF(L686="","اطلاعات ناقص",
 IF(L686&lt;=DATA!$M$1,"رعایت شده","رعایت نشده"))))</f>
        <v/>
      </c>
      <c r="P686" s="79"/>
      <c r="Q686" s="77"/>
      <c r="R686" s="79"/>
      <c r="S686" s="79"/>
      <c r="T686" s="78"/>
      <c r="U686" s="80"/>
      <c r="V686" s="78"/>
      <c r="W686" s="77" t="str">
        <f t="array" ref="W686">IF(D686="","",_xlfn.XLOOKUP(D686,DATA!B:B,DATA!L:L,""))</f>
        <v/>
      </c>
      <c r="X686" s="78" t="str">
        <f t="array" ref="X686">IF(F686="","",_xlfn.XLOOKUP(F686,DATA!B:B,DATA!L:L,""))</f>
        <v/>
      </c>
    </row>
    <row r="687">
      <c r="A687" s="81"/>
      <c r="B687" s="79"/>
      <c r="C687" s="90"/>
      <c r="D687" s="82"/>
      <c r="E687" s="89"/>
      <c r="F687" s="83"/>
      <c r="G687" s="78"/>
      <c r="H687" s="64" t="str">
        <f t="array" ref="H687">_xlfn.XLOOKUP(G687,DATA!D:D,DATA!E:E,"")</f>
        <v/>
      </c>
      <c r="I687" s="84"/>
      <c r="J687" s="23"/>
      <c r="K687" s="23"/>
      <c r="L687" s="66" t="str">
        <f t="shared" si="1"/>
        <v/>
      </c>
      <c r="M687" s="77"/>
      <c r="N687" s="78"/>
      <c r="O687" s="66" t="str">
        <f>IF(M687="","",
 IF(M687="عدم پاسخ","بدون پاسخ",
 IF(L687="","اطلاعات ناقص",
 IF(L687&lt;=DATA!$M$1,"رعایت شده","رعایت نشده"))))</f>
        <v/>
      </c>
      <c r="P687" s="79"/>
      <c r="Q687" s="77"/>
      <c r="R687" s="79"/>
      <c r="S687" s="79"/>
      <c r="T687" s="78"/>
      <c r="U687" s="80"/>
      <c r="V687" s="78"/>
      <c r="W687" s="77" t="str">
        <f t="array" ref="W687">IF(D687="","",_xlfn.XLOOKUP(D687,DATA!B:B,DATA!L:L,""))</f>
        <v/>
      </c>
      <c r="X687" s="78" t="str">
        <f t="array" ref="X687">IF(F687="","",_xlfn.XLOOKUP(F687,DATA!B:B,DATA!L:L,""))</f>
        <v/>
      </c>
    </row>
    <row r="688">
      <c r="A688" s="81"/>
      <c r="B688" s="79"/>
      <c r="C688" s="90"/>
      <c r="D688" s="82"/>
      <c r="E688" s="89"/>
      <c r="F688" s="83"/>
      <c r="G688" s="78"/>
      <c r="H688" s="64" t="str">
        <f t="array" ref="H688">_xlfn.XLOOKUP(G688,DATA!D:D,DATA!E:E,"")</f>
        <v/>
      </c>
      <c r="I688" s="84"/>
      <c r="J688" s="23"/>
      <c r="K688" s="23"/>
      <c r="L688" s="66" t="str">
        <f t="shared" si="1"/>
        <v/>
      </c>
      <c r="M688" s="77"/>
      <c r="N688" s="78"/>
      <c r="O688" s="66" t="str">
        <f>IF(M688="","",
 IF(M688="عدم پاسخ","بدون پاسخ",
 IF(L688="","اطلاعات ناقص",
 IF(L688&lt;=DATA!$M$1,"رعایت شده","رعایت نشده"))))</f>
        <v/>
      </c>
      <c r="P688" s="79"/>
      <c r="Q688" s="77"/>
      <c r="R688" s="79"/>
      <c r="S688" s="79"/>
      <c r="T688" s="78"/>
      <c r="U688" s="80"/>
      <c r="V688" s="78"/>
      <c r="W688" s="77" t="str">
        <f t="array" ref="W688">IF(D688="","",_xlfn.XLOOKUP(D688,DATA!B:B,DATA!L:L,""))</f>
        <v/>
      </c>
      <c r="X688" s="78" t="str">
        <f t="array" ref="X688">IF(F688="","",_xlfn.XLOOKUP(F688,DATA!B:B,DATA!L:L,""))</f>
        <v/>
      </c>
    </row>
    <row r="689">
      <c r="A689" s="81"/>
      <c r="B689" s="79"/>
      <c r="C689" s="90"/>
      <c r="D689" s="82"/>
      <c r="E689" s="89"/>
      <c r="F689" s="83"/>
      <c r="G689" s="78"/>
      <c r="H689" s="64" t="str">
        <f t="array" ref="H689">_xlfn.XLOOKUP(G689,DATA!D:D,DATA!E:E,"")</f>
        <v/>
      </c>
      <c r="I689" s="84"/>
      <c r="J689" s="23"/>
      <c r="K689" s="23"/>
      <c r="L689" s="66" t="str">
        <f t="shared" si="1"/>
        <v/>
      </c>
      <c r="M689" s="77"/>
      <c r="N689" s="78"/>
      <c r="O689" s="66" t="str">
        <f>IF(M689="","",
 IF(M689="عدم پاسخ","بدون پاسخ",
 IF(L689="","اطلاعات ناقص",
 IF(L689&lt;=DATA!$M$1,"رعایت شده","رعایت نشده"))))</f>
        <v/>
      </c>
      <c r="P689" s="79"/>
      <c r="Q689" s="77"/>
      <c r="R689" s="79"/>
      <c r="S689" s="79"/>
      <c r="T689" s="78"/>
      <c r="U689" s="80"/>
      <c r="V689" s="78"/>
      <c r="W689" s="77" t="str">
        <f t="array" ref="W689">IF(D689="","",_xlfn.XLOOKUP(D689,DATA!B:B,DATA!L:L,""))</f>
        <v/>
      </c>
      <c r="X689" s="78" t="str">
        <f t="array" ref="X689">IF(F689="","",_xlfn.XLOOKUP(F689,DATA!B:B,DATA!L:L,""))</f>
        <v/>
      </c>
    </row>
    <row r="690">
      <c r="A690" s="81"/>
      <c r="B690" s="79"/>
      <c r="C690" s="90"/>
      <c r="D690" s="82"/>
      <c r="E690" s="89"/>
      <c r="F690" s="83"/>
      <c r="G690" s="78"/>
      <c r="H690" s="64" t="str">
        <f t="array" ref="H690">_xlfn.XLOOKUP(G690,DATA!D:D,DATA!E:E,"")</f>
        <v/>
      </c>
      <c r="I690" s="84"/>
      <c r="J690" s="23"/>
      <c r="K690" s="23"/>
      <c r="L690" s="66" t="str">
        <f t="shared" si="1"/>
        <v/>
      </c>
      <c r="M690" s="77"/>
      <c r="N690" s="78"/>
      <c r="O690" s="66" t="str">
        <f>IF(M690="","",
 IF(M690="عدم پاسخ","بدون پاسخ",
 IF(L690="","اطلاعات ناقص",
 IF(L690&lt;=DATA!$M$1,"رعایت شده","رعایت نشده"))))</f>
        <v/>
      </c>
      <c r="P690" s="79"/>
      <c r="Q690" s="77"/>
      <c r="R690" s="79"/>
      <c r="S690" s="79"/>
      <c r="T690" s="78"/>
      <c r="U690" s="80"/>
      <c r="V690" s="78"/>
      <c r="W690" s="77" t="str">
        <f t="array" ref="W690">IF(D690="","",_xlfn.XLOOKUP(D690,DATA!B:B,DATA!L:L,""))</f>
        <v/>
      </c>
      <c r="X690" s="78" t="str">
        <f t="array" ref="X690">IF(F690="","",_xlfn.XLOOKUP(F690,DATA!B:B,DATA!L:L,""))</f>
        <v/>
      </c>
    </row>
    <row r="691">
      <c r="A691" s="81"/>
      <c r="B691" s="79"/>
      <c r="C691" s="90"/>
      <c r="D691" s="82"/>
      <c r="E691" s="89"/>
      <c r="F691" s="83"/>
      <c r="G691" s="78"/>
      <c r="H691" s="64" t="str">
        <f t="array" ref="H691">_xlfn.XLOOKUP(G691,DATA!D:D,DATA!E:E,"")</f>
        <v/>
      </c>
      <c r="I691" s="84"/>
      <c r="J691" s="23"/>
      <c r="K691" s="23"/>
      <c r="L691" s="66" t="str">
        <f t="shared" si="1"/>
        <v/>
      </c>
      <c r="M691" s="77"/>
      <c r="N691" s="78"/>
      <c r="O691" s="66" t="str">
        <f>IF(M691="","",
 IF(M691="عدم پاسخ","بدون پاسخ",
 IF(L691="","اطلاعات ناقص",
 IF(L691&lt;=DATA!$M$1,"رعایت شده","رعایت نشده"))))</f>
        <v/>
      </c>
      <c r="P691" s="79"/>
      <c r="Q691" s="77"/>
      <c r="R691" s="79"/>
      <c r="S691" s="79"/>
      <c r="T691" s="78"/>
      <c r="U691" s="80"/>
      <c r="V691" s="78"/>
      <c r="W691" s="77" t="str">
        <f t="array" ref="W691">IF(D691="","",_xlfn.XLOOKUP(D691,DATA!B:B,DATA!L:L,""))</f>
        <v/>
      </c>
      <c r="X691" s="78" t="str">
        <f t="array" ref="X691">IF(F691="","",_xlfn.XLOOKUP(F691,DATA!B:B,DATA!L:L,""))</f>
        <v/>
      </c>
    </row>
    <row r="692">
      <c r="A692" s="81"/>
      <c r="B692" s="79"/>
      <c r="C692" s="90"/>
      <c r="D692" s="82"/>
      <c r="E692" s="89"/>
      <c r="F692" s="83"/>
      <c r="G692" s="78"/>
      <c r="H692" s="64" t="str">
        <f t="array" ref="H692">_xlfn.XLOOKUP(G692,DATA!D:D,DATA!E:E,"")</f>
        <v/>
      </c>
      <c r="I692" s="84"/>
      <c r="J692" s="23"/>
      <c r="K692" s="23"/>
      <c r="L692" s="66" t="str">
        <f t="shared" si="1"/>
        <v/>
      </c>
      <c r="M692" s="77"/>
      <c r="N692" s="78"/>
      <c r="O692" s="66" t="str">
        <f>IF(M692="","",
 IF(M692="عدم پاسخ","بدون پاسخ",
 IF(L692="","اطلاعات ناقص",
 IF(L692&lt;=DATA!$M$1,"رعایت شده","رعایت نشده"))))</f>
        <v/>
      </c>
      <c r="P692" s="79"/>
      <c r="Q692" s="77"/>
      <c r="R692" s="79"/>
      <c r="S692" s="79"/>
      <c r="T692" s="78"/>
      <c r="U692" s="80"/>
      <c r="V692" s="78"/>
      <c r="W692" s="77" t="str">
        <f t="array" ref="W692">IF(D692="","",_xlfn.XLOOKUP(D692,DATA!B:B,DATA!L:L,""))</f>
        <v/>
      </c>
      <c r="X692" s="78" t="str">
        <f t="array" ref="X692">IF(F692="","",_xlfn.XLOOKUP(F692,DATA!B:B,DATA!L:L,""))</f>
        <v/>
      </c>
    </row>
    <row r="693">
      <c r="A693" s="81"/>
      <c r="B693" s="79"/>
      <c r="C693" s="90"/>
      <c r="D693" s="82"/>
      <c r="E693" s="89"/>
      <c r="F693" s="83"/>
      <c r="G693" s="78"/>
      <c r="H693" s="64" t="str">
        <f t="array" ref="H693">_xlfn.XLOOKUP(G693,DATA!D:D,DATA!E:E,"")</f>
        <v/>
      </c>
      <c r="I693" s="84"/>
      <c r="J693" s="23"/>
      <c r="K693" s="23"/>
      <c r="L693" s="66" t="str">
        <f t="shared" si="1"/>
        <v/>
      </c>
      <c r="M693" s="77"/>
      <c r="N693" s="78"/>
      <c r="O693" s="66" t="str">
        <f>IF(M693="","",
 IF(M693="عدم پاسخ","بدون پاسخ",
 IF(L693="","اطلاعات ناقص",
 IF(L693&lt;=DATA!$M$1,"رعایت شده","رعایت نشده"))))</f>
        <v/>
      </c>
      <c r="P693" s="79"/>
      <c r="Q693" s="77"/>
      <c r="R693" s="79"/>
      <c r="S693" s="79"/>
      <c r="T693" s="78"/>
      <c r="U693" s="80"/>
      <c r="V693" s="78"/>
      <c r="W693" s="77" t="str">
        <f t="array" ref="W693">IF(D693="","",_xlfn.XLOOKUP(D693,DATA!B:B,DATA!L:L,""))</f>
        <v/>
      </c>
      <c r="X693" s="78" t="str">
        <f t="array" ref="X693">IF(F693="","",_xlfn.XLOOKUP(F693,DATA!B:B,DATA!L:L,""))</f>
        <v/>
      </c>
    </row>
    <row r="694">
      <c r="A694" s="81"/>
      <c r="B694" s="79"/>
      <c r="C694" s="90"/>
      <c r="D694" s="82"/>
      <c r="E694" s="89"/>
      <c r="F694" s="83"/>
      <c r="G694" s="78"/>
      <c r="H694" s="64" t="str">
        <f t="array" ref="H694">_xlfn.XLOOKUP(G694,DATA!D:D,DATA!E:E,"")</f>
        <v/>
      </c>
      <c r="I694" s="84"/>
      <c r="J694" s="23"/>
      <c r="K694" s="23"/>
      <c r="L694" s="66" t="str">
        <f t="shared" si="1"/>
        <v/>
      </c>
      <c r="M694" s="77"/>
      <c r="N694" s="78"/>
      <c r="O694" s="66" t="str">
        <f>IF(M694="","",
 IF(M694="عدم پاسخ","بدون پاسخ",
 IF(L694="","اطلاعات ناقص",
 IF(L694&lt;=DATA!$M$1,"رعایت شده","رعایت نشده"))))</f>
        <v/>
      </c>
      <c r="P694" s="79"/>
      <c r="Q694" s="77"/>
      <c r="R694" s="79"/>
      <c r="S694" s="79"/>
      <c r="T694" s="78"/>
      <c r="U694" s="80"/>
      <c r="V694" s="78"/>
      <c r="W694" s="77" t="str">
        <f t="array" ref="W694">IF(D694="","",_xlfn.XLOOKUP(D694,DATA!B:B,DATA!L:L,""))</f>
        <v/>
      </c>
      <c r="X694" s="78" t="str">
        <f t="array" ref="X694">IF(F694="","",_xlfn.XLOOKUP(F694,DATA!B:B,DATA!L:L,""))</f>
        <v/>
      </c>
    </row>
    <row r="695">
      <c r="A695" s="81"/>
      <c r="B695" s="79"/>
      <c r="C695" s="90"/>
      <c r="D695" s="82"/>
      <c r="E695" s="89"/>
      <c r="F695" s="83"/>
      <c r="G695" s="78"/>
      <c r="H695" s="64" t="str">
        <f t="array" ref="H695">_xlfn.XLOOKUP(G695,DATA!D:D,DATA!E:E,"")</f>
        <v/>
      </c>
      <c r="I695" s="84"/>
      <c r="J695" s="23"/>
      <c r="K695" s="23"/>
      <c r="L695" s="66" t="str">
        <f t="shared" si="1"/>
        <v/>
      </c>
      <c r="M695" s="77"/>
      <c r="N695" s="78"/>
      <c r="O695" s="66" t="str">
        <f>IF(M695="","",
 IF(M695="عدم پاسخ","بدون پاسخ",
 IF(L695="","اطلاعات ناقص",
 IF(L695&lt;=DATA!$M$1,"رعایت شده","رعایت نشده"))))</f>
        <v/>
      </c>
      <c r="P695" s="79"/>
      <c r="Q695" s="77"/>
      <c r="R695" s="79"/>
      <c r="S695" s="79"/>
      <c r="T695" s="78"/>
      <c r="U695" s="80"/>
      <c r="V695" s="78"/>
      <c r="W695" s="77" t="str">
        <f t="array" ref="W695">IF(D695="","",_xlfn.XLOOKUP(D695,DATA!B:B,DATA!L:L,""))</f>
        <v/>
      </c>
      <c r="X695" s="78" t="str">
        <f t="array" ref="X695">IF(F695="","",_xlfn.XLOOKUP(F695,DATA!B:B,DATA!L:L,""))</f>
        <v/>
      </c>
    </row>
    <row r="696">
      <c r="A696" s="81"/>
      <c r="B696" s="79"/>
      <c r="C696" s="90"/>
      <c r="D696" s="82"/>
      <c r="E696" s="89"/>
      <c r="F696" s="83"/>
      <c r="G696" s="78"/>
      <c r="H696" s="64" t="str">
        <f t="array" ref="H696">_xlfn.XLOOKUP(G696,DATA!D:D,DATA!E:E,"")</f>
        <v/>
      </c>
      <c r="I696" s="84"/>
      <c r="J696" s="23"/>
      <c r="K696" s="23"/>
      <c r="L696" s="66" t="str">
        <f t="shared" si="1"/>
        <v/>
      </c>
      <c r="M696" s="77"/>
      <c r="N696" s="78"/>
      <c r="O696" s="66" t="str">
        <f>IF(M696="","",
 IF(M696="عدم پاسخ","بدون پاسخ",
 IF(L696="","اطلاعات ناقص",
 IF(L696&lt;=DATA!$M$1,"رعایت شده","رعایت نشده"))))</f>
        <v/>
      </c>
      <c r="P696" s="79"/>
      <c r="Q696" s="77"/>
      <c r="R696" s="79"/>
      <c r="S696" s="79"/>
      <c r="T696" s="78"/>
      <c r="U696" s="80"/>
      <c r="V696" s="78"/>
      <c r="W696" s="77" t="str">
        <f t="array" ref="W696">IF(D696="","",_xlfn.XLOOKUP(D696,DATA!B:B,DATA!L:L,""))</f>
        <v/>
      </c>
      <c r="X696" s="78" t="str">
        <f t="array" ref="X696">IF(F696="","",_xlfn.XLOOKUP(F696,DATA!B:B,DATA!L:L,""))</f>
        <v/>
      </c>
    </row>
    <row r="697">
      <c r="A697" s="81"/>
      <c r="B697" s="79"/>
      <c r="C697" s="90"/>
      <c r="D697" s="82"/>
      <c r="E697" s="89"/>
      <c r="F697" s="83"/>
      <c r="G697" s="78"/>
      <c r="H697" s="64" t="str">
        <f t="array" ref="H697">_xlfn.XLOOKUP(G697,DATA!D:D,DATA!E:E,"")</f>
        <v/>
      </c>
      <c r="I697" s="84"/>
      <c r="J697" s="23"/>
      <c r="K697" s="23"/>
      <c r="L697" s="66" t="str">
        <f t="shared" si="1"/>
        <v/>
      </c>
      <c r="M697" s="77"/>
      <c r="N697" s="78"/>
      <c r="O697" s="66" t="str">
        <f>IF(M697="","",
 IF(M697="عدم پاسخ","بدون پاسخ",
 IF(L697="","اطلاعات ناقص",
 IF(L697&lt;=DATA!$M$1,"رعایت شده","رعایت نشده"))))</f>
        <v/>
      </c>
      <c r="P697" s="79"/>
      <c r="Q697" s="77"/>
      <c r="R697" s="79"/>
      <c r="S697" s="79"/>
      <c r="T697" s="78"/>
      <c r="U697" s="80"/>
      <c r="V697" s="78"/>
      <c r="W697" s="77" t="str">
        <f t="array" ref="W697">IF(D697="","",_xlfn.XLOOKUP(D697,DATA!B:B,DATA!L:L,""))</f>
        <v/>
      </c>
      <c r="X697" s="78" t="str">
        <f t="array" ref="X697">IF(F697="","",_xlfn.XLOOKUP(F697,DATA!B:B,DATA!L:L,""))</f>
        <v/>
      </c>
    </row>
    <row r="698">
      <c r="A698" s="81"/>
      <c r="B698" s="79"/>
      <c r="C698" s="90"/>
      <c r="D698" s="82"/>
      <c r="E698" s="89"/>
      <c r="F698" s="83"/>
      <c r="G698" s="78"/>
      <c r="H698" s="64" t="str">
        <f t="array" ref="H698">_xlfn.XLOOKUP(G698,DATA!D:D,DATA!E:E,"")</f>
        <v/>
      </c>
      <c r="I698" s="84"/>
      <c r="J698" s="23"/>
      <c r="K698" s="23"/>
      <c r="L698" s="66" t="str">
        <f t="shared" si="1"/>
        <v/>
      </c>
      <c r="M698" s="77"/>
      <c r="N698" s="78"/>
      <c r="O698" s="66" t="str">
        <f>IF(M698="","",
 IF(M698="عدم پاسخ","بدون پاسخ",
 IF(L698="","اطلاعات ناقص",
 IF(L698&lt;=DATA!$M$1,"رعایت شده","رعایت نشده"))))</f>
        <v/>
      </c>
      <c r="P698" s="79"/>
      <c r="Q698" s="77"/>
      <c r="R698" s="79"/>
      <c r="S698" s="79"/>
      <c r="T698" s="78"/>
      <c r="U698" s="80"/>
      <c r="V698" s="78"/>
      <c r="W698" s="77" t="str">
        <f t="array" ref="W698">IF(D698="","",_xlfn.XLOOKUP(D698,DATA!B:B,DATA!L:L,""))</f>
        <v/>
      </c>
      <c r="X698" s="78" t="str">
        <f t="array" ref="X698">IF(F698="","",_xlfn.XLOOKUP(F698,DATA!B:B,DATA!L:L,""))</f>
        <v/>
      </c>
    </row>
    <row r="699">
      <c r="A699" s="81"/>
      <c r="B699" s="79"/>
      <c r="C699" s="90"/>
      <c r="D699" s="82"/>
      <c r="E699" s="89"/>
      <c r="F699" s="83"/>
      <c r="G699" s="78"/>
      <c r="H699" s="64" t="str">
        <f t="array" ref="H699">_xlfn.XLOOKUP(G699,DATA!D:D,DATA!E:E,"")</f>
        <v/>
      </c>
      <c r="I699" s="84"/>
      <c r="J699" s="23"/>
      <c r="K699" s="23"/>
      <c r="L699" s="66" t="str">
        <f t="shared" si="1"/>
        <v/>
      </c>
      <c r="M699" s="77"/>
      <c r="N699" s="78"/>
      <c r="O699" s="66" t="str">
        <f>IF(M699="","",
 IF(M699="عدم پاسخ","بدون پاسخ",
 IF(L699="","اطلاعات ناقص",
 IF(L699&lt;=DATA!$M$1,"رعایت شده","رعایت نشده"))))</f>
        <v/>
      </c>
      <c r="P699" s="79"/>
      <c r="Q699" s="77"/>
      <c r="R699" s="79"/>
      <c r="S699" s="79"/>
      <c r="T699" s="78"/>
      <c r="U699" s="80"/>
      <c r="V699" s="78"/>
      <c r="W699" s="77" t="str">
        <f t="array" ref="W699">IF(D699="","",_xlfn.XLOOKUP(D699,DATA!B:B,DATA!L:L,""))</f>
        <v/>
      </c>
      <c r="X699" s="78" t="str">
        <f t="array" ref="X699">IF(F699="","",_xlfn.XLOOKUP(F699,DATA!B:B,DATA!L:L,""))</f>
        <v/>
      </c>
    </row>
    <row r="700">
      <c r="A700" s="81"/>
      <c r="B700" s="79"/>
      <c r="C700" s="90"/>
      <c r="D700" s="82"/>
      <c r="E700" s="89"/>
      <c r="F700" s="83"/>
      <c r="G700" s="78"/>
      <c r="H700" s="64" t="str">
        <f t="array" ref="H700">_xlfn.XLOOKUP(G700,DATA!D:D,DATA!E:E,"")</f>
        <v/>
      </c>
      <c r="I700" s="84"/>
      <c r="J700" s="23"/>
      <c r="K700" s="23"/>
      <c r="L700" s="66" t="str">
        <f t="shared" si="1"/>
        <v/>
      </c>
      <c r="M700" s="77"/>
      <c r="N700" s="78"/>
      <c r="O700" s="66" t="str">
        <f>IF(M700="","",
 IF(M700="عدم پاسخ","بدون پاسخ",
 IF(L700="","اطلاعات ناقص",
 IF(L700&lt;=DATA!$M$1,"رعایت شده","رعایت نشده"))))</f>
        <v/>
      </c>
      <c r="P700" s="79"/>
      <c r="Q700" s="77"/>
      <c r="R700" s="79"/>
      <c r="S700" s="79"/>
      <c r="T700" s="78"/>
      <c r="U700" s="80"/>
      <c r="V700" s="78"/>
      <c r="W700" s="77" t="str">
        <f t="array" ref="W700">IF(D700="","",_xlfn.XLOOKUP(D700,DATA!B:B,DATA!L:L,""))</f>
        <v/>
      </c>
      <c r="X700" s="78" t="str">
        <f t="array" ref="X700">IF(F700="","",_xlfn.XLOOKUP(F700,DATA!B:B,DATA!L:L,""))</f>
        <v/>
      </c>
    </row>
    <row r="701">
      <c r="A701" s="81"/>
      <c r="B701" s="79"/>
      <c r="C701" s="90"/>
      <c r="D701" s="82"/>
      <c r="E701" s="89"/>
      <c r="F701" s="83"/>
      <c r="G701" s="78"/>
      <c r="H701" s="64" t="str">
        <f t="array" ref="H701">_xlfn.XLOOKUP(G701,DATA!D:D,DATA!E:E,"")</f>
        <v/>
      </c>
      <c r="I701" s="84"/>
      <c r="J701" s="23"/>
      <c r="K701" s="23"/>
      <c r="L701" s="66" t="str">
        <f t="shared" si="1"/>
        <v/>
      </c>
      <c r="M701" s="77"/>
      <c r="N701" s="78"/>
      <c r="O701" s="66" t="str">
        <f>IF(M701="","",
 IF(M701="عدم پاسخ","بدون پاسخ",
 IF(L701="","اطلاعات ناقص",
 IF(L701&lt;=DATA!$M$1,"رعایت شده","رعایت نشده"))))</f>
        <v/>
      </c>
      <c r="P701" s="79"/>
      <c r="Q701" s="77"/>
      <c r="R701" s="79"/>
      <c r="S701" s="79"/>
      <c r="T701" s="78"/>
      <c r="U701" s="80"/>
      <c r="V701" s="78"/>
      <c r="W701" s="77" t="str">
        <f t="array" ref="W701">IF(D701="","",_xlfn.XLOOKUP(D701,DATA!B:B,DATA!L:L,""))</f>
        <v/>
      </c>
      <c r="X701" s="78" t="str">
        <f t="array" ref="X701">IF(F701="","",_xlfn.XLOOKUP(F701,DATA!B:B,DATA!L:L,""))</f>
        <v/>
      </c>
    </row>
    <row r="702">
      <c r="A702" s="81"/>
      <c r="B702" s="79"/>
      <c r="C702" s="90"/>
      <c r="D702" s="82"/>
      <c r="E702" s="89"/>
      <c r="F702" s="83"/>
      <c r="G702" s="78"/>
      <c r="H702" s="64" t="str">
        <f t="array" ref="H702">_xlfn.XLOOKUP(G702,DATA!D:D,DATA!E:E,"")</f>
        <v/>
      </c>
      <c r="I702" s="84"/>
      <c r="J702" s="23"/>
      <c r="K702" s="23"/>
      <c r="L702" s="66" t="str">
        <f t="shared" si="1"/>
        <v/>
      </c>
      <c r="M702" s="77"/>
      <c r="N702" s="78"/>
      <c r="O702" s="66" t="str">
        <f>IF(M702="","",
 IF(M702="عدم پاسخ","بدون پاسخ",
 IF(L702="","اطلاعات ناقص",
 IF(L702&lt;=DATA!$M$1,"رعایت شده","رعایت نشده"))))</f>
        <v/>
      </c>
      <c r="P702" s="79"/>
      <c r="Q702" s="77"/>
      <c r="R702" s="79"/>
      <c r="S702" s="79"/>
      <c r="T702" s="78"/>
      <c r="U702" s="80"/>
      <c r="V702" s="78"/>
      <c r="W702" s="77" t="str">
        <f t="array" ref="W702">IF(D702="","",_xlfn.XLOOKUP(D702,DATA!B:B,DATA!L:L,""))</f>
        <v/>
      </c>
      <c r="X702" s="78" t="str">
        <f t="array" ref="X702">IF(F702="","",_xlfn.XLOOKUP(F702,DATA!B:B,DATA!L:L,""))</f>
        <v/>
      </c>
    </row>
    <row r="703">
      <c r="A703" s="81"/>
      <c r="B703" s="79"/>
      <c r="C703" s="90"/>
      <c r="D703" s="82"/>
      <c r="E703" s="89"/>
      <c r="F703" s="83"/>
      <c r="G703" s="78"/>
      <c r="H703" s="64" t="str">
        <f t="array" ref="H703">_xlfn.XLOOKUP(G703,DATA!D:D,DATA!E:E,"")</f>
        <v/>
      </c>
      <c r="I703" s="84"/>
      <c r="J703" s="23"/>
      <c r="K703" s="23"/>
      <c r="L703" s="66" t="str">
        <f t="shared" si="1"/>
        <v/>
      </c>
      <c r="M703" s="77"/>
      <c r="N703" s="78"/>
      <c r="O703" s="66" t="str">
        <f>IF(M703="","",
 IF(M703="عدم پاسخ","بدون پاسخ",
 IF(L703="","اطلاعات ناقص",
 IF(L703&lt;=DATA!$M$1,"رعایت شده","رعایت نشده"))))</f>
        <v/>
      </c>
      <c r="P703" s="79"/>
      <c r="Q703" s="77"/>
      <c r="R703" s="79"/>
      <c r="S703" s="79"/>
      <c r="T703" s="78"/>
      <c r="U703" s="80"/>
      <c r="V703" s="78"/>
      <c r="W703" s="77" t="str">
        <f t="array" ref="W703">IF(D703="","",_xlfn.XLOOKUP(D703,DATA!B:B,DATA!L:L,""))</f>
        <v/>
      </c>
      <c r="X703" s="78" t="str">
        <f t="array" ref="X703">IF(F703="","",_xlfn.XLOOKUP(F703,DATA!B:B,DATA!L:L,""))</f>
        <v/>
      </c>
    </row>
    <row r="704">
      <c r="A704" s="81"/>
      <c r="B704" s="79"/>
      <c r="C704" s="90"/>
      <c r="D704" s="82"/>
      <c r="E704" s="89"/>
      <c r="F704" s="83"/>
      <c r="G704" s="78"/>
      <c r="H704" s="64" t="str">
        <f t="array" ref="H704">_xlfn.XLOOKUP(G704,DATA!D:D,DATA!E:E,"")</f>
        <v/>
      </c>
      <c r="I704" s="84"/>
      <c r="J704" s="23"/>
      <c r="K704" s="23"/>
      <c r="L704" s="66" t="str">
        <f t="shared" si="1"/>
        <v/>
      </c>
      <c r="M704" s="77"/>
      <c r="N704" s="78"/>
      <c r="O704" s="66" t="str">
        <f>IF(M704="","",
 IF(M704="عدم پاسخ","بدون پاسخ",
 IF(L704="","اطلاعات ناقص",
 IF(L704&lt;=DATA!$M$1,"رعایت شده","رعایت نشده"))))</f>
        <v/>
      </c>
      <c r="P704" s="79"/>
      <c r="Q704" s="77"/>
      <c r="R704" s="79"/>
      <c r="S704" s="79"/>
      <c r="T704" s="78"/>
      <c r="U704" s="80"/>
      <c r="V704" s="78"/>
      <c r="W704" s="77" t="str">
        <f t="array" ref="W704">IF(D704="","",_xlfn.XLOOKUP(D704,DATA!B:B,DATA!L:L,""))</f>
        <v/>
      </c>
      <c r="X704" s="78" t="str">
        <f t="array" ref="X704">IF(F704="","",_xlfn.XLOOKUP(F704,DATA!B:B,DATA!L:L,""))</f>
        <v/>
      </c>
    </row>
    <row r="705">
      <c r="A705" s="81"/>
      <c r="B705" s="79"/>
      <c r="C705" s="90"/>
      <c r="D705" s="82"/>
      <c r="E705" s="89"/>
      <c r="F705" s="83"/>
      <c r="G705" s="78"/>
      <c r="H705" s="64" t="str">
        <f t="array" ref="H705">_xlfn.XLOOKUP(G705,DATA!D:D,DATA!E:E,"")</f>
        <v/>
      </c>
      <c r="I705" s="84"/>
      <c r="J705" s="23"/>
      <c r="K705" s="23"/>
      <c r="L705" s="66" t="str">
        <f t="shared" si="1"/>
        <v/>
      </c>
      <c r="M705" s="77"/>
      <c r="N705" s="78"/>
      <c r="O705" s="66" t="str">
        <f>IF(M705="","",
 IF(M705="عدم پاسخ","بدون پاسخ",
 IF(L705="","اطلاعات ناقص",
 IF(L705&lt;=DATA!$M$1,"رعایت شده","رعایت نشده"))))</f>
        <v/>
      </c>
      <c r="P705" s="79"/>
      <c r="Q705" s="77"/>
      <c r="R705" s="79"/>
      <c r="S705" s="79"/>
      <c r="T705" s="78"/>
      <c r="U705" s="80"/>
      <c r="V705" s="78"/>
      <c r="W705" s="77" t="str">
        <f t="array" ref="W705">IF(D705="","",_xlfn.XLOOKUP(D705,DATA!B:B,DATA!L:L,""))</f>
        <v/>
      </c>
      <c r="X705" s="78" t="str">
        <f t="array" ref="X705">IF(F705="","",_xlfn.XLOOKUP(F705,DATA!B:B,DATA!L:L,""))</f>
        <v/>
      </c>
    </row>
    <row r="706">
      <c r="A706" s="81"/>
      <c r="B706" s="79"/>
      <c r="C706" s="90"/>
      <c r="D706" s="82"/>
      <c r="E706" s="89"/>
      <c r="F706" s="83"/>
      <c r="G706" s="78"/>
      <c r="H706" s="64" t="str">
        <f t="array" ref="H706">_xlfn.XLOOKUP(G706,DATA!D:D,DATA!E:E,"")</f>
        <v/>
      </c>
      <c r="I706" s="84"/>
      <c r="J706" s="23"/>
      <c r="K706" s="23"/>
      <c r="L706" s="66" t="str">
        <f t="shared" si="1"/>
        <v/>
      </c>
      <c r="M706" s="77"/>
      <c r="N706" s="78"/>
      <c r="O706" s="66" t="str">
        <f>IF(M706="","",
 IF(M706="عدم پاسخ","بدون پاسخ",
 IF(L706="","اطلاعات ناقص",
 IF(L706&lt;=DATA!$M$1,"رعایت شده","رعایت نشده"))))</f>
        <v/>
      </c>
      <c r="P706" s="79"/>
      <c r="Q706" s="77"/>
      <c r="R706" s="79"/>
      <c r="S706" s="79"/>
      <c r="T706" s="78"/>
      <c r="U706" s="80"/>
      <c r="V706" s="78"/>
      <c r="W706" s="77" t="str">
        <f t="array" ref="W706">IF(D706="","",_xlfn.XLOOKUP(D706,DATA!B:B,DATA!L:L,""))</f>
        <v/>
      </c>
      <c r="X706" s="78" t="str">
        <f t="array" ref="X706">IF(F706="","",_xlfn.XLOOKUP(F706,DATA!B:B,DATA!L:L,""))</f>
        <v/>
      </c>
    </row>
    <row r="707">
      <c r="A707" s="81"/>
      <c r="B707" s="79"/>
      <c r="C707" s="90"/>
      <c r="D707" s="82"/>
      <c r="E707" s="89"/>
      <c r="F707" s="83"/>
      <c r="G707" s="78"/>
      <c r="H707" s="64" t="str">
        <f t="array" ref="H707">_xlfn.XLOOKUP(G707,DATA!D:D,DATA!E:E,"")</f>
        <v/>
      </c>
      <c r="I707" s="84"/>
      <c r="J707" s="23"/>
      <c r="K707" s="23"/>
      <c r="L707" s="66" t="str">
        <f t="shared" si="1"/>
        <v/>
      </c>
      <c r="M707" s="77"/>
      <c r="N707" s="78"/>
      <c r="O707" s="66" t="str">
        <f>IF(M707="","",
 IF(M707="عدم پاسخ","بدون پاسخ",
 IF(L707="","اطلاعات ناقص",
 IF(L707&lt;=DATA!$M$1,"رعایت شده","رعایت نشده"))))</f>
        <v/>
      </c>
      <c r="P707" s="79"/>
      <c r="Q707" s="77"/>
      <c r="R707" s="79"/>
      <c r="S707" s="79"/>
      <c r="T707" s="78"/>
      <c r="U707" s="80"/>
      <c r="V707" s="78"/>
      <c r="W707" s="77" t="str">
        <f t="array" ref="W707">IF(D707="","",_xlfn.XLOOKUP(D707,DATA!B:B,DATA!L:L,""))</f>
        <v/>
      </c>
      <c r="X707" s="78" t="str">
        <f t="array" ref="X707">IF(F707="","",_xlfn.XLOOKUP(F707,DATA!B:B,DATA!L:L,""))</f>
        <v/>
      </c>
    </row>
    <row r="708">
      <c r="A708" s="81"/>
      <c r="B708" s="79"/>
      <c r="C708" s="90"/>
      <c r="D708" s="82"/>
      <c r="E708" s="89"/>
      <c r="F708" s="83"/>
      <c r="G708" s="78"/>
      <c r="H708" s="64" t="str">
        <f t="array" ref="H708">_xlfn.XLOOKUP(G708,DATA!D:D,DATA!E:E,"")</f>
        <v/>
      </c>
      <c r="I708" s="84"/>
      <c r="J708" s="23"/>
      <c r="K708" s="23"/>
      <c r="L708" s="66" t="str">
        <f t="shared" si="1"/>
        <v/>
      </c>
      <c r="M708" s="77"/>
      <c r="N708" s="78"/>
      <c r="O708" s="66" t="str">
        <f>IF(M708="","",
 IF(M708="عدم پاسخ","بدون پاسخ",
 IF(L708="","اطلاعات ناقص",
 IF(L708&lt;=DATA!$M$1,"رعایت شده","رعایت نشده"))))</f>
        <v/>
      </c>
      <c r="P708" s="79"/>
      <c r="Q708" s="77"/>
      <c r="R708" s="79"/>
      <c r="S708" s="79"/>
      <c r="T708" s="78"/>
      <c r="U708" s="80"/>
      <c r="V708" s="78"/>
      <c r="W708" s="77" t="str">
        <f t="array" ref="W708">IF(D708="","",_xlfn.XLOOKUP(D708,DATA!B:B,DATA!L:L,""))</f>
        <v/>
      </c>
      <c r="X708" s="78" t="str">
        <f t="array" ref="X708">IF(F708="","",_xlfn.XLOOKUP(F708,DATA!B:B,DATA!L:L,""))</f>
        <v/>
      </c>
    </row>
    <row r="709">
      <c r="A709" s="81"/>
      <c r="B709" s="79"/>
      <c r="C709" s="90"/>
      <c r="D709" s="82"/>
      <c r="E709" s="89"/>
      <c r="F709" s="83"/>
      <c r="G709" s="78"/>
      <c r="H709" s="64" t="str">
        <f t="array" ref="H709">_xlfn.XLOOKUP(G709,DATA!D:D,DATA!E:E,"")</f>
        <v/>
      </c>
      <c r="I709" s="84"/>
      <c r="J709" s="23"/>
      <c r="K709" s="23"/>
      <c r="L709" s="66" t="str">
        <f t="shared" si="1"/>
        <v/>
      </c>
      <c r="M709" s="77"/>
      <c r="N709" s="78"/>
      <c r="O709" s="66" t="str">
        <f>IF(M709="","",
 IF(M709="عدم پاسخ","بدون پاسخ",
 IF(L709="","اطلاعات ناقص",
 IF(L709&lt;=DATA!$M$1,"رعایت شده","رعایت نشده"))))</f>
        <v/>
      </c>
      <c r="P709" s="79"/>
      <c r="Q709" s="77"/>
      <c r="R709" s="79"/>
      <c r="S709" s="79"/>
      <c r="T709" s="78"/>
      <c r="U709" s="80"/>
      <c r="V709" s="78"/>
      <c r="W709" s="77" t="str">
        <f t="array" ref="W709">IF(D709="","",_xlfn.XLOOKUP(D709,DATA!B:B,DATA!L:L,""))</f>
        <v/>
      </c>
      <c r="X709" s="78" t="str">
        <f t="array" ref="X709">IF(F709="","",_xlfn.XLOOKUP(F709,DATA!B:B,DATA!L:L,""))</f>
        <v/>
      </c>
    </row>
    <row r="710">
      <c r="A710" s="81"/>
      <c r="B710" s="79"/>
      <c r="C710" s="90"/>
      <c r="D710" s="82"/>
      <c r="E710" s="89"/>
      <c r="F710" s="83"/>
      <c r="G710" s="78"/>
      <c r="H710" s="64" t="str">
        <f t="array" ref="H710">_xlfn.XLOOKUP(G710,DATA!D:D,DATA!E:E,"")</f>
        <v/>
      </c>
      <c r="I710" s="84"/>
      <c r="J710" s="23"/>
      <c r="K710" s="23"/>
      <c r="L710" s="66" t="str">
        <f t="shared" si="1"/>
        <v/>
      </c>
      <c r="M710" s="77"/>
      <c r="N710" s="78"/>
      <c r="O710" s="66" t="str">
        <f>IF(M710="","",
 IF(M710="عدم پاسخ","بدون پاسخ",
 IF(L710="","اطلاعات ناقص",
 IF(L710&lt;=DATA!$M$1,"رعایت شده","رعایت نشده"))))</f>
        <v/>
      </c>
      <c r="P710" s="79"/>
      <c r="Q710" s="77"/>
      <c r="R710" s="79"/>
      <c r="S710" s="79"/>
      <c r="T710" s="78"/>
      <c r="U710" s="80"/>
      <c r="V710" s="78"/>
      <c r="W710" s="77" t="str">
        <f t="array" ref="W710">IF(D710="","",_xlfn.XLOOKUP(D710,DATA!B:B,DATA!L:L,""))</f>
        <v/>
      </c>
      <c r="X710" s="78" t="str">
        <f t="array" ref="X710">IF(F710="","",_xlfn.XLOOKUP(F710,DATA!B:B,DATA!L:L,""))</f>
        <v/>
      </c>
    </row>
    <row r="711">
      <c r="A711" s="81"/>
      <c r="B711" s="79"/>
      <c r="C711" s="90"/>
      <c r="D711" s="82"/>
      <c r="E711" s="89"/>
      <c r="F711" s="83"/>
      <c r="G711" s="78"/>
      <c r="H711" s="64" t="str">
        <f t="array" ref="H711">_xlfn.XLOOKUP(G711,DATA!D:D,DATA!E:E,"")</f>
        <v/>
      </c>
      <c r="I711" s="84"/>
      <c r="J711" s="23"/>
      <c r="K711" s="23"/>
      <c r="L711" s="66" t="str">
        <f t="shared" si="1"/>
        <v/>
      </c>
      <c r="M711" s="77"/>
      <c r="N711" s="78"/>
      <c r="O711" s="66" t="str">
        <f>IF(M711="","",
 IF(M711="عدم پاسخ","بدون پاسخ",
 IF(L711="","اطلاعات ناقص",
 IF(L711&lt;=DATA!$M$1,"رعایت شده","رعایت نشده"))))</f>
        <v/>
      </c>
      <c r="P711" s="79"/>
      <c r="Q711" s="77"/>
      <c r="R711" s="79"/>
      <c r="S711" s="79"/>
      <c r="T711" s="78"/>
      <c r="U711" s="80"/>
      <c r="V711" s="78"/>
      <c r="W711" s="77" t="str">
        <f t="array" ref="W711">IF(D711="","",_xlfn.XLOOKUP(D711,DATA!B:B,DATA!L:L,""))</f>
        <v/>
      </c>
      <c r="X711" s="78" t="str">
        <f t="array" ref="X711">IF(F711="","",_xlfn.XLOOKUP(F711,DATA!B:B,DATA!L:L,""))</f>
        <v/>
      </c>
    </row>
    <row r="712">
      <c r="A712" s="81"/>
      <c r="B712" s="79"/>
      <c r="C712" s="90"/>
      <c r="D712" s="82"/>
      <c r="E712" s="89"/>
      <c r="F712" s="83"/>
      <c r="G712" s="78"/>
      <c r="H712" s="64" t="str">
        <f t="array" ref="H712">_xlfn.XLOOKUP(G712,DATA!D:D,DATA!E:E,"")</f>
        <v/>
      </c>
      <c r="I712" s="84"/>
      <c r="J712" s="23"/>
      <c r="K712" s="23"/>
      <c r="L712" s="66" t="str">
        <f t="shared" si="1"/>
        <v/>
      </c>
      <c r="M712" s="77"/>
      <c r="N712" s="78"/>
      <c r="O712" s="66" t="str">
        <f>IF(M712="","",
 IF(M712="عدم پاسخ","بدون پاسخ",
 IF(L712="","اطلاعات ناقص",
 IF(L712&lt;=DATA!$M$1,"رعایت شده","رعایت نشده"))))</f>
        <v/>
      </c>
      <c r="P712" s="79"/>
      <c r="Q712" s="77"/>
      <c r="R712" s="79"/>
      <c r="S712" s="79"/>
      <c r="T712" s="78"/>
      <c r="U712" s="80"/>
      <c r="V712" s="78"/>
      <c r="W712" s="77" t="str">
        <f t="array" ref="W712">IF(D712="","",_xlfn.XLOOKUP(D712,DATA!B:B,DATA!L:L,""))</f>
        <v/>
      </c>
      <c r="X712" s="78" t="str">
        <f t="array" ref="X712">IF(F712="","",_xlfn.XLOOKUP(F712,DATA!B:B,DATA!L:L,""))</f>
        <v/>
      </c>
    </row>
    <row r="713">
      <c r="A713" s="81"/>
      <c r="B713" s="79"/>
      <c r="C713" s="90"/>
      <c r="D713" s="82"/>
      <c r="E713" s="89"/>
      <c r="F713" s="83"/>
      <c r="G713" s="78"/>
      <c r="H713" s="64" t="str">
        <f t="array" ref="H713">_xlfn.XLOOKUP(G713,DATA!D:D,DATA!E:E,"")</f>
        <v/>
      </c>
      <c r="I713" s="84"/>
      <c r="J713" s="23"/>
      <c r="K713" s="23"/>
      <c r="L713" s="66" t="str">
        <f t="shared" si="1"/>
        <v/>
      </c>
      <c r="M713" s="77"/>
      <c r="N713" s="78"/>
      <c r="O713" s="66" t="str">
        <f>IF(M713="","",
 IF(M713="عدم پاسخ","بدون پاسخ",
 IF(L713="","اطلاعات ناقص",
 IF(L713&lt;=DATA!$M$1,"رعایت شده","رعایت نشده"))))</f>
        <v/>
      </c>
      <c r="P713" s="79"/>
      <c r="Q713" s="77"/>
      <c r="R713" s="79"/>
      <c r="S713" s="79"/>
      <c r="T713" s="78"/>
      <c r="U713" s="80"/>
      <c r="V713" s="78"/>
      <c r="W713" s="77" t="str">
        <f t="array" ref="W713">IF(D713="","",_xlfn.XLOOKUP(D713,DATA!B:B,DATA!L:L,""))</f>
        <v/>
      </c>
      <c r="X713" s="78" t="str">
        <f t="array" ref="X713">IF(F713="","",_xlfn.XLOOKUP(F713,DATA!B:B,DATA!L:L,""))</f>
        <v/>
      </c>
    </row>
    <row r="714">
      <c r="A714" s="81"/>
      <c r="B714" s="79"/>
      <c r="C714" s="90"/>
      <c r="D714" s="82"/>
      <c r="E714" s="89"/>
      <c r="F714" s="83"/>
      <c r="G714" s="78"/>
      <c r="H714" s="64" t="str">
        <f t="array" ref="H714">_xlfn.XLOOKUP(G714,DATA!D:D,DATA!E:E,"")</f>
        <v/>
      </c>
      <c r="I714" s="84"/>
      <c r="J714" s="23"/>
      <c r="K714" s="23"/>
      <c r="L714" s="66" t="str">
        <f t="shared" si="1"/>
        <v/>
      </c>
      <c r="M714" s="77"/>
      <c r="N714" s="78"/>
      <c r="O714" s="66" t="str">
        <f>IF(M714="","",
 IF(M714="عدم پاسخ","بدون پاسخ",
 IF(L714="","اطلاعات ناقص",
 IF(L714&lt;=DATA!$M$1,"رعایت شده","رعایت نشده"))))</f>
        <v/>
      </c>
      <c r="P714" s="79"/>
      <c r="Q714" s="77"/>
      <c r="R714" s="79"/>
      <c r="S714" s="79"/>
      <c r="T714" s="78"/>
      <c r="U714" s="80"/>
      <c r="V714" s="78"/>
      <c r="W714" s="77" t="str">
        <f t="array" ref="W714">IF(D714="","",_xlfn.XLOOKUP(D714,DATA!B:B,DATA!L:L,""))</f>
        <v/>
      </c>
      <c r="X714" s="78" t="str">
        <f t="array" ref="X714">IF(F714="","",_xlfn.XLOOKUP(F714,DATA!B:B,DATA!L:L,""))</f>
        <v/>
      </c>
    </row>
    <row r="715">
      <c r="A715" s="81"/>
      <c r="B715" s="79"/>
      <c r="C715" s="90"/>
      <c r="D715" s="82"/>
      <c r="E715" s="89"/>
      <c r="F715" s="83"/>
      <c r="G715" s="78"/>
      <c r="H715" s="64" t="str">
        <f t="array" ref="H715">_xlfn.XLOOKUP(G715,DATA!D:D,DATA!E:E,"")</f>
        <v/>
      </c>
      <c r="I715" s="84"/>
      <c r="J715" s="23"/>
      <c r="K715" s="23"/>
      <c r="L715" s="66" t="str">
        <f t="shared" si="1"/>
        <v/>
      </c>
      <c r="M715" s="77"/>
      <c r="N715" s="78"/>
      <c r="O715" s="66" t="str">
        <f>IF(M715="","",
 IF(M715="عدم پاسخ","بدون پاسخ",
 IF(L715="","اطلاعات ناقص",
 IF(L715&lt;=DATA!$M$1,"رعایت شده","رعایت نشده"))))</f>
        <v/>
      </c>
      <c r="P715" s="79"/>
      <c r="Q715" s="77"/>
      <c r="R715" s="79"/>
      <c r="S715" s="79"/>
      <c r="T715" s="78"/>
      <c r="U715" s="80"/>
      <c r="V715" s="78"/>
      <c r="W715" s="77" t="str">
        <f t="array" ref="W715">IF(D715="","",_xlfn.XLOOKUP(D715,DATA!B:B,DATA!L:L,""))</f>
        <v/>
      </c>
      <c r="X715" s="78" t="str">
        <f t="array" ref="X715">IF(F715="","",_xlfn.XLOOKUP(F715,DATA!B:B,DATA!L:L,""))</f>
        <v/>
      </c>
    </row>
    <row r="716">
      <c r="A716" s="81"/>
      <c r="B716" s="79"/>
      <c r="C716" s="90"/>
      <c r="D716" s="82"/>
      <c r="E716" s="89"/>
      <c r="F716" s="83"/>
      <c r="G716" s="78"/>
      <c r="H716" s="64" t="str">
        <f t="array" ref="H716">_xlfn.XLOOKUP(G716,DATA!D:D,DATA!E:E,"")</f>
        <v/>
      </c>
      <c r="I716" s="84"/>
      <c r="J716" s="23"/>
      <c r="K716" s="23"/>
      <c r="L716" s="66" t="str">
        <f t="shared" si="1"/>
        <v/>
      </c>
      <c r="M716" s="77"/>
      <c r="N716" s="78"/>
      <c r="O716" s="66" t="str">
        <f>IF(M716="","",
 IF(M716="عدم پاسخ","بدون پاسخ",
 IF(L716="","اطلاعات ناقص",
 IF(L716&lt;=DATA!$M$1,"رعایت شده","رعایت نشده"))))</f>
        <v/>
      </c>
      <c r="P716" s="79"/>
      <c r="Q716" s="77"/>
      <c r="R716" s="79"/>
      <c r="S716" s="79"/>
      <c r="T716" s="78"/>
      <c r="U716" s="80"/>
      <c r="V716" s="78"/>
      <c r="W716" s="77" t="str">
        <f t="array" ref="W716">IF(D716="","",_xlfn.XLOOKUP(D716,DATA!B:B,DATA!L:L,""))</f>
        <v/>
      </c>
      <c r="X716" s="78" t="str">
        <f t="array" ref="X716">IF(F716="","",_xlfn.XLOOKUP(F716,DATA!B:B,DATA!L:L,""))</f>
        <v/>
      </c>
    </row>
    <row r="717">
      <c r="A717" s="81"/>
      <c r="B717" s="79"/>
      <c r="C717" s="90"/>
      <c r="D717" s="82"/>
      <c r="E717" s="89"/>
      <c r="F717" s="83"/>
      <c r="G717" s="78"/>
      <c r="H717" s="64" t="str">
        <f t="array" ref="H717">_xlfn.XLOOKUP(G717,DATA!D:D,DATA!E:E,"")</f>
        <v/>
      </c>
      <c r="I717" s="84"/>
      <c r="J717" s="23"/>
      <c r="K717" s="23"/>
      <c r="L717" s="66" t="str">
        <f t="shared" si="1"/>
        <v/>
      </c>
      <c r="M717" s="77"/>
      <c r="N717" s="78"/>
      <c r="O717" s="66" t="str">
        <f>IF(M717="","",
 IF(M717="عدم پاسخ","بدون پاسخ",
 IF(L717="","اطلاعات ناقص",
 IF(L717&lt;=DATA!$M$1,"رعایت شده","رعایت نشده"))))</f>
        <v/>
      </c>
      <c r="P717" s="79"/>
      <c r="Q717" s="77"/>
      <c r="R717" s="79"/>
      <c r="S717" s="79"/>
      <c r="T717" s="78"/>
      <c r="U717" s="80"/>
      <c r="V717" s="78"/>
      <c r="W717" s="77" t="str">
        <f t="array" ref="W717">IF(D717="","",_xlfn.XLOOKUP(D717,DATA!B:B,DATA!L:L,""))</f>
        <v/>
      </c>
      <c r="X717" s="78" t="str">
        <f t="array" ref="X717">IF(F717="","",_xlfn.XLOOKUP(F717,DATA!B:B,DATA!L:L,""))</f>
        <v/>
      </c>
    </row>
    <row r="718">
      <c r="A718" s="81"/>
      <c r="B718" s="79"/>
      <c r="C718" s="90"/>
      <c r="D718" s="82"/>
      <c r="E718" s="89"/>
      <c r="F718" s="83"/>
      <c r="G718" s="78"/>
      <c r="H718" s="64" t="str">
        <f t="array" ref="H718">_xlfn.XLOOKUP(G718,DATA!D:D,DATA!E:E,"")</f>
        <v/>
      </c>
      <c r="I718" s="84"/>
      <c r="J718" s="23"/>
      <c r="K718" s="23"/>
      <c r="L718" s="66" t="str">
        <f t="shared" si="1"/>
        <v/>
      </c>
      <c r="M718" s="77"/>
      <c r="N718" s="78"/>
      <c r="O718" s="66" t="str">
        <f>IF(M718="","",
 IF(M718="عدم پاسخ","بدون پاسخ",
 IF(L718="","اطلاعات ناقص",
 IF(L718&lt;=DATA!$M$1,"رعایت شده","رعایت نشده"))))</f>
        <v/>
      </c>
      <c r="P718" s="79"/>
      <c r="Q718" s="77"/>
      <c r="R718" s="79"/>
      <c r="S718" s="79"/>
      <c r="T718" s="78"/>
      <c r="U718" s="80"/>
      <c r="V718" s="78"/>
      <c r="W718" s="77" t="str">
        <f t="array" ref="W718">IF(D718="","",_xlfn.XLOOKUP(D718,DATA!B:B,DATA!L:L,""))</f>
        <v/>
      </c>
      <c r="X718" s="78" t="str">
        <f t="array" ref="X718">IF(F718="","",_xlfn.XLOOKUP(F718,DATA!B:B,DATA!L:L,""))</f>
        <v/>
      </c>
    </row>
    <row r="719">
      <c r="A719" s="81"/>
      <c r="B719" s="79"/>
      <c r="C719" s="90"/>
      <c r="D719" s="82"/>
      <c r="E719" s="89"/>
      <c r="F719" s="83"/>
      <c r="G719" s="78"/>
      <c r="H719" s="64" t="str">
        <f t="array" ref="H719">_xlfn.XLOOKUP(G719,DATA!D:D,DATA!E:E,"")</f>
        <v/>
      </c>
      <c r="I719" s="84"/>
      <c r="J719" s="23"/>
      <c r="K719" s="23"/>
      <c r="L719" s="66" t="str">
        <f t="shared" si="1"/>
        <v/>
      </c>
      <c r="M719" s="77"/>
      <c r="N719" s="78"/>
      <c r="O719" s="66" t="str">
        <f>IF(M719="","",
 IF(M719="عدم پاسخ","بدون پاسخ",
 IF(L719="","اطلاعات ناقص",
 IF(L719&lt;=DATA!$M$1,"رعایت شده","رعایت نشده"))))</f>
        <v/>
      </c>
      <c r="P719" s="79"/>
      <c r="Q719" s="77"/>
      <c r="R719" s="79"/>
      <c r="S719" s="79"/>
      <c r="T719" s="78"/>
      <c r="U719" s="80"/>
      <c r="V719" s="78"/>
      <c r="W719" s="77" t="str">
        <f t="array" ref="W719">IF(D719="","",_xlfn.XLOOKUP(D719,DATA!B:B,DATA!L:L,""))</f>
        <v/>
      </c>
      <c r="X719" s="78" t="str">
        <f t="array" ref="X719">IF(F719="","",_xlfn.XLOOKUP(F719,DATA!B:B,DATA!L:L,""))</f>
        <v/>
      </c>
    </row>
    <row r="720">
      <c r="A720" s="81"/>
      <c r="B720" s="79"/>
      <c r="C720" s="90"/>
      <c r="D720" s="82"/>
      <c r="E720" s="89"/>
      <c r="F720" s="83"/>
      <c r="G720" s="78"/>
      <c r="H720" s="64" t="str">
        <f t="array" ref="H720">_xlfn.XLOOKUP(G720,DATA!D:D,DATA!E:E,"")</f>
        <v/>
      </c>
      <c r="I720" s="84"/>
      <c r="J720" s="23"/>
      <c r="K720" s="23"/>
      <c r="L720" s="66" t="str">
        <f t="shared" si="1"/>
        <v/>
      </c>
      <c r="M720" s="77"/>
      <c r="N720" s="78"/>
      <c r="O720" s="66" t="str">
        <f>IF(M720="","",
 IF(M720="عدم پاسخ","بدون پاسخ",
 IF(L720="","اطلاعات ناقص",
 IF(L720&lt;=DATA!$M$1,"رعایت شده","رعایت نشده"))))</f>
        <v/>
      </c>
      <c r="P720" s="79"/>
      <c r="Q720" s="77"/>
      <c r="R720" s="79"/>
      <c r="S720" s="79"/>
      <c r="T720" s="78"/>
      <c r="U720" s="80"/>
      <c r="V720" s="78"/>
      <c r="W720" s="77" t="str">
        <f t="array" ref="W720">IF(D720="","",_xlfn.XLOOKUP(D720,DATA!B:B,DATA!L:L,""))</f>
        <v/>
      </c>
      <c r="X720" s="78" t="str">
        <f t="array" ref="X720">IF(F720="","",_xlfn.XLOOKUP(F720,DATA!B:B,DATA!L:L,""))</f>
        <v/>
      </c>
    </row>
    <row r="721">
      <c r="A721" s="81"/>
      <c r="B721" s="79"/>
      <c r="C721" s="90"/>
      <c r="D721" s="82"/>
      <c r="E721" s="89"/>
      <c r="F721" s="83"/>
      <c r="G721" s="78"/>
      <c r="H721" s="64" t="str">
        <f t="array" ref="H721">_xlfn.XLOOKUP(G721,DATA!D:D,DATA!E:E,"")</f>
        <v/>
      </c>
      <c r="I721" s="84"/>
      <c r="J721" s="23"/>
      <c r="K721" s="23"/>
      <c r="L721" s="66" t="str">
        <f t="shared" si="1"/>
        <v/>
      </c>
      <c r="M721" s="77"/>
      <c r="N721" s="78"/>
      <c r="O721" s="66" t="str">
        <f>IF(M721="","",
 IF(M721="عدم پاسخ","بدون پاسخ",
 IF(L721="","اطلاعات ناقص",
 IF(L721&lt;=DATA!$M$1,"رعایت شده","رعایت نشده"))))</f>
        <v/>
      </c>
      <c r="P721" s="79"/>
      <c r="Q721" s="77"/>
      <c r="R721" s="79"/>
      <c r="S721" s="79"/>
      <c r="T721" s="78"/>
      <c r="U721" s="80"/>
      <c r="V721" s="78"/>
      <c r="W721" s="77" t="str">
        <f t="array" ref="W721">IF(D721="","",_xlfn.XLOOKUP(D721,DATA!B:B,DATA!L:L,""))</f>
        <v/>
      </c>
      <c r="X721" s="78" t="str">
        <f t="array" ref="X721">IF(F721="","",_xlfn.XLOOKUP(F721,DATA!B:B,DATA!L:L,""))</f>
        <v/>
      </c>
    </row>
    <row r="722">
      <c r="A722" s="81"/>
      <c r="B722" s="79"/>
      <c r="C722" s="90"/>
      <c r="D722" s="82"/>
      <c r="E722" s="89"/>
      <c r="F722" s="83"/>
      <c r="G722" s="78"/>
      <c r="H722" s="64" t="str">
        <f t="array" ref="H722">_xlfn.XLOOKUP(G722,DATA!D:D,DATA!E:E,"")</f>
        <v/>
      </c>
      <c r="I722" s="84"/>
      <c r="J722" s="23"/>
      <c r="K722" s="23"/>
      <c r="L722" s="66" t="str">
        <f t="shared" si="1"/>
        <v/>
      </c>
      <c r="M722" s="77"/>
      <c r="N722" s="78"/>
      <c r="O722" s="66" t="str">
        <f>IF(M722="","",
 IF(M722="عدم پاسخ","بدون پاسخ",
 IF(L722="","اطلاعات ناقص",
 IF(L722&lt;=DATA!$M$1,"رعایت شده","رعایت نشده"))))</f>
        <v/>
      </c>
      <c r="P722" s="79"/>
      <c r="Q722" s="77"/>
      <c r="R722" s="79"/>
      <c r="S722" s="79"/>
      <c r="T722" s="78"/>
      <c r="U722" s="80"/>
      <c r="V722" s="78"/>
      <c r="W722" s="77" t="str">
        <f t="array" ref="W722">IF(D722="","",_xlfn.XLOOKUP(D722,DATA!B:B,DATA!L:L,""))</f>
        <v/>
      </c>
      <c r="X722" s="78" t="str">
        <f t="array" ref="X722">IF(F722="","",_xlfn.XLOOKUP(F722,DATA!B:B,DATA!L:L,""))</f>
        <v/>
      </c>
    </row>
    <row r="723">
      <c r="A723" s="81"/>
      <c r="B723" s="79"/>
      <c r="C723" s="90"/>
      <c r="D723" s="82"/>
      <c r="E723" s="89"/>
      <c r="F723" s="83"/>
      <c r="G723" s="78"/>
      <c r="H723" s="64" t="str">
        <f t="array" ref="H723">_xlfn.XLOOKUP(G723,DATA!D:D,DATA!E:E,"")</f>
        <v/>
      </c>
      <c r="I723" s="84"/>
      <c r="J723" s="23"/>
      <c r="K723" s="23"/>
      <c r="L723" s="66" t="str">
        <f t="shared" si="1"/>
        <v/>
      </c>
      <c r="M723" s="77"/>
      <c r="N723" s="78"/>
      <c r="O723" s="66" t="str">
        <f>IF(M723="","",
 IF(M723="عدم پاسخ","بدون پاسخ",
 IF(L723="","اطلاعات ناقص",
 IF(L723&lt;=DATA!$M$1,"رعایت شده","رعایت نشده"))))</f>
        <v/>
      </c>
      <c r="P723" s="79"/>
      <c r="Q723" s="77"/>
      <c r="R723" s="79"/>
      <c r="S723" s="79"/>
      <c r="T723" s="78"/>
      <c r="U723" s="80"/>
      <c r="V723" s="78"/>
      <c r="W723" s="77" t="str">
        <f t="array" ref="W723">IF(D723="","",_xlfn.XLOOKUP(D723,DATA!B:B,DATA!L:L,""))</f>
        <v/>
      </c>
      <c r="X723" s="78" t="str">
        <f t="array" ref="X723">IF(F723="","",_xlfn.XLOOKUP(F723,DATA!B:B,DATA!L:L,""))</f>
        <v/>
      </c>
    </row>
    <row r="724">
      <c r="A724" s="81"/>
      <c r="B724" s="79"/>
      <c r="C724" s="90"/>
      <c r="D724" s="82"/>
      <c r="E724" s="89"/>
      <c r="F724" s="83"/>
      <c r="G724" s="78"/>
      <c r="H724" s="64" t="str">
        <f t="array" ref="H724">_xlfn.XLOOKUP(G724,DATA!D:D,DATA!E:E,"")</f>
        <v/>
      </c>
      <c r="I724" s="84"/>
      <c r="J724" s="23"/>
      <c r="K724" s="23"/>
      <c r="L724" s="66" t="str">
        <f t="shared" si="1"/>
        <v/>
      </c>
      <c r="M724" s="77"/>
      <c r="N724" s="78"/>
      <c r="O724" s="66" t="str">
        <f>IF(M724="","",
 IF(M724="عدم پاسخ","بدون پاسخ",
 IF(L724="","اطلاعات ناقص",
 IF(L724&lt;=DATA!$M$1,"رعایت شده","رعایت نشده"))))</f>
        <v/>
      </c>
      <c r="P724" s="79"/>
      <c r="Q724" s="77"/>
      <c r="R724" s="79"/>
      <c r="S724" s="79"/>
      <c r="T724" s="78"/>
      <c r="U724" s="80"/>
      <c r="V724" s="78"/>
      <c r="W724" s="77" t="str">
        <f t="array" ref="W724">IF(D724="","",_xlfn.XLOOKUP(D724,DATA!B:B,DATA!L:L,""))</f>
        <v/>
      </c>
      <c r="X724" s="78" t="str">
        <f t="array" ref="X724">IF(F724="","",_xlfn.XLOOKUP(F724,DATA!B:B,DATA!L:L,""))</f>
        <v/>
      </c>
    </row>
    <row r="725">
      <c r="A725" s="81"/>
      <c r="B725" s="79"/>
      <c r="C725" s="90"/>
      <c r="D725" s="82"/>
      <c r="E725" s="89"/>
      <c r="F725" s="83"/>
      <c r="G725" s="78"/>
      <c r="H725" s="64" t="str">
        <f t="array" ref="H725">_xlfn.XLOOKUP(G725,DATA!D:D,DATA!E:E,"")</f>
        <v/>
      </c>
      <c r="I725" s="84"/>
      <c r="J725" s="23"/>
      <c r="K725" s="23"/>
      <c r="L725" s="66" t="str">
        <f t="shared" si="1"/>
        <v/>
      </c>
      <c r="M725" s="77"/>
      <c r="N725" s="78"/>
      <c r="O725" s="66" t="str">
        <f>IF(M725="","",
 IF(M725="عدم پاسخ","بدون پاسخ",
 IF(L725="","اطلاعات ناقص",
 IF(L725&lt;=DATA!$M$1,"رعایت شده","رعایت نشده"))))</f>
        <v/>
      </c>
      <c r="P725" s="79"/>
      <c r="Q725" s="77"/>
      <c r="R725" s="79"/>
      <c r="S725" s="79"/>
      <c r="T725" s="78"/>
      <c r="U725" s="80"/>
      <c r="V725" s="78"/>
      <c r="W725" s="77" t="str">
        <f t="array" ref="W725">IF(D725="","",_xlfn.XLOOKUP(D725,DATA!B:B,DATA!L:L,""))</f>
        <v/>
      </c>
      <c r="X725" s="78" t="str">
        <f t="array" ref="X725">IF(F725="","",_xlfn.XLOOKUP(F725,DATA!B:B,DATA!L:L,""))</f>
        <v/>
      </c>
    </row>
    <row r="726">
      <c r="A726" s="81"/>
      <c r="B726" s="79"/>
      <c r="C726" s="90"/>
      <c r="D726" s="82"/>
      <c r="E726" s="89"/>
      <c r="F726" s="83"/>
      <c r="G726" s="78"/>
      <c r="H726" s="64" t="str">
        <f t="array" ref="H726">_xlfn.XLOOKUP(G726,DATA!D:D,DATA!E:E,"")</f>
        <v/>
      </c>
      <c r="I726" s="84"/>
      <c r="J726" s="23"/>
      <c r="K726" s="23"/>
      <c r="L726" s="66" t="str">
        <f t="shared" si="1"/>
        <v/>
      </c>
      <c r="M726" s="77"/>
      <c r="N726" s="78"/>
      <c r="O726" s="66" t="str">
        <f>IF(M726="","",
 IF(M726="عدم پاسخ","بدون پاسخ",
 IF(L726="","اطلاعات ناقص",
 IF(L726&lt;=DATA!$M$1,"رعایت شده","رعایت نشده"))))</f>
        <v/>
      </c>
      <c r="P726" s="79"/>
      <c r="Q726" s="77"/>
      <c r="R726" s="79"/>
      <c r="S726" s="79"/>
      <c r="T726" s="78"/>
      <c r="U726" s="80"/>
      <c r="V726" s="78"/>
      <c r="W726" s="77" t="str">
        <f t="array" ref="W726">IF(D726="","",_xlfn.XLOOKUP(D726,DATA!B:B,DATA!L:L,""))</f>
        <v/>
      </c>
      <c r="X726" s="78" t="str">
        <f t="array" ref="X726">IF(F726="","",_xlfn.XLOOKUP(F726,DATA!B:B,DATA!L:L,""))</f>
        <v/>
      </c>
    </row>
    <row r="727">
      <c r="A727" s="81"/>
      <c r="B727" s="79"/>
      <c r="C727" s="90"/>
      <c r="D727" s="82"/>
      <c r="E727" s="89"/>
      <c r="F727" s="83"/>
      <c r="G727" s="78"/>
      <c r="H727" s="64" t="str">
        <f t="array" ref="H727">_xlfn.XLOOKUP(G727,DATA!D:D,DATA!E:E,"")</f>
        <v/>
      </c>
      <c r="I727" s="84"/>
      <c r="J727" s="23"/>
      <c r="K727" s="23"/>
      <c r="L727" s="66" t="str">
        <f t="shared" si="1"/>
        <v/>
      </c>
      <c r="M727" s="77"/>
      <c r="N727" s="78"/>
      <c r="O727" s="66" t="str">
        <f>IF(M727="","",
 IF(M727="عدم پاسخ","بدون پاسخ",
 IF(L727="","اطلاعات ناقص",
 IF(L727&lt;=DATA!$M$1,"رعایت شده","رعایت نشده"))))</f>
        <v/>
      </c>
      <c r="P727" s="79"/>
      <c r="Q727" s="77"/>
      <c r="R727" s="79"/>
      <c r="S727" s="79"/>
      <c r="T727" s="78"/>
      <c r="U727" s="80"/>
      <c r="V727" s="78"/>
      <c r="W727" s="77" t="str">
        <f t="array" ref="W727">IF(D727="","",_xlfn.XLOOKUP(D727,DATA!B:B,DATA!L:L,""))</f>
        <v/>
      </c>
      <c r="X727" s="78" t="str">
        <f t="array" ref="X727">IF(F727="","",_xlfn.XLOOKUP(F727,DATA!B:B,DATA!L:L,""))</f>
        <v/>
      </c>
    </row>
    <row r="728">
      <c r="A728" s="81"/>
      <c r="B728" s="79"/>
      <c r="C728" s="90"/>
      <c r="D728" s="82"/>
      <c r="E728" s="89"/>
      <c r="F728" s="83"/>
      <c r="G728" s="78"/>
      <c r="H728" s="64" t="str">
        <f t="array" ref="H728">_xlfn.XLOOKUP(G728,DATA!D:D,DATA!E:E,"")</f>
        <v/>
      </c>
      <c r="I728" s="84"/>
      <c r="J728" s="23"/>
      <c r="K728" s="23"/>
      <c r="L728" s="66" t="str">
        <f t="shared" si="1"/>
        <v/>
      </c>
      <c r="M728" s="77"/>
      <c r="N728" s="78"/>
      <c r="O728" s="66" t="str">
        <f>IF(M728="","",
 IF(M728="عدم پاسخ","بدون پاسخ",
 IF(L728="","اطلاعات ناقص",
 IF(L728&lt;=DATA!$M$1,"رعایت شده","رعایت نشده"))))</f>
        <v/>
      </c>
      <c r="P728" s="79"/>
      <c r="Q728" s="77"/>
      <c r="R728" s="79"/>
      <c r="S728" s="79"/>
      <c r="T728" s="78"/>
      <c r="U728" s="80"/>
      <c r="V728" s="78"/>
      <c r="W728" s="77" t="str">
        <f t="array" ref="W728">IF(D728="","",_xlfn.XLOOKUP(D728,DATA!B:B,DATA!L:L,""))</f>
        <v/>
      </c>
      <c r="X728" s="78" t="str">
        <f t="array" ref="X728">IF(F728="","",_xlfn.XLOOKUP(F728,DATA!B:B,DATA!L:L,""))</f>
        <v/>
      </c>
    </row>
    <row r="729">
      <c r="A729" s="81"/>
      <c r="B729" s="79"/>
      <c r="C729" s="90"/>
      <c r="D729" s="82"/>
      <c r="E729" s="89"/>
      <c r="F729" s="83"/>
      <c r="G729" s="78"/>
      <c r="H729" s="64" t="str">
        <f t="array" ref="H729">_xlfn.XLOOKUP(G729,DATA!D:D,DATA!E:E,"")</f>
        <v/>
      </c>
      <c r="I729" s="84"/>
      <c r="J729" s="23"/>
      <c r="K729" s="23"/>
      <c r="L729" s="66" t="str">
        <f t="shared" si="1"/>
        <v/>
      </c>
      <c r="M729" s="77"/>
      <c r="N729" s="78"/>
      <c r="O729" s="66" t="str">
        <f>IF(M729="","",
 IF(M729="عدم پاسخ","بدون پاسخ",
 IF(L729="","اطلاعات ناقص",
 IF(L729&lt;=DATA!$M$1,"رعایت شده","رعایت نشده"))))</f>
        <v/>
      </c>
      <c r="P729" s="79"/>
      <c r="Q729" s="77"/>
      <c r="R729" s="79"/>
      <c r="S729" s="79"/>
      <c r="T729" s="78"/>
      <c r="U729" s="80"/>
      <c r="V729" s="78"/>
      <c r="W729" s="77" t="str">
        <f t="array" ref="W729">IF(D729="","",_xlfn.XLOOKUP(D729,DATA!B:B,DATA!L:L,""))</f>
        <v/>
      </c>
      <c r="X729" s="78" t="str">
        <f t="array" ref="X729">IF(F729="","",_xlfn.XLOOKUP(F729,DATA!B:B,DATA!L:L,""))</f>
        <v/>
      </c>
    </row>
    <row r="730">
      <c r="A730" s="81"/>
      <c r="B730" s="79"/>
      <c r="C730" s="90"/>
      <c r="D730" s="82"/>
      <c r="E730" s="89"/>
      <c r="F730" s="83"/>
      <c r="G730" s="78"/>
      <c r="H730" s="64" t="str">
        <f t="array" ref="H730">_xlfn.XLOOKUP(G730,DATA!D:D,DATA!E:E,"")</f>
        <v/>
      </c>
      <c r="I730" s="84"/>
      <c r="J730" s="23"/>
      <c r="K730" s="23"/>
      <c r="L730" s="66" t="str">
        <f t="shared" si="1"/>
        <v/>
      </c>
      <c r="M730" s="77"/>
      <c r="N730" s="78"/>
      <c r="O730" s="66" t="str">
        <f>IF(M730="","",
 IF(M730="عدم پاسخ","بدون پاسخ",
 IF(L730="","اطلاعات ناقص",
 IF(L730&lt;=DATA!$M$1,"رعایت شده","رعایت نشده"))))</f>
        <v/>
      </c>
      <c r="P730" s="79"/>
      <c r="Q730" s="77"/>
      <c r="R730" s="79"/>
      <c r="S730" s="79"/>
      <c r="T730" s="78"/>
      <c r="U730" s="80"/>
      <c r="V730" s="78"/>
      <c r="W730" s="77" t="str">
        <f t="array" ref="W730">IF(D730="","",_xlfn.XLOOKUP(D730,DATA!B:B,DATA!L:L,""))</f>
        <v/>
      </c>
      <c r="X730" s="78" t="str">
        <f t="array" ref="X730">IF(F730="","",_xlfn.XLOOKUP(F730,DATA!B:B,DATA!L:L,""))</f>
        <v/>
      </c>
    </row>
    <row r="731">
      <c r="A731" s="81"/>
      <c r="B731" s="79"/>
      <c r="C731" s="90"/>
      <c r="D731" s="82"/>
      <c r="E731" s="89"/>
      <c r="F731" s="83"/>
      <c r="G731" s="78"/>
      <c r="H731" s="64" t="str">
        <f t="array" ref="H731">_xlfn.XLOOKUP(G731,DATA!D:D,DATA!E:E,"")</f>
        <v/>
      </c>
      <c r="I731" s="84"/>
      <c r="J731" s="23"/>
      <c r="K731" s="23"/>
      <c r="L731" s="66" t="str">
        <f t="shared" si="1"/>
        <v/>
      </c>
      <c r="M731" s="77"/>
      <c r="N731" s="78"/>
      <c r="O731" s="66" t="str">
        <f>IF(M731="","",
 IF(M731="عدم پاسخ","بدون پاسخ",
 IF(L731="","اطلاعات ناقص",
 IF(L731&lt;=DATA!$M$1,"رعایت شده","رعایت نشده"))))</f>
        <v/>
      </c>
      <c r="P731" s="79"/>
      <c r="Q731" s="77"/>
      <c r="R731" s="79"/>
      <c r="S731" s="79"/>
      <c r="T731" s="78"/>
      <c r="U731" s="80"/>
      <c r="V731" s="78"/>
      <c r="W731" s="77" t="str">
        <f t="array" ref="W731">IF(D731="","",_xlfn.XLOOKUP(D731,DATA!B:B,DATA!L:L,""))</f>
        <v/>
      </c>
      <c r="X731" s="78" t="str">
        <f t="array" ref="X731">IF(F731="","",_xlfn.XLOOKUP(F731,DATA!B:B,DATA!L:L,""))</f>
        <v/>
      </c>
    </row>
    <row r="732">
      <c r="A732" s="81"/>
      <c r="B732" s="79"/>
      <c r="C732" s="90"/>
      <c r="D732" s="82"/>
      <c r="E732" s="89"/>
      <c r="F732" s="83"/>
      <c r="G732" s="78"/>
      <c r="H732" s="64" t="str">
        <f t="array" ref="H732">_xlfn.XLOOKUP(G732,DATA!D:D,DATA!E:E,"")</f>
        <v/>
      </c>
      <c r="I732" s="84"/>
      <c r="J732" s="23"/>
      <c r="K732" s="23"/>
      <c r="L732" s="66" t="str">
        <f t="shared" si="1"/>
        <v/>
      </c>
      <c r="M732" s="77"/>
      <c r="N732" s="78"/>
      <c r="O732" s="66" t="str">
        <f>IF(M732="","",
 IF(M732="عدم پاسخ","بدون پاسخ",
 IF(L732="","اطلاعات ناقص",
 IF(L732&lt;=DATA!$M$1,"رعایت شده","رعایت نشده"))))</f>
        <v/>
      </c>
      <c r="P732" s="79"/>
      <c r="Q732" s="77"/>
      <c r="R732" s="79"/>
      <c r="S732" s="79"/>
      <c r="T732" s="78"/>
      <c r="U732" s="80"/>
      <c r="V732" s="78"/>
      <c r="W732" s="77" t="str">
        <f t="array" ref="W732">IF(D732="","",_xlfn.XLOOKUP(D732,DATA!B:B,DATA!L:L,""))</f>
        <v/>
      </c>
      <c r="X732" s="78" t="str">
        <f t="array" ref="X732">IF(F732="","",_xlfn.XLOOKUP(F732,DATA!B:B,DATA!L:L,""))</f>
        <v/>
      </c>
    </row>
    <row r="733">
      <c r="A733" s="81"/>
      <c r="B733" s="79"/>
      <c r="C733" s="90"/>
      <c r="D733" s="82"/>
      <c r="E733" s="89"/>
      <c r="F733" s="83"/>
      <c r="G733" s="78"/>
      <c r="H733" s="64" t="str">
        <f t="array" ref="H733">_xlfn.XLOOKUP(G733,DATA!D:D,DATA!E:E,"")</f>
        <v/>
      </c>
      <c r="I733" s="84"/>
      <c r="J733" s="23"/>
      <c r="K733" s="23"/>
      <c r="L733" s="66" t="str">
        <f t="shared" si="1"/>
        <v/>
      </c>
      <c r="M733" s="77"/>
      <c r="N733" s="78"/>
      <c r="O733" s="66" t="str">
        <f>IF(M733="","",
 IF(M733="عدم پاسخ","بدون پاسخ",
 IF(L733="","اطلاعات ناقص",
 IF(L733&lt;=DATA!$M$1,"رعایت شده","رعایت نشده"))))</f>
        <v/>
      </c>
      <c r="P733" s="79"/>
      <c r="Q733" s="77"/>
      <c r="R733" s="79"/>
      <c r="S733" s="79"/>
      <c r="T733" s="78"/>
      <c r="U733" s="80"/>
      <c r="V733" s="78"/>
      <c r="W733" s="77" t="str">
        <f t="array" ref="W733">IF(D733="","",_xlfn.XLOOKUP(D733,DATA!B:B,DATA!L:L,""))</f>
        <v/>
      </c>
      <c r="X733" s="78" t="str">
        <f t="array" ref="X733">IF(F733="","",_xlfn.XLOOKUP(F733,DATA!B:B,DATA!L:L,""))</f>
        <v/>
      </c>
    </row>
    <row r="734">
      <c r="A734" s="81"/>
      <c r="B734" s="79"/>
      <c r="C734" s="90"/>
      <c r="D734" s="82"/>
      <c r="E734" s="89"/>
      <c r="F734" s="83"/>
      <c r="G734" s="78"/>
      <c r="H734" s="64" t="str">
        <f t="array" ref="H734">_xlfn.XLOOKUP(G734,DATA!D:D,DATA!E:E,"")</f>
        <v/>
      </c>
      <c r="I734" s="84"/>
      <c r="J734" s="23"/>
      <c r="K734" s="23"/>
      <c r="L734" s="66" t="str">
        <f t="shared" si="1"/>
        <v/>
      </c>
      <c r="M734" s="77"/>
      <c r="N734" s="78"/>
      <c r="O734" s="66" t="str">
        <f>IF(M734="","",
 IF(M734="عدم پاسخ","بدون پاسخ",
 IF(L734="","اطلاعات ناقص",
 IF(L734&lt;=DATA!$M$1,"رعایت شده","رعایت نشده"))))</f>
        <v/>
      </c>
      <c r="P734" s="79"/>
      <c r="Q734" s="77"/>
      <c r="R734" s="79"/>
      <c r="S734" s="79"/>
      <c r="T734" s="78"/>
      <c r="U734" s="80"/>
      <c r="V734" s="78"/>
      <c r="W734" s="77" t="str">
        <f t="array" ref="W734">IF(D734="","",_xlfn.XLOOKUP(D734,DATA!B:B,DATA!L:L,""))</f>
        <v/>
      </c>
      <c r="X734" s="78" t="str">
        <f t="array" ref="X734">IF(F734="","",_xlfn.XLOOKUP(F734,DATA!B:B,DATA!L:L,""))</f>
        <v/>
      </c>
    </row>
    <row r="735">
      <c r="A735" s="81"/>
      <c r="B735" s="79"/>
      <c r="C735" s="90"/>
      <c r="D735" s="82"/>
      <c r="E735" s="89"/>
      <c r="F735" s="83"/>
      <c r="G735" s="78"/>
      <c r="H735" s="64" t="str">
        <f t="array" ref="H735">_xlfn.XLOOKUP(G735,DATA!D:D,DATA!E:E,"")</f>
        <v/>
      </c>
      <c r="I735" s="84"/>
      <c r="J735" s="23"/>
      <c r="K735" s="23"/>
      <c r="L735" s="66" t="str">
        <f t="shared" si="1"/>
        <v/>
      </c>
      <c r="M735" s="77"/>
      <c r="N735" s="78"/>
      <c r="O735" s="66" t="str">
        <f>IF(M735="","",
 IF(M735="عدم پاسخ","بدون پاسخ",
 IF(L735="","اطلاعات ناقص",
 IF(L735&lt;=DATA!$M$1,"رعایت شده","رعایت نشده"))))</f>
        <v/>
      </c>
      <c r="P735" s="79"/>
      <c r="Q735" s="77"/>
      <c r="R735" s="79"/>
      <c r="S735" s="79"/>
      <c r="T735" s="78"/>
      <c r="U735" s="80"/>
      <c r="V735" s="78"/>
      <c r="W735" s="77" t="str">
        <f t="array" ref="W735">IF(D735="","",_xlfn.XLOOKUP(D735,DATA!B:B,DATA!L:L,""))</f>
        <v/>
      </c>
      <c r="X735" s="78" t="str">
        <f t="array" ref="X735">IF(F735="","",_xlfn.XLOOKUP(F735,DATA!B:B,DATA!L:L,""))</f>
        <v/>
      </c>
    </row>
    <row r="736">
      <c r="A736" s="81"/>
      <c r="B736" s="79"/>
      <c r="C736" s="90"/>
      <c r="D736" s="82"/>
      <c r="E736" s="89"/>
      <c r="F736" s="83"/>
      <c r="G736" s="78"/>
      <c r="H736" s="64" t="str">
        <f t="array" ref="H736">_xlfn.XLOOKUP(G736,DATA!D:D,DATA!E:E,"")</f>
        <v/>
      </c>
      <c r="I736" s="84"/>
      <c r="J736" s="23"/>
      <c r="K736" s="23"/>
      <c r="L736" s="66" t="str">
        <f t="shared" si="1"/>
        <v/>
      </c>
      <c r="M736" s="77"/>
      <c r="N736" s="78"/>
      <c r="O736" s="66" t="str">
        <f>IF(M736="","",
 IF(M736="عدم پاسخ","بدون پاسخ",
 IF(L736="","اطلاعات ناقص",
 IF(L736&lt;=DATA!$M$1,"رعایت شده","رعایت نشده"))))</f>
        <v/>
      </c>
      <c r="P736" s="79"/>
      <c r="Q736" s="77"/>
      <c r="R736" s="79"/>
      <c r="S736" s="79"/>
      <c r="T736" s="78"/>
      <c r="U736" s="80"/>
      <c r="V736" s="78"/>
      <c r="W736" s="77" t="str">
        <f t="array" ref="W736">IF(D736="","",_xlfn.XLOOKUP(D736,DATA!B:B,DATA!L:L,""))</f>
        <v/>
      </c>
      <c r="X736" s="78" t="str">
        <f t="array" ref="X736">IF(F736="","",_xlfn.XLOOKUP(F736,DATA!B:B,DATA!L:L,""))</f>
        <v/>
      </c>
    </row>
    <row r="737">
      <c r="A737" s="81"/>
      <c r="B737" s="79"/>
      <c r="C737" s="90"/>
      <c r="D737" s="82"/>
      <c r="E737" s="89"/>
      <c r="F737" s="83"/>
      <c r="G737" s="78"/>
      <c r="H737" s="64" t="str">
        <f t="array" ref="H737">_xlfn.XLOOKUP(G737,DATA!D:D,DATA!E:E,"")</f>
        <v/>
      </c>
      <c r="I737" s="84"/>
      <c r="J737" s="23"/>
      <c r="K737" s="23"/>
      <c r="L737" s="66" t="str">
        <f t="shared" si="1"/>
        <v/>
      </c>
      <c r="M737" s="77"/>
      <c r="N737" s="78"/>
      <c r="O737" s="66" t="str">
        <f>IF(M737="","",
 IF(M737="عدم پاسخ","بدون پاسخ",
 IF(L737="","اطلاعات ناقص",
 IF(L737&lt;=DATA!$M$1,"رعایت شده","رعایت نشده"))))</f>
        <v/>
      </c>
      <c r="P737" s="79"/>
      <c r="Q737" s="77"/>
      <c r="R737" s="79"/>
      <c r="S737" s="79"/>
      <c r="T737" s="78"/>
      <c r="U737" s="80"/>
      <c r="V737" s="78"/>
      <c r="W737" s="77" t="str">
        <f t="array" ref="W737">IF(D737="","",_xlfn.XLOOKUP(D737,DATA!B:B,DATA!L:L,""))</f>
        <v/>
      </c>
      <c r="X737" s="78" t="str">
        <f t="array" ref="X737">IF(F737="","",_xlfn.XLOOKUP(F737,DATA!B:B,DATA!L:L,""))</f>
        <v/>
      </c>
    </row>
    <row r="738">
      <c r="A738" s="81"/>
      <c r="B738" s="79"/>
      <c r="C738" s="90"/>
      <c r="D738" s="82"/>
      <c r="E738" s="89"/>
      <c r="F738" s="83"/>
      <c r="G738" s="78"/>
      <c r="H738" s="64" t="str">
        <f t="array" ref="H738">_xlfn.XLOOKUP(G738,DATA!D:D,DATA!E:E,"")</f>
        <v/>
      </c>
      <c r="I738" s="84"/>
      <c r="J738" s="23"/>
      <c r="K738" s="23"/>
      <c r="L738" s="66" t="str">
        <f t="shared" si="1"/>
        <v/>
      </c>
      <c r="M738" s="77"/>
      <c r="N738" s="78"/>
      <c r="O738" s="66" t="str">
        <f>IF(M738="","",
 IF(M738="عدم پاسخ","بدون پاسخ",
 IF(L738="","اطلاعات ناقص",
 IF(L738&lt;=DATA!$M$1,"رعایت شده","رعایت نشده"))))</f>
        <v/>
      </c>
      <c r="P738" s="79"/>
      <c r="Q738" s="77"/>
      <c r="R738" s="79"/>
      <c r="S738" s="79"/>
      <c r="T738" s="78"/>
      <c r="U738" s="80"/>
      <c r="V738" s="78"/>
      <c r="W738" s="77" t="str">
        <f t="array" ref="W738">IF(D738="","",_xlfn.XLOOKUP(D738,DATA!B:B,DATA!L:L,""))</f>
        <v/>
      </c>
      <c r="X738" s="78" t="str">
        <f t="array" ref="X738">IF(F738="","",_xlfn.XLOOKUP(F738,DATA!B:B,DATA!L:L,""))</f>
        <v/>
      </c>
    </row>
    <row r="739">
      <c r="A739" s="81"/>
      <c r="B739" s="79"/>
      <c r="C739" s="90"/>
      <c r="D739" s="82"/>
      <c r="E739" s="89"/>
      <c r="F739" s="83"/>
      <c r="G739" s="78"/>
      <c r="H739" s="64" t="str">
        <f t="array" ref="H739">_xlfn.XLOOKUP(G739,DATA!D:D,DATA!E:E,"")</f>
        <v/>
      </c>
      <c r="I739" s="84"/>
      <c r="J739" s="23"/>
      <c r="K739" s="23"/>
      <c r="L739" s="66" t="str">
        <f t="shared" si="1"/>
        <v/>
      </c>
      <c r="M739" s="77"/>
      <c r="N739" s="78"/>
      <c r="O739" s="66" t="str">
        <f>IF(M739="","",
 IF(M739="عدم پاسخ","بدون پاسخ",
 IF(L739="","اطلاعات ناقص",
 IF(L739&lt;=DATA!$M$1,"رعایت شده","رعایت نشده"))))</f>
        <v/>
      </c>
      <c r="P739" s="79"/>
      <c r="Q739" s="77"/>
      <c r="R739" s="79"/>
      <c r="S739" s="79"/>
      <c r="T739" s="78"/>
      <c r="U739" s="80"/>
      <c r="V739" s="78"/>
      <c r="W739" s="77" t="str">
        <f t="array" ref="W739">IF(D739="","",_xlfn.XLOOKUP(D739,DATA!B:B,DATA!L:L,""))</f>
        <v/>
      </c>
      <c r="X739" s="78" t="str">
        <f t="array" ref="X739">IF(F739="","",_xlfn.XLOOKUP(F739,DATA!B:B,DATA!L:L,""))</f>
        <v/>
      </c>
    </row>
    <row r="740">
      <c r="A740" s="81"/>
      <c r="B740" s="79"/>
      <c r="C740" s="90"/>
      <c r="D740" s="82"/>
      <c r="E740" s="89"/>
      <c r="F740" s="83"/>
      <c r="G740" s="78"/>
      <c r="H740" s="64" t="str">
        <f t="array" ref="H740">_xlfn.XLOOKUP(G740,DATA!D:D,DATA!E:E,"")</f>
        <v/>
      </c>
      <c r="I740" s="84"/>
      <c r="J740" s="23"/>
      <c r="K740" s="23"/>
      <c r="L740" s="66" t="str">
        <f t="shared" si="1"/>
        <v/>
      </c>
      <c r="M740" s="77"/>
      <c r="N740" s="78"/>
      <c r="O740" s="66" t="str">
        <f>IF(M740="","",
 IF(M740="عدم پاسخ","بدون پاسخ",
 IF(L740="","اطلاعات ناقص",
 IF(L740&lt;=DATA!$M$1,"رعایت شده","رعایت نشده"))))</f>
        <v/>
      </c>
      <c r="P740" s="79"/>
      <c r="Q740" s="77"/>
      <c r="R740" s="79"/>
      <c r="S740" s="79"/>
      <c r="T740" s="78"/>
      <c r="U740" s="80"/>
      <c r="V740" s="78"/>
      <c r="W740" s="77" t="str">
        <f t="array" ref="W740">IF(D740="","",_xlfn.XLOOKUP(D740,DATA!B:B,DATA!L:L,""))</f>
        <v/>
      </c>
      <c r="X740" s="78" t="str">
        <f t="array" ref="X740">IF(F740="","",_xlfn.XLOOKUP(F740,DATA!B:B,DATA!L:L,""))</f>
        <v/>
      </c>
    </row>
    <row r="741">
      <c r="A741" s="81"/>
      <c r="B741" s="79"/>
      <c r="C741" s="90"/>
      <c r="D741" s="82"/>
      <c r="E741" s="89"/>
      <c r="F741" s="83"/>
      <c r="G741" s="78"/>
      <c r="H741" s="64" t="str">
        <f t="array" ref="H741">_xlfn.XLOOKUP(G741,DATA!D:D,DATA!E:E,"")</f>
        <v/>
      </c>
      <c r="I741" s="84"/>
      <c r="J741" s="23"/>
      <c r="K741" s="23"/>
      <c r="L741" s="66" t="str">
        <f t="shared" si="1"/>
        <v/>
      </c>
      <c r="M741" s="77"/>
      <c r="N741" s="78"/>
      <c r="O741" s="66" t="str">
        <f>IF(M741="","",
 IF(M741="عدم پاسخ","بدون پاسخ",
 IF(L741="","اطلاعات ناقص",
 IF(L741&lt;=DATA!$M$1,"رعایت شده","رعایت نشده"))))</f>
        <v/>
      </c>
      <c r="P741" s="79"/>
      <c r="Q741" s="77"/>
      <c r="R741" s="79"/>
      <c r="S741" s="79"/>
      <c r="T741" s="78"/>
      <c r="U741" s="80"/>
      <c r="V741" s="78"/>
      <c r="W741" s="77" t="str">
        <f t="array" ref="W741">IF(D741="","",_xlfn.XLOOKUP(D741,DATA!B:B,DATA!L:L,""))</f>
        <v/>
      </c>
      <c r="X741" s="78" t="str">
        <f t="array" ref="X741">IF(F741="","",_xlfn.XLOOKUP(F741,DATA!B:B,DATA!L:L,""))</f>
        <v/>
      </c>
    </row>
    <row r="742">
      <c r="A742" s="81"/>
      <c r="B742" s="79"/>
      <c r="C742" s="90"/>
      <c r="D742" s="82"/>
      <c r="E742" s="89"/>
      <c r="F742" s="83"/>
      <c r="G742" s="78"/>
      <c r="H742" s="64" t="str">
        <f t="array" ref="H742">_xlfn.XLOOKUP(G742,DATA!D:D,DATA!E:E,"")</f>
        <v/>
      </c>
      <c r="I742" s="84"/>
      <c r="J742" s="23"/>
      <c r="K742" s="23"/>
      <c r="L742" s="66" t="str">
        <f t="shared" si="1"/>
        <v/>
      </c>
      <c r="M742" s="77"/>
      <c r="N742" s="78"/>
      <c r="O742" s="66" t="str">
        <f>IF(M742="","",
 IF(M742="عدم پاسخ","بدون پاسخ",
 IF(L742="","اطلاعات ناقص",
 IF(L742&lt;=DATA!$M$1,"رعایت شده","رعایت نشده"))))</f>
        <v/>
      </c>
      <c r="P742" s="79"/>
      <c r="Q742" s="77"/>
      <c r="R742" s="79"/>
      <c r="S742" s="79"/>
      <c r="T742" s="78"/>
      <c r="U742" s="80"/>
      <c r="V742" s="78"/>
      <c r="W742" s="77" t="str">
        <f t="array" ref="W742">IF(D742="","",_xlfn.XLOOKUP(D742,DATA!B:B,DATA!L:L,""))</f>
        <v/>
      </c>
      <c r="X742" s="78" t="str">
        <f t="array" ref="X742">IF(F742="","",_xlfn.XLOOKUP(F742,DATA!B:B,DATA!L:L,""))</f>
        <v/>
      </c>
    </row>
    <row r="743">
      <c r="A743" s="81"/>
      <c r="B743" s="79"/>
      <c r="C743" s="90"/>
      <c r="D743" s="82"/>
      <c r="E743" s="89"/>
      <c r="F743" s="83"/>
      <c r="G743" s="78"/>
      <c r="H743" s="64" t="str">
        <f t="array" ref="H743">_xlfn.XLOOKUP(G743,DATA!D:D,DATA!E:E,"")</f>
        <v/>
      </c>
      <c r="I743" s="84"/>
      <c r="J743" s="23"/>
      <c r="K743" s="23"/>
      <c r="L743" s="66" t="str">
        <f t="shared" si="1"/>
        <v/>
      </c>
      <c r="M743" s="77"/>
      <c r="N743" s="78"/>
      <c r="O743" s="66" t="str">
        <f>IF(M743="","",
 IF(M743="عدم پاسخ","بدون پاسخ",
 IF(L743="","اطلاعات ناقص",
 IF(L743&lt;=DATA!$M$1,"رعایت شده","رعایت نشده"))))</f>
        <v/>
      </c>
      <c r="P743" s="79"/>
      <c r="Q743" s="77"/>
      <c r="R743" s="79"/>
      <c r="S743" s="79"/>
      <c r="T743" s="78"/>
      <c r="U743" s="80"/>
      <c r="V743" s="78"/>
      <c r="W743" s="77" t="str">
        <f t="array" ref="W743">IF(D743="","",_xlfn.XLOOKUP(D743,DATA!B:B,DATA!L:L,""))</f>
        <v/>
      </c>
      <c r="X743" s="78" t="str">
        <f t="array" ref="X743">IF(F743="","",_xlfn.XLOOKUP(F743,DATA!B:B,DATA!L:L,""))</f>
        <v/>
      </c>
    </row>
    <row r="744">
      <c r="A744" s="81"/>
      <c r="B744" s="79"/>
      <c r="C744" s="90"/>
      <c r="D744" s="82"/>
      <c r="E744" s="89"/>
      <c r="F744" s="83"/>
      <c r="G744" s="78"/>
      <c r="H744" s="64" t="str">
        <f t="array" ref="H744">_xlfn.XLOOKUP(G744,DATA!D:D,DATA!E:E,"")</f>
        <v/>
      </c>
      <c r="I744" s="84"/>
      <c r="J744" s="23"/>
      <c r="K744" s="23"/>
      <c r="L744" s="66" t="str">
        <f t="shared" si="1"/>
        <v/>
      </c>
      <c r="M744" s="77"/>
      <c r="N744" s="78"/>
      <c r="O744" s="66" t="str">
        <f>IF(M744="","",
 IF(M744="عدم پاسخ","بدون پاسخ",
 IF(L744="","اطلاعات ناقص",
 IF(L744&lt;=DATA!$M$1,"رعایت شده","رعایت نشده"))))</f>
        <v/>
      </c>
      <c r="P744" s="79"/>
      <c r="Q744" s="77"/>
      <c r="R744" s="79"/>
      <c r="S744" s="79"/>
      <c r="T744" s="78"/>
      <c r="U744" s="80"/>
      <c r="V744" s="78"/>
      <c r="W744" s="77" t="str">
        <f t="array" ref="W744">IF(D744="","",_xlfn.XLOOKUP(D744,DATA!B:B,DATA!L:L,""))</f>
        <v/>
      </c>
      <c r="X744" s="78" t="str">
        <f t="array" ref="X744">IF(F744="","",_xlfn.XLOOKUP(F744,DATA!B:B,DATA!L:L,""))</f>
        <v/>
      </c>
    </row>
    <row r="745">
      <c r="A745" s="81"/>
      <c r="B745" s="79"/>
      <c r="C745" s="90"/>
      <c r="D745" s="82"/>
      <c r="E745" s="89"/>
      <c r="F745" s="83"/>
      <c r="G745" s="78"/>
      <c r="H745" s="64" t="str">
        <f t="array" ref="H745">_xlfn.XLOOKUP(G745,DATA!D:D,DATA!E:E,"")</f>
        <v/>
      </c>
      <c r="I745" s="84"/>
      <c r="J745" s="23"/>
      <c r="K745" s="23"/>
      <c r="L745" s="66" t="str">
        <f t="shared" si="1"/>
        <v/>
      </c>
      <c r="M745" s="77"/>
      <c r="N745" s="78"/>
      <c r="O745" s="66" t="str">
        <f>IF(M745="","",
 IF(M745="عدم پاسخ","بدون پاسخ",
 IF(L745="","اطلاعات ناقص",
 IF(L745&lt;=DATA!$M$1,"رعایت شده","رعایت نشده"))))</f>
        <v/>
      </c>
      <c r="P745" s="79"/>
      <c r="Q745" s="77"/>
      <c r="R745" s="79"/>
      <c r="S745" s="79"/>
      <c r="T745" s="78"/>
      <c r="U745" s="80"/>
      <c r="V745" s="78"/>
      <c r="W745" s="77" t="str">
        <f t="array" ref="W745">IF(D745="","",_xlfn.XLOOKUP(D745,DATA!B:B,DATA!L:L,""))</f>
        <v/>
      </c>
      <c r="X745" s="78" t="str">
        <f t="array" ref="X745">IF(F745="","",_xlfn.XLOOKUP(F745,DATA!B:B,DATA!L:L,""))</f>
        <v/>
      </c>
    </row>
    <row r="746">
      <c r="A746" s="81"/>
      <c r="B746" s="79"/>
      <c r="C746" s="90"/>
      <c r="D746" s="82"/>
      <c r="E746" s="89"/>
      <c r="F746" s="83"/>
      <c r="G746" s="78"/>
      <c r="H746" s="64" t="str">
        <f t="array" ref="H746">_xlfn.XLOOKUP(G746,DATA!D:D,DATA!E:E,"")</f>
        <v/>
      </c>
      <c r="I746" s="84"/>
      <c r="J746" s="23"/>
      <c r="K746" s="23"/>
      <c r="L746" s="66" t="str">
        <f t="shared" si="1"/>
        <v/>
      </c>
      <c r="M746" s="77"/>
      <c r="N746" s="78"/>
      <c r="O746" s="66" t="str">
        <f>IF(M746="","",
 IF(M746="عدم پاسخ","بدون پاسخ",
 IF(L746="","اطلاعات ناقص",
 IF(L746&lt;=DATA!$M$1,"رعایت شده","رعایت نشده"))))</f>
        <v/>
      </c>
      <c r="P746" s="79"/>
      <c r="Q746" s="77"/>
      <c r="R746" s="79"/>
      <c r="S746" s="79"/>
      <c r="T746" s="78"/>
      <c r="U746" s="80"/>
      <c r="V746" s="78"/>
      <c r="W746" s="77" t="str">
        <f t="array" ref="W746">IF(D746="","",_xlfn.XLOOKUP(D746,DATA!B:B,DATA!L:L,""))</f>
        <v/>
      </c>
      <c r="X746" s="78" t="str">
        <f t="array" ref="X746">IF(F746="","",_xlfn.XLOOKUP(F746,DATA!B:B,DATA!L:L,""))</f>
        <v/>
      </c>
    </row>
    <row r="747">
      <c r="A747" s="81"/>
      <c r="B747" s="79"/>
      <c r="C747" s="90"/>
      <c r="D747" s="82"/>
      <c r="E747" s="89"/>
      <c r="F747" s="83"/>
      <c r="G747" s="78"/>
      <c r="H747" s="64" t="str">
        <f t="array" ref="H747">_xlfn.XLOOKUP(G747,DATA!D:D,DATA!E:E,"")</f>
        <v/>
      </c>
      <c r="I747" s="84"/>
      <c r="J747" s="23"/>
      <c r="K747" s="23"/>
      <c r="L747" s="66" t="str">
        <f t="shared" si="1"/>
        <v/>
      </c>
      <c r="M747" s="77"/>
      <c r="N747" s="78"/>
      <c r="O747" s="66" t="str">
        <f>IF(M747="","",
 IF(M747="عدم پاسخ","بدون پاسخ",
 IF(L747="","اطلاعات ناقص",
 IF(L747&lt;=DATA!$M$1,"رعایت شده","رعایت نشده"))))</f>
        <v/>
      </c>
      <c r="P747" s="79"/>
      <c r="Q747" s="77"/>
      <c r="R747" s="79"/>
      <c r="S747" s="79"/>
      <c r="T747" s="78"/>
      <c r="U747" s="80"/>
      <c r="V747" s="78"/>
      <c r="W747" s="77" t="str">
        <f t="array" ref="W747">IF(D747="","",_xlfn.XLOOKUP(D747,DATA!B:B,DATA!L:L,""))</f>
        <v/>
      </c>
      <c r="X747" s="78" t="str">
        <f t="array" ref="X747">IF(F747="","",_xlfn.XLOOKUP(F747,DATA!B:B,DATA!L:L,""))</f>
        <v/>
      </c>
    </row>
    <row r="748">
      <c r="A748" s="81"/>
      <c r="B748" s="79"/>
      <c r="C748" s="90"/>
      <c r="D748" s="82"/>
      <c r="E748" s="89"/>
      <c r="F748" s="83"/>
      <c r="G748" s="78"/>
      <c r="H748" s="64" t="str">
        <f t="array" ref="H748">_xlfn.XLOOKUP(G748,DATA!D:D,DATA!E:E,"")</f>
        <v/>
      </c>
      <c r="I748" s="84"/>
      <c r="J748" s="23"/>
      <c r="K748" s="23"/>
      <c r="L748" s="66" t="str">
        <f t="shared" si="1"/>
        <v/>
      </c>
      <c r="M748" s="77"/>
      <c r="N748" s="78"/>
      <c r="O748" s="66" t="str">
        <f>IF(M748="","",
 IF(M748="عدم پاسخ","بدون پاسخ",
 IF(L748="","اطلاعات ناقص",
 IF(L748&lt;=DATA!$M$1,"رعایت شده","رعایت نشده"))))</f>
        <v/>
      </c>
      <c r="P748" s="79"/>
      <c r="Q748" s="77"/>
      <c r="R748" s="79"/>
      <c r="S748" s="79"/>
      <c r="T748" s="78"/>
      <c r="U748" s="80"/>
      <c r="V748" s="78"/>
      <c r="W748" s="77" t="str">
        <f t="array" ref="W748">IF(D748="","",_xlfn.XLOOKUP(D748,DATA!B:B,DATA!L:L,""))</f>
        <v/>
      </c>
      <c r="X748" s="78" t="str">
        <f t="array" ref="X748">IF(F748="","",_xlfn.XLOOKUP(F748,DATA!B:B,DATA!L:L,""))</f>
        <v/>
      </c>
    </row>
    <row r="749">
      <c r="A749" s="81"/>
      <c r="B749" s="79"/>
      <c r="C749" s="90"/>
      <c r="D749" s="82"/>
      <c r="E749" s="89"/>
      <c r="F749" s="83"/>
      <c r="G749" s="78"/>
      <c r="H749" s="64" t="str">
        <f t="array" ref="H749">_xlfn.XLOOKUP(G749,DATA!D:D,DATA!E:E,"")</f>
        <v/>
      </c>
      <c r="I749" s="84"/>
      <c r="J749" s="23"/>
      <c r="K749" s="23"/>
      <c r="L749" s="66" t="str">
        <f t="shared" si="1"/>
        <v/>
      </c>
      <c r="M749" s="77"/>
      <c r="N749" s="78"/>
      <c r="O749" s="66" t="str">
        <f>IF(M749="","",
 IF(M749="عدم پاسخ","بدون پاسخ",
 IF(L749="","اطلاعات ناقص",
 IF(L749&lt;=DATA!$M$1,"رعایت شده","رعایت نشده"))))</f>
        <v/>
      </c>
      <c r="P749" s="79"/>
      <c r="Q749" s="77"/>
      <c r="R749" s="79"/>
      <c r="S749" s="79"/>
      <c r="T749" s="78"/>
      <c r="U749" s="80"/>
      <c r="V749" s="78"/>
      <c r="W749" s="77" t="str">
        <f t="array" ref="W749">IF(D749="","",_xlfn.XLOOKUP(D749,DATA!B:B,DATA!L:L,""))</f>
        <v/>
      </c>
      <c r="X749" s="78" t="str">
        <f t="array" ref="X749">IF(F749="","",_xlfn.XLOOKUP(F749,DATA!B:B,DATA!L:L,""))</f>
        <v/>
      </c>
    </row>
    <row r="750">
      <c r="A750" s="81"/>
      <c r="B750" s="79"/>
      <c r="C750" s="90"/>
      <c r="D750" s="82"/>
      <c r="E750" s="89"/>
      <c r="F750" s="83"/>
      <c r="G750" s="78"/>
      <c r="H750" s="64" t="str">
        <f t="array" ref="H750">_xlfn.XLOOKUP(G750,DATA!D:D,DATA!E:E,"")</f>
        <v/>
      </c>
      <c r="I750" s="84"/>
      <c r="J750" s="23"/>
      <c r="K750" s="23"/>
      <c r="L750" s="66" t="str">
        <f t="shared" si="1"/>
        <v/>
      </c>
      <c r="M750" s="77"/>
      <c r="N750" s="78"/>
      <c r="O750" s="66" t="str">
        <f>IF(M750="","",
 IF(M750="عدم پاسخ","بدون پاسخ",
 IF(L750="","اطلاعات ناقص",
 IF(L750&lt;=DATA!$M$1,"رعایت شده","رعایت نشده"))))</f>
        <v/>
      </c>
      <c r="P750" s="79"/>
      <c r="Q750" s="77"/>
      <c r="R750" s="79"/>
      <c r="S750" s="79"/>
      <c r="T750" s="78"/>
      <c r="U750" s="80"/>
      <c r="V750" s="78"/>
      <c r="W750" s="77" t="str">
        <f t="array" ref="W750">IF(D750="","",_xlfn.XLOOKUP(D750,DATA!B:B,DATA!L:L,""))</f>
        <v/>
      </c>
      <c r="X750" s="78" t="str">
        <f t="array" ref="X750">IF(F750="","",_xlfn.XLOOKUP(F750,DATA!B:B,DATA!L:L,""))</f>
        <v/>
      </c>
    </row>
    <row r="751">
      <c r="A751" s="81"/>
      <c r="B751" s="79"/>
      <c r="C751" s="90"/>
      <c r="D751" s="82"/>
      <c r="E751" s="89"/>
      <c r="F751" s="83"/>
      <c r="G751" s="78"/>
      <c r="H751" s="64" t="str">
        <f t="array" ref="H751">_xlfn.XLOOKUP(G751,DATA!D:D,DATA!E:E,"")</f>
        <v/>
      </c>
      <c r="I751" s="84"/>
      <c r="J751" s="23"/>
      <c r="K751" s="23"/>
      <c r="L751" s="66" t="str">
        <f t="shared" si="1"/>
        <v/>
      </c>
      <c r="M751" s="77"/>
      <c r="N751" s="78"/>
      <c r="O751" s="66" t="str">
        <f>IF(M751="","",
 IF(M751="عدم پاسخ","بدون پاسخ",
 IF(L751="","اطلاعات ناقص",
 IF(L751&lt;=DATA!$M$1,"رعایت شده","رعایت نشده"))))</f>
        <v/>
      </c>
      <c r="P751" s="79"/>
      <c r="Q751" s="77"/>
      <c r="R751" s="79"/>
      <c r="S751" s="79"/>
      <c r="T751" s="78"/>
      <c r="U751" s="80"/>
      <c r="V751" s="78"/>
      <c r="W751" s="77" t="str">
        <f t="array" ref="W751">IF(D751="","",_xlfn.XLOOKUP(D751,DATA!B:B,DATA!L:L,""))</f>
        <v/>
      </c>
      <c r="X751" s="78" t="str">
        <f t="array" ref="X751">IF(F751="","",_xlfn.XLOOKUP(F751,DATA!B:B,DATA!L:L,""))</f>
        <v/>
      </c>
    </row>
    <row r="752">
      <c r="A752" s="81"/>
      <c r="B752" s="79"/>
      <c r="C752" s="90"/>
      <c r="D752" s="82"/>
      <c r="E752" s="89"/>
      <c r="F752" s="83"/>
      <c r="G752" s="78"/>
      <c r="H752" s="64" t="str">
        <f t="array" ref="H752">_xlfn.XLOOKUP(G752,DATA!D:D,DATA!E:E,"")</f>
        <v/>
      </c>
      <c r="I752" s="84"/>
      <c r="J752" s="23"/>
      <c r="K752" s="23"/>
      <c r="L752" s="66" t="str">
        <f t="shared" si="1"/>
        <v/>
      </c>
      <c r="M752" s="77"/>
      <c r="N752" s="78"/>
      <c r="O752" s="66" t="str">
        <f>IF(M752="","",
 IF(M752="عدم پاسخ","بدون پاسخ",
 IF(L752="","اطلاعات ناقص",
 IF(L752&lt;=DATA!$M$1,"رعایت شده","رعایت نشده"))))</f>
        <v/>
      </c>
      <c r="P752" s="79"/>
      <c r="Q752" s="77"/>
      <c r="R752" s="79"/>
      <c r="S752" s="79"/>
      <c r="T752" s="78"/>
      <c r="U752" s="80"/>
      <c r="V752" s="78"/>
      <c r="W752" s="77" t="str">
        <f t="array" ref="W752">IF(D752="","",_xlfn.XLOOKUP(D752,DATA!B:B,DATA!L:L,""))</f>
        <v/>
      </c>
      <c r="X752" s="78" t="str">
        <f t="array" ref="X752">IF(F752="","",_xlfn.XLOOKUP(F752,DATA!B:B,DATA!L:L,""))</f>
        <v/>
      </c>
    </row>
    <row r="753">
      <c r="A753" s="81"/>
      <c r="B753" s="79"/>
      <c r="C753" s="90"/>
      <c r="D753" s="82"/>
      <c r="E753" s="89"/>
      <c r="F753" s="83"/>
      <c r="G753" s="78"/>
      <c r="H753" s="64" t="str">
        <f t="array" ref="H753">_xlfn.XLOOKUP(G753,DATA!D:D,DATA!E:E,"")</f>
        <v/>
      </c>
      <c r="I753" s="84"/>
      <c r="J753" s="23"/>
      <c r="K753" s="23"/>
      <c r="L753" s="66" t="str">
        <f t="shared" si="1"/>
        <v/>
      </c>
      <c r="M753" s="77"/>
      <c r="N753" s="78"/>
      <c r="O753" s="66" t="str">
        <f>IF(M753="","",
 IF(M753="عدم پاسخ","بدون پاسخ",
 IF(L753="","اطلاعات ناقص",
 IF(L753&lt;=DATA!$M$1,"رعایت شده","رعایت نشده"))))</f>
        <v/>
      </c>
      <c r="P753" s="79"/>
      <c r="Q753" s="77"/>
      <c r="R753" s="79"/>
      <c r="S753" s="79"/>
      <c r="T753" s="78"/>
      <c r="U753" s="80"/>
      <c r="V753" s="78"/>
      <c r="W753" s="77" t="str">
        <f t="array" ref="W753">IF(D753="","",_xlfn.XLOOKUP(D753,DATA!B:B,DATA!L:L,""))</f>
        <v/>
      </c>
      <c r="X753" s="78" t="str">
        <f t="array" ref="X753">IF(F753="","",_xlfn.XLOOKUP(F753,DATA!B:B,DATA!L:L,""))</f>
        <v/>
      </c>
    </row>
    <row r="754">
      <c r="A754" s="81"/>
      <c r="B754" s="79"/>
      <c r="C754" s="90"/>
      <c r="D754" s="82"/>
      <c r="E754" s="89"/>
      <c r="F754" s="83"/>
      <c r="G754" s="78"/>
      <c r="H754" s="64" t="str">
        <f t="array" ref="H754">_xlfn.XLOOKUP(G754,DATA!D:D,DATA!E:E,"")</f>
        <v/>
      </c>
      <c r="I754" s="84"/>
      <c r="J754" s="23"/>
      <c r="K754" s="23"/>
      <c r="L754" s="66" t="str">
        <f t="shared" si="1"/>
        <v/>
      </c>
      <c r="M754" s="77"/>
      <c r="N754" s="78"/>
      <c r="O754" s="66" t="str">
        <f>IF(M754="","",
 IF(M754="عدم پاسخ","بدون پاسخ",
 IF(L754="","اطلاعات ناقص",
 IF(L754&lt;=DATA!$M$1,"رعایت شده","رعایت نشده"))))</f>
        <v/>
      </c>
      <c r="P754" s="79"/>
      <c r="Q754" s="77"/>
      <c r="R754" s="79"/>
      <c r="S754" s="79"/>
      <c r="T754" s="78"/>
      <c r="U754" s="80"/>
      <c r="V754" s="78"/>
      <c r="W754" s="77" t="str">
        <f t="array" ref="W754">IF(D754="","",_xlfn.XLOOKUP(D754,DATA!B:B,DATA!L:L,""))</f>
        <v/>
      </c>
      <c r="X754" s="78" t="str">
        <f t="array" ref="X754">IF(F754="","",_xlfn.XLOOKUP(F754,DATA!B:B,DATA!L:L,""))</f>
        <v/>
      </c>
    </row>
    <row r="755">
      <c r="A755" s="81"/>
      <c r="B755" s="79"/>
      <c r="C755" s="90"/>
      <c r="D755" s="82"/>
      <c r="E755" s="89"/>
      <c r="F755" s="83"/>
      <c r="G755" s="78"/>
      <c r="H755" s="64" t="str">
        <f t="array" ref="H755">_xlfn.XLOOKUP(G755,DATA!D:D,DATA!E:E,"")</f>
        <v/>
      </c>
      <c r="I755" s="84"/>
      <c r="J755" s="23"/>
      <c r="K755" s="23"/>
      <c r="L755" s="66" t="str">
        <f t="shared" si="1"/>
        <v/>
      </c>
      <c r="M755" s="77"/>
      <c r="N755" s="78"/>
      <c r="O755" s="66" t="str">
        <f>IF(M755="","",
 IF(M755="عدم پاسخ","بدون پاسخ",
 IF(L755="","اطلاعات ناقص",
 IF(L755&lt;=DATA!$M$1,"رعایت شده","رعایت نشده"))))</f>
        <v/>
      </c>
      <c r="P755" s="79"/>
      <c r="Q755" s="77"/>
      <c r="R755" s="79"/>
      <c r="S755" s="79"/>
      <c r="T755" s="78"/>
      <c r="U755" s="80"/>
      <c r="V755" s="78"/>
      <c r="W755" s="77" t="str">
        <f t="array" ref="W755">IF(D755="","",_xlfn.XLOOKUP(D755,DATA!B:B,DATA!L:L,""))</f>
        <v/>
      </c>
      <c r="X755" s="78" t="str">
        <f t="array" ref="X755">IF(F755="","",_xlfn.XLOOKUP(F755,DATA!B:B,DATA!L:L,""))</f>
        <v/>
      </c>
    </row>
    <row r="756">
      <c r="A756" s="81"/>
      <c r="B756" s="79"/>
      <c r="C756" s="90"/>
      <c r="D756" s="82"/>
      <c r="E756" s="89"/>
      <c r="F756" s="83"/>
      <c r="G756" s="78"/>
      <c r="H756" s="64" t="str">
        <f t="array" ref="H756">_xlfn.XLOOKUP(G756,DATA!D:D,DATA!E:E,"")</f>
        <v/>
      </c>
      <c r="I756" s="84"/>
      <c r="J756" s="23"/>
      <c r="K756" s="23"/>
      <c r="L756" s="66" t="str">
        <f t="shared" si="1"/>
        <v/>
      </c>
      <c r="M756" s="77"/>
      <c r="N756" s="78"/>
      <c r="O756" s="66" t="str">
        <f>IF(M756="","",
 IF(M756="عدم پاسخ","بدون پاسخ",
 IF(L756="","اطلاعات ناقص",
 IF(L756&lt;=DATA!$M$1,"رعایت شده","رعایت نشده"))))</f>
        <v/>
      </c>
      <c r="P756" s="79"/>
      <c r="Q756" s="77"/>
      <c r="R756" s="79"/>
      <c r="S756" s="79"/>
      <c r="T756" s="78"/>
      <c r="U756" s="80"/>
      <c r="V756" s="78"/>
      <c r="W756" s="77" t="str">
        <f t="array" ref="W756">IF(D756="","",_xlfn.XLOOKUP(D756,DATA!B:B,DATA!L:L,""))</f>
        <v/>
      </c>
      <c r="X756" s="78" t="str">
        <f t="array" ref="X756">IF(F756="","",_xlfn.XLOOKUP(F756,DATA!B:B,DATA!L:L,""))</f>
        <v/>
      </c>
    </row>
    <row r="757">
      <c r="A757" s="81"/>
      <c r="B757" s="79"/>
      <c r="C757" s="90"/>
      <c r="D757" s="82"/>
      <c r="E757" s="89"/>
      <c r="F757" s="83"/>
      <c r="G757" s="78"/>
      <c r="H757" s="64" t="str">
        <f t="array" ref="H757">_xlfn.XLOOKUP(G757,DATA!D:D,DATA!E:E,"")</f>
        <v/>
      </c>
      <c r="I757" s="84"/>
      <c r="J757" s="23"/>
      <c r="K757" s="23"/>
      <c r="L757" s="66" t="str">
        <f t="shared" si="1"/>
        <v/>
      </c>
      <c r="M757" s="77"/>
      <c r="N757" s="78"/>
      <c r="O757" s="66" t="str">
        <f>IF(M757="","",
 IF(M757="عدم پاسخ","بدون پاسخ",
 IF(L757="","اطلاعات ناقص",
 IF(L757&lt;=DATA!$M$1,"رعایت شده","رعایت نشده"))))</f>
        <v/>
      </c>
      <c r="P757" s="79"/>
      <c r="Q757" s="77"/>
      <c r="R757" s="79"/>
      <c r="S757" s="79"/>
      <c r="T757" s="78"/>
      <c r="U757" s="80"/>
      <c r="V757" s="78"/>
      <c r="W757" s="77" t="str">
        <f t="array" ref="W757">IF(D757="","",_xlfn.XLOOKUP(D757,DATA!B:B,DATA!L:L,""))</f>
        <v/>
      </c>
      <c r="X757" s="78" t="str">
        <f t="array" ref="X757">IF(F757="","",_xlfn.XLOOKUP(F757,DATA!B:B,DATA!L:L,""))</f>
        <v/>
      </c>
    </row>
    <row r="758">
      <c r="A758" s="81"/>
      <c r="B758" s="79"/>
      <c r="C758" s="90"/>
      <c r="D758" s="82"/>
      <c r="E758" s="89"/>
      <c r="F758" s="83"/>
      <c r="G758" s="78"/>
      <c r="H758" s="64" t="str">
        <f t="array" ref="H758">_xlfn.XLOOKUP(G758,DATA!D:D,DATA!E:E,"")</f>
        <v/>
      </c>
      <c r="I758" s="84"/>
      <c r="J758" s="23"/>
      <c r="K758" s="23"/>
      <c r="L758" s="66" t="str">
        <f t="shared" si="1"/>
        <v/>
      </c>
      <c r="M758" s="77"/>
      <c r="N758" s="78"/>
      <c r="O758" s="66" t="str">
        <f>IF(M758="","",
 IF(M758="عدم پاسخ","بدون پاسخ",
 IF(L758="","اطلاعات ناقص",
 IF(L758&lt;=DATA!$M$1,"رعایت شده","رعایت نشده"))))</f>
        <v/>
      </c>
      <c r="P758" s="79"/>
      <c r="Q758" s="77"/>
      <c r="R758" s="79"/>
      <c r="S758" s="79"/>
      <c r="T758" s="78"/>
      <c r="U758" s="80"/>
      <c r="V758" s="78"/>
      <c r="W758" s="77" t="str">
        <f t="array" ref="W758">IF(D758="","",_xlfn.XLOOKUP(D758,DATA!B:B,DATA!L:L,""))</f>
        <v/>
      </c>
      <c r="X758" s="78" t="str">
        <f t="array" ref="X758">IF(F758="","",_xlfn.XLOOKUP(F758,DATA!B:B,DATA!L:L,""))</f>
        <v/>
      </c>
    </row>
    <row r="759">
      <c r="A759" s="81"/>
      <c r="B759" s="79"/>
      <c r="C759" s="90"/>
      <c r="D759" s="82"/>
      <c r="E759" s="89"/>
      <c r="F759" s="83"/>
      <c r="G759" s="78"/>
      <c r="H759" s="64" t="str">
        <f t="array" ref="H759">_xlfn.XLOOKUP(G759,DATA!D:D,DATA!E:E,"")</f>
        <v/>
      </c>
      <c r="I759" s="84"/>
      <c r="J759" s="23"/>
      <c r="K759" s="23"/>
      <c r="L759" s="66" t="str">
        <f t="shared" si="1"/>
        <v/>
      </c>
      <c r="M759" s="77"/>
      <c r="N759" s="78"/>
      <c r="O759" s="66" t="str">
        <f>IF(M759="","",
 IF(M759="عدم پاسخ","بدون پاسخ",
 IF(L759="","اطلاعات ناقص",
 IF(L759&lt;=DATA!$M$1,"رعایت شده","رعایت نشده"))))</f>
        <v/>
      </c>
      <c r="P759" s="79"/>
      <c r="Q759" s="77"/>
      <c r="R759" s="79"/>
      <c r="S759" s="79"/>
      <c r="T759" s="78"/>
      <c r="U759" s="80"/>
      <c r="V759" s="78"/>
      <c r="W759" s="77" t="str">
        <f t="array" ref="W759">IF(D759="","",_xlfn.XLOOKUP(D759,DATA!B:B,DATA!L:L,""))</f>
        <v/>
      </c>
      <c r="X759" s="78" t="str">
        <f t="array" ref="X759">IF(F759="","",_xlfn.XLOOKUP(F759,DATA!B:B,DATA!L:L,""))</f>
        <v/>
      </c>
    </row>
    <row r="760">
      <c r="A760" s="81"/>
      <c r="B760" s="79"/>
      <c r="C760" s="90"/>
      <c r="D760" s="82"/>
      <c r="E760" s="89"/>
      <c r="F760" s="83"/>
      <c r="G760" s="78"/>
      <c r="H760" s="64" t="str">
        <f t="array" ref="H760">_xlfn.XLOOKUP(G760,DATA!D:D,DATA!E:E,"")</f>
        <v/>
      </c>
      <c r="I760" s="84"/>
      <c r="J760" s="23"/>
      <c r="K760" s="23"/>
      <c r="L760" s="66" t="str">
        <f t="shared" si="1"/>
        <v/>
      </c>
      <c r="M760" s="77"/>
      <c r="N760" s="78"/>
      <c r="O760" s="66" t="str">
        <f>IF(M760="","",
 IF(M760="عدم پاسخ","بدون پاسخ",
 IF(L760="","اطلاعات ناقص",
 IF(L760&lt;=DATA!$M$1,"رعایت شده","رعایت نشده"))))</f>
        <v/>
      </c>
      <c r="P760" s="79"/>
      <c r="Q760" s="77"/>
      <c r="R760" s="79"/>
      <c r="S760" s="79"/>
      <c r="T760" s="78"/>
      <c r="U760" s="80"/>
      <c r="V760" s="78"/>
      <c r="W760" s="77" t="str">
        <f t="array" ref="W760">IF(D760="","",_xlfn.XLOOKUP(D760,DATA!B:B,DATA!L:L,""))</f>
        <v/>
      </c>
      <c r="X760" s="78" t="str">
        <f t="array" ref="X760">IF(F760="","",_xlfn.XLOOKUP(F760,DATA!B:B,DATA!L:L,""))</f>
        <v/>
      </c>
    </row>
    <row r="761">
      <c r="A761" s="81"/>
      <c r="B761" s="79"/>
      <c r="C761" s="90"/>
      <c r="D761" s="82"/>
      <c r="E761" s="89"/>
      <c r="F761" s="83"/>
      <c r="G761" s="78"/>
      <c r="H761" s="64" t="str">
        <f t="array" ref="H761">_xlfn.XLOOKUP(G761,DATA!D:D,DATA!E:E,"")</f>
        <v/>
      </c>
      <c r="I761" s="84"/>
      <c r="J761" s="23"/>
      <c r="K761" s="23"/>
      <c r="L761" s="66" t="str">
        <f t="shared" si="1"/>
        <v/>
      </c>
      <c r="M761" s="77"/>
      <c r="N761" s="78"/>
      <c r="O761" s="66" t="str">
        <f>IF(M761="","",
 IF(M761="عدم پاسخ","بدون پاسخ",
 IF(L761="","اطلاعات ناقص",
 IF(L761&lt;=DATA!$M$1,"رعایت شده","رعایت نشده"))))</f>
        <v/>
      </c>
      <c r="P761" s="79"/>
      <c r="Q761" s="77"/>
      <c r="R761" s="79"/>
      <c r="S761" s="79"/>
      <c r="T761" s="78"/>
      <c r="U761" s="80"/>
      <c r="V761" s="78"/>
      <c r="W761" s="77" t="str">
        <f t="array" ref="W761">IF(D761="","",_xlfn.XLOOKUP(D761,DATA!B:B,DATA!L:L,""))</f>
        <v/>
      </c>
      <c r="X761" s="78" t="str">
        <f t="array" ref="X761">IF(F761="","",_xlfn.XLOOKUP(F761,DATA!B:B,DATA!L:L,""))</f>
        <v/>
      </c>
    </row>
    <row r="762">
      <c r="A762" s="81"/>
      <c r="B762" s="79"/>
      <c r="C762" s="90"/>
      <c r="D762" s="82"/>
      <c r="E762" s="89"/>
      <c r="F762" s="83"/>
      <c r="G762" s="78"/>
      <c r="H762" s="64" t="str">
        <f t="array" ref="H762">_xlfn.XLOOKUP(G762,DATA!D:D,DATA!E:E,"")</f>
        <v/>
      </c>
      <c r="I762" s="84"/>
      <c r="J762" s="23"/>
      <c r="K762" s="23"/>
      <c r="L762" s="66" t="str">
        <f t="shared" si="1"/>
        <v/>
      </c>
      <c r="M762" s="77"/>
      <c r="N762" s="78"/>
      <c r="O762" s="66" t="str">
        <f>IF(M762="","",
 IF(M762="عدم پاسخ","بدون پاسخ",
 IF(L762="","اطلاعات ناقص",
 IF(L762&lt;=DATA!$M$1,"رعایت شده","رعایت نشده"))))</f>
        <v/>
      </c>
      <c r="P762" s="79"/>
      <c r="Q762" s="77"/>
      <c r="R762" s="79"/>
      <c r="S762" s="79"/>
      <c r="T762" s="78"/>
      <c r="U762" s="80"/>
      <c r="V762" s="78"/>
      <c r="W762" s="77" t="str">
        <f t="array" ref="W762">IF(D762="","",_xlfn.XLOOKUP(D762,DATA!B:B,DATA!L:L,""))</f>
        <v/>
      </c>
      <c r="X762" s="78" t="str">
        <f t="array" ref="X762">IF(F762="","",_xlfn.XLOOKUP(F762,DATA!B:B,DATA!L:L,""))</f>
        <v/>
      </c>
    </row>
    <row r="763">
      <c r="A763" s="81"/>
      <c r="B763" s="79"/>
      <c r="C763" s="90"/>
      <c r="D763" s="82"/>
      <c r="E763" s="89"/>
      <c r="F763" s="83"/>
      <c r="G763" s="78"/>
      <c r="H763" s="64" t="str">
        <f t="array" ref="H763">_xlfn.XLOOKUP(G763,DATA!D:D,DATA!E:E,"")</f>
        <v/>
      </c>
      <c r="I763" s="84"/>
      <c r="J763" s="23"/>
      <c r="K763" s="23"/>
      <c r="L763" s="66" t="str">
        <f t="shared" si="1"/>
        <v/>
      </c>
      <c r="M763" s="77"/>
      <c r="N763" s="78"/>
      <c r="O763" s="66" t="str">
        <f>IF(M763="","",
 IF(M763="عدم پاسخ","بدون پاسخ",
 IF(L763="","اطلاعات ناقص",
 IF(L763&lt;=DATA!$M$1,"رعایت شده","رعایت نشده"))))</f>
        <v/>
      </c>
      <c r="P763" s="79"/>
      <c r="Q763" s="77"/>
      <c r="R763" s="79"/>
      <c r="S763" s="79"/>
      <c r="T763" s="78"/>
      <c r="U763" s="80"/>
      <c r="V763" s="78"/>
      <c r="W763" s="77" t="str">
        <f t="array" ref="W763">IF(D763="","",_xlfn.XLOOKUP(D763,DATA!B:B,DATA!L:L,""))</f>
        <v/>
      </c>
      <c r="X763" s="78" t="str">
        <f t="array" ref="X763">IF(F763="","",_xlfn.XLOOKUP(F763,DATA!B:B,DATA!L:L,""))</f>
        <v/>
      </c>
    </row>
    <row r="764">
      <c r="A764" s="81"/>
      <c r="B764" s="79"/>
      <c r="C764" s="90"/>
      <c r="D764" s="82"/>
      <c r="E764" s="89"/>
      <c r="F764" s="83"/>
      <c r="G764" s="78"/>
      <c r="H764" s="64" t="str">
        <f t="array" ref="H764">_xlfn.XLOOKUP(G764,DATA!D:D,DATA!E:E,"")</f>
        <v/>
      </c>
      <c r="I764" s="84"/>
      <c r="J764" s="23"/>
      <c r="K764" s="23"/>
      <c r="L764" s="66" t="str">
        <f t="shared" si="1"/>
        <v/>
      </c>
      <c r="M764" s="77"/>
      <c r="N764" s="78"/>
      <c r="O764" s="66" t="str">
        <f>IF(M764="","",
 IF(M764="عدم پاسخ","بدون پاسخ",
 IF(L764="","اطلاعات ناقص",
 IF(L764&lt;=DATA!$M$1,"رعایت شده","رعایت نشده"))))</f>
        <v/>
      </c>
      <c r="P764" s="79"/>
      <c r="Q764" s="77"/>
      <c r="R764" s="79"/>
      <c r="S764" s="79"/>
      <c r="T764" s="78"/>
      <c r="U764" s="80"/>
      <c r="V764" s="78"/>
      <c r="W764" s="77" t="str">
        <f t="array" ref="W764">IF(D764="","",_xlfn.XLOOKUP(D764,DATA!B:B,DATA!L:L,""))</f>
        <v/>
      </c>
      <c r="X764" s="78" t="str">
        <f t="array" ref="X764">IF(F764="","",_xlfn.XLOOKUP(F764,DATA!B:B,DATA!L:L,""))</f>
        <v/>
      </c>
    </row>
    <row r="765">
      <c r="A765" s="81"/>
      <c r="B765" s="79"/>
      <c r="C765" s="90"/>
      <c r="D765" s="82"/>
      <c r="E765" s="89"/>
      <c r="F765" s="83"/>
      <c r="G765" s="78"/>
      <c r="H765" s="64" t="str">
        <f t="array" ref="H765">_xlfn.XLOOKUP(G765,DATA!D:D,DATA!E:E,"")</f>
        <v/>
      </c>
      <c r="I765" s="84"/>
      <c r="J765" s="23"/>
      <c r="K765" s="23"/>
      <c r="L765" s="66" t="str">
        <f t="shared" si="1"/>
        <v/>
      </c>
      <c r="M765" s="77"/>
      <c r="N765" s="78"/>
      <c r="O765" s="66" t="str">
        <f>IF(M765="","",
 IF(M765="عدم پاسخ","بدون پاسخ",
 IF(L765="","اطلاعات ناقص",
 IF(L765&lt;=DATA!$M$1,"رعایت شده","رعایت نشده"))))</f>
        <v/>
      </c>
      <c r="P765" s="79"/>
      <c r="Q765" s="77"/>
      <c r="R765" s="79"/>
      <c r="S765" s="79"/>
      <c r="T765" s="78"/>
      <c r="U765" s="80"/>
      <c r="V765" s="78"/>
      <c r="W765" s="77" t="str">
        <f t="array" ref="W765">IF(D765="","",_xlfn.XLOOKUP(D765,DATA!B:B,DATA!L:L,""))</f>
        <v/>
      </c>
      <c r="X765" s="78" t="str">
        <f t="array" ref="X765">IF(F765="","",_xlfn.XLOOKUP(F765,DATA!B:B,DATA!L:L,""))</f>
        <v/>
      </c>
    </row>
    <row r="766">
      <c r="A766" s="81"/>
      <c r="B766" s="79"/>
      <c r="C766" s="90"/>
      <c r="D766" s="82"/>
      <c r="E766" s="89"/>
      <c r="F766" s="83"/>
      <c r="G766" s="78"/>
      <c r="H766" s="64" t="str">
        <f t="array" ref="H766">_xlfn.XLOOKUP(G766,DATA!D:D,DATA!E:E,"")</f>
        <v/>
      </c>
      <c r="I766" s="84"/>
      <c r="J766" s="23"/>
      <c r="K766" s="23"/>
      <c r="L766" s="66" t="str">
        <f t="shared" si="1"/>
        <v/>
      </c>
      <c r="M766" s="77"/>
      <c r="N766" s="78"/>
      <c r="O766" s="66" t="str">
        <f>IF(M766="","",
 IF(M766="عدم پاسخ","بدون پاسخ",
 IF(L766="","اطلاعات ناقص",
 IF(L766&lt;=DATA!$M$1,"رعایت شده","رعایت نشده"))))</f>
        <v/>
      </c>
      <c r="P766" s="79"/>
      <c r="Q766" s="77"/>
      <c r="R766" s="79"/>
      <c r="S766" s="79"/>
      <c r="T766" s="78"/>
      <c r="U766" s="80"/>
      <c r="V766" s="78"/>
      <c r="W766" s="77" t="str">
        <f t="array" ref="W766">IF(D766="","",_xlfn.XLOOKUP(D766,DATA!B:B,DATA!L:L,""))</f>
        <v/>
      </c>
      <c r="X766" s="78" t="str">
        <f t="array" ref="X766">IF(F766="","",_xlfn.XLOOKUP(F766,DATA!B:B,DATA!L:L,""))</f>
        <v/>
      </c>
    </row>
    <row r="767">
      <c r="A767" s="81"/>
      <c r="B767" s="79"/>
      <c r="C767" s="90"/>
      <c r="D767" s="82"/>
      <c r="E767" s="89"/>
      <c r="F767" s="83"/>
      <c r="G767" s="78"/>
      <c r="H767" s="64" t="str">
        <f t="array" ref="H767">_xlfn.XLOOKUP(G767,DATA!D:D,DATA!E:E,"")</f>
        <v/>
      </c>
      <c r="I767" s="84"/>
      <c r="J767" s="23"/>
      <c r="K767" s="23"/>
      <c r="L767" s="66" t="str">
        <f t="shared" si="1"/>
        <v/>
      </c>
      <c r="M767" s="77"/>
      <c r="N767" s="78"/>
      <c r="O767" s="66" t="str">
        <f>IF(M767="","",
 IF(M767="عدم پاسخ","بدون پاسخ",
 IF(L767="","اطلاعات ناقص",
 IF(L767&lt;=DATA!$M$1,"رعایت شده","رعایت نشده"))))</f>
        <v/>
      </c>
      <c r="P767" s="79"/>
      <c r="Q767" s="77"/>
      <c r="R767" s="79"/>
      <c r="S767" s="79"/>
      <c r="T767" s="78"/>
      <c r="U767" s="80"/>
      <c r="V767" s="78"/>
      <c r="W767" s="77" t="str">
        <f t="array" ref="W767">IF(D767="","",_xlfn.XLOOKUP(D767,DATA!B:B,DATA!L:L,""))</f>
        <v/>
      </c>
      <c r="X767" s="78" t="str">
        <f t="array" ref="X767">IF(F767="","",_xlfn.XLOOKUP(F767,DATA!B:B,DATA!L:L,""))</f>
        <v/>
      </c>
    </row>
    <row r="768">
      <c r="A768" s="81"/>
      <c r="B768" s="79"/>
      <c r="C768" s="90"/>
      <c r="D768" s="82"/>
      <c r="E768" s="89"/>
      <c r="F768" s="83"/>
      <c r="G768" s="78"/>
      <c r="H768" s="64" t="str">
        <f t="array" ref="H768">_xlfn.XLOOKUP(G768,DATA!D:D,DATA!E:E,"")</f>
        <v/>
      </c>
      <c r="I768" s="84"/>
      <c r="J768" s="23"/>
      <c r="K768" s="23"/>
      <c r="L768" s="66" t="str">
        <f t="shared" si="1"/>
        <v/>
      </c>
      <c r="M768" s="77"/>
      <c r="N768" s="78"/>
      <c r="O768" s="66" t="str">
        <f>IF(M768="","",
 IF(M768="عدم پاسخ","بدون پاسخ",
 IF(L768="","اطلاعات ناقص",
 IF(L768&lt;=DATA!$M$1,"رعایت شده","رعایت نشده"))))</f>
        <v/>
      </c>
      <c r="P768" s="79"/>
      <c r="Q768" s="77"/>
      <c r="R768" s="79"/>
      <c r="S768" s="79"/>
      <c r="T768" s="78"/>
      <c r="U768" s="80"/>
      <c r="V768" s="78"/>
      <c r="W768" s="77" t="str">
        <f t="array" ref="W768">IF(D768="","",_xlfn.XLOOKUP(D768,DATA!B:B,DATA!L:L,""))</f>
        <v/>
      </c>
      <c r="X768" s="78" t="str">
        <f t="array" ref="X768">IF(F768="","",_xlfn.XLOOKUP(F768,DATA!B:B,DATA!L:L,""))</f>
        <v/>
      </c>
    </row>
    <row r="769">
      <c r="A769" s="81"/>
      <c r="B769" s="79"/>
      <c r="C769" s="90"/>
      <c r="D769" s="82"/>
      <c r="E769" s="89"/>
      <c r="F769" s="83"/>
      <c r="G769" s="78"/>
      <c r="H769" s="64" t="str">
        <f t="array" ref="H769">_xlfn.XLOOKUP(G769,DATA!D:D,DATA!E:E,"")</f>
        <v/>
      </c>
      <c r="I769" s="84"/>
      <c r="J769" s="23"/>
      <c r="K769" s="23"/>
      <c r="L769" s="66" t="str">
        <f t="shared" si="1"/>
        <v/>
      </c>
      <c r="M769" s="77"/>
      <c r="N769" s="78"/>
      <c r="O769" s="66" t="str">
        <f>IF(M769="","",
 IF(M769="عدم پاسخ","بدون پاسخ",
 IF(L769="","اطلاعات ناقص",
 IF(L769&lt;=DATA!$M$1,"رعایت شده","رعایت نشده"))))</f>
        <v/>
      </c>
      <c r="P769" s="79"/>
      <c r="Q769" s="77"/>
      <c r="R769" s="79"/>
      <c r="S769" s="79"/>
      <c r="T769" s="78"/>
      <c r="U769" s="80"/>
      <c r="V769" s="78"/>
      <c r="W769" s="77" t="str">
        <f t="array" ref="W769">IF(D769="","",_xlfn.XLOOKUP(D769,DATA!B:B,DATA!L:L,""))</f>
        <v/>
      </c>
      <c r="X769" s="78" t="str">
        <f t="array" ref="X769">IF(F769="","",_xlfn.XLOOKUP(F769,DATA!B:B,DATA!L:L,""))</f>
        <v/>
      </c>
    </row>
    <row r="770">
      <c r="A770" s="81"/>
      <c r="B770" s="79"/>
      <c r="C770" s="90"/>
      <c r="D770" s="82"/>
      <c r="E770" s="89"/>
      <c r="F770" s="83"/>
      <c r="G770" s="78"/>
      <c r="H770" s="64" t="str">
        <f t="array" ref="H770">_xlfn.XLOOKUP(G770,DATA!D:D,DATA!E:E,"")</f>
        <v/>
      </c>
      <c r="I770" s="84"/>
      <c r="J770" s="23"/>
      <c r="K770" s="23"/>
      <c r="L770" s="66" t="str">
        <f t="shared" si="1"/>
        <v/>
      </c>
      <c r="M770" s="77"/>
      <c r="N770" s="78"/>
      <c r="O770" s="66" t="str">
        <f>IF(M770="","",
 IF(M770="عدم پاسخ","بدون پاسخ",
 IF(L770="","اطلاعات ناقص",
 IF(L770&lt;=DATA!$M$1,"رعایت شده","رعایت نشده"))))</f>
        <v/>
      </c>
      <c r="P770" s="79"/>
      <c r="Q770" s="77"/>
      <c r="R770" s="79"/>
      <c r="S770" s="79"/>
      <c r="T770" s="78"/>
      <c r="U770" s="80"/>
      <c r="V770" s="78"/>
      <c r="W770" s="77" t="str">
        <f t="array" ref="W770">IF(D770="","",_xlfn.XLOOKUP(D770,DATA!B:B,DATA!L:L,""))</f>
        <v/>
      </c>
      <c r="X770" s="78" t="str">
        <f t="array" ref="X770">IF(F770="","",_xlfn.XLOOKUP(F770,DATA!B:B,DATA!L:L,""))</f>
        <v/>
      </c>
    </row>
    <row r="771">
      <c r="A771" s="81"/>
      <c r="B771" s="79"/>
      <c r="C771" s="90"/>
      <c r="D771" s="82"/>
      <c r="E771" s="89"/>
      <c r="F771" s="83"/>
      <c r="G771" s="78"/>
      <c r="H771" s="64" t="str">
        <f t="array" ref="H771">_xlfn.XLOOKUP(G771,DATA!D:D,DATA!E:E,"")</f>
        <v/>
      </c>
      <c r="I771" s="84"/>
      <c r="J771" s="23"/>
      <c r="K771" s="23"/>
      <c r="L771" s="66" t="str">
        <f t="shared" si="1"/>
        <v/>
      </c>
      <c r="M771" s="77"/>
      <c r="N771" s="78"/>
      <c r="O771" s="66" t="str">
        <f>IF(M771="","",
 IF(M771="عدم پاسخ","بدون پاسخ",
 IF(L771="","اطلاعات ناقص",
 IF(L771&lt;=DATA!$M$1,"رعایت شده","رعایت نشده"))))</f>
        <v/>
      </c>
      <c r="P771" s="79"/>
      <c r="Q771" s="77"/>
      <c r="R771" s="79"/>
      <c r="S771" s="79"/>
      <c r="T771" s="78"/>
      <c r="U771" s="80"/>
      <c r="V771" s="78"/>
      <c r="W771" s="77" t="str">
        <f t="array" ref="W771">IF(D771="","",_xlfn.XLOOKUP(D771,DATA!B:B,DATA!L:L,""))</f>
        <v/>
      </c>
      <c r="X771" s="78" t="str">
        <f t="array" ref="X771">IF(F771="","",_xlfn.XLOOKUP(F771,DATA!B:B,DATA!L:L,""))</f>
        <v/>
      </c>
    </row>
    <row r="772">
      <c r="A772" s="81"/>
      <c r="B772" s="79"/>
      <c r="C772" s="90"/>
      <c r="D772" s="82"/>
      <c r="E772" s="89"/>
      <c r="F772" s="83"/>
      <c r="G772" s="78"/>
      <c r="H772" s="64" t="str">
        <f t="array" ref="H772">_xlfn.XLOOKUP(G772,DATA!D:D,DATA!E:E,"")</f>
        <v/>
      </c>
      <c r="I772" s="84"/>
      <c r="J772" s="23"/>
      <c r="K772" s="23"/>
      <c r="L772" s="66" t="str">
        <f t="shared" si="1"/>
        <v/>
      </c>
      <c r="M772" s="77"/>
      <c r="N772" s="78"/>
      <c r="O772" s="66" t="str">
        <f>IF(M772="","",
 IF(M772="عدم پاسخ","بدون پاسخ",
 IF(L772="","اطلاعات ناقص",
 IF(L772&lt;=DATA!$M$1,"رعایت شده","رعایت نشده"))))</f>
        <v/>
      </c>
      <c r="P772" s="79"/>
      <c r="Q772" s="77"/>
      <c r="R772" s="79"/>
      <c r="S772" s="79"/>
      <c r="T772" s="78"/>
      <c r="U772" s="80"/>
      <c r="V772" s="78"/>
      <c r="W772" s="77" t="str">
        <f t="array" ref="W772">IF(D772="","",_xlfn.XLOOKUP(D772,DATA!B:B,DATA!L:L,""))</f>
        <v/>
      </c>
      <c r="X772" s="78" t="str">
        <f t="array" ref="X772">IF(F772="","",_xlfn.XLOOKUP(F772,DATA!B:B,DATA!L:L,""))</f>
        <v/>
      </c>
    </row>
    <row r="773">
      <c r="A773" s="81"/>
      <c r="B773" s="79"/>
      <c r="C773" s="90"/>
      <c r="D773" s="82"/>
      <c r="E773" s="89"/>
      <c r="F773" s="83"/>
      <c r="G773" s="78"/>
      <c r="H773" s="64" t="str">
        <f t="array" ref="H773">_xlfn.XLOOKUP(G773,DATA!D:D,DATA!E:E,"")</f>
        <v/>
      </c>
      <c r="I773" s="84"/>
      <c r="J773" s="23"/>
      <c r="K773" s="23"/>
      <c r="L773" s="66" t="str">
        <f t="shared" si="1"/>
        <v/>
      </c>
      <c r="M773" s="77"/>
      <c r="N773" s="78"/>
      <c r="O773" s="66" t="str">
        <f>IF(M773="","",
 IF(M773="عدم پاسخ","بدون پاسخ",
 IF(L773="","اطلاعات ناقص",
 IF(L773&lt;=DATA!$M$1,"رعایت شده","رعایت نشده"))))</f>
        <v/>
      </c>
      <c r="P773" s="79"/>
      <c r="Q773" s="77"/>
      <c r="R773" s="79"/>
      <c r="S773" s="79"/>
      <c r="T773" s="78"/>
      <c r="U773" s="80"/>
      <c r="V773" s="78"/>
      <c r="W773" s="77" t="str">
        <f t="array" ref="W773">IF(D773="","",_xlfn.XLOOKUP(D773,DATA!B:B,DATA!L:L,""))</f>
        <v/>
      </c>
      <c r="X773" s="78" t="str">
        <f t="array" ref="X773">IF(F773="","",_xlfn.XLOOKUP(F773,DATA!B:B,DATA!L:L,""))</f>
        <v/>
      </c>
    </row>
    <row r="774">
      <c r="A774" s="81"/>
      <c r="B774" s="79"/>
      <c r="C774" s="90"/>
      <c r="D774" s="82"/>
      <c r="E774" s="89"/>
      <c r="F774" s="83"/>
      <c r="G774" s="78"/>
      <c r="H774" s="64" t="str">
        <f t="array" ref="H774">_xlfn.XLOOKUP(G774,DATA!D:D,DATA!E:E,"")</f>
        <v/>
      </c>
      <c r="I774" s="84"/>
      <c r="J774" s="23"/>
      <c r="K774" s="23"/>
      <c r="L774" s="66" t="str">
        <f t="shared" si="1"/>
        <v/>
      </c>
      <c r="M774" s="77"/>
      <c r="N774" s="78"/>
      <c r="O774" s="66" t="str">
        <f>IF(M774="","",
 IF(M774="عدم پاسخ","بدون پاسخ",
 IF(L774="","اطلاعات ناقص",
 IF(L774&lt;=DATA!$M$1,"رعایت شده","رعایت نشده"))))</f>
        <v/>
      </c>
      <c r="P774" s="79"/>
      <c r="Q774" s="77"/>
      <c r="R774" s="79"/>
      <c r="S774" s="79"/>
      <c r="T774" s="78"/>
      <c r="U774" s="80"/>
      <c r="V774" s="78"/>
      <c r="W774" s="77" t="str">
        <f t="array" ref="W774">IF(D774="","",_xlfn.XLOOKUP(D774,DATA!B:B,DATA!L:L,""))</f>
        <v/>
      </c>
      <c r="X774" s="78" t="str">
        <f t="array" ref="X774">IF(F774="","",_xlfn.XLOOKUP(F774,DATA!B:B,DATA!L:L,""))</f>
        <v/>
      </c>
    </row>
    <row r="775">
      <c r="A775" s="81"/>
      <c r="B775" s="79"/>
      <c r="C775" s="90"/>
      <c r="D775" s="82"/>
      <c r="E775" s="89"/>
      <c r="F775" s="83"/>
      <c r="G775" s="78"/>
      <c r="H775" s="64" t="str">
        <f t="array" ref="H775">_xlfn.XLOOKUP(G775,DATA!D:D,DATA!E:E,"")</f>
        <v/>
      </c>
      <c r="I775" s="84"/>
      <c r="J775" s="23"/>
      <c r="K775" s="23"/>
      <c r="L775" s="66" t="str">
        <f t="shared" si="1"/>
        <v/>
      </c>
      <c r="M775" s="77"/>
      <c r="N775" s="78"/>
      <c r="O775" s="66" t="str">
        <f>IF(M775="","",
 IF(M775="عدم پاسخ","بدون پاسخ",
 IF(L775="","اطلاعات ناقص",
 IF(L775&lt;=DATA!$M$1,"رعایت شده","رعایت نشده"))))</f>
        <v/>
      </c>
      <c r="P775" s="79"/>
      <c r="Q775" s="77"/>
      <c r="R775" s="79"/>
      <c r="S775" s="79"/>
      <c r="T775" s="78"/>
      <c r="U775" s="80"/>
      <c r="V775" s="78"/>
      <c r="W775" s="77" t="str">
        <f t="array" ref="W775">IF(D775="","",_xlfn.XLOOKUP(D775,DATA!B:B,DATA!L:L,""))</f>
        <v/>
      </c>
      <c r="X775" s="78" t="str">
        <f t="array" ref="X775">IF(F775="","",_xlfn.XLOOKUP(F775,DATA!B:B,DATA!L:L,""))</f>
        <v/>
      </c>
    </row>
    <row r="776">
      <c r="A776" s="81"/>
      <c r="B776" s="79"/>
      <c r="C776" s="90"/>
      <c r="D776" s="82"/>
      <c r="E776" s="89"/>
      <c r="F776" s="83"/>
      <c r="G776" s="78"/>
      <c r="H776" s="64" t="str">
        <f t="array" ref="H776">_xlfn.XLOOKUP(G776,DATA!D:D,DATA!E:E,"")</f>
        <v/>
      </c>
      <c r="I776" s="84"/>
      <c r="J776" s="23"/>
      <c r="K776" s="23"/>
      <c r="L776" s="66" t="str">
        <f t="shared" si="1"/>
        <v/>
      </c>
      <c r="M776" s="77"/>
      <c r="N776" s="78"/>
      <c r="O776" s="66" t="str">
        <f>IF(M776="","",
 IF(M776="عدم پاسخ","بدون پاسخ",
 IF(L776="","اطلاعات ناقص",
 IF(L776&lt;=DATA!$M$1,"رعایت شده","رعایت نشده"))))</f>
        <v/>
      </c>
      <c r="P776" s="79"/>
      <c r="Q776" s="77"/>
      <c r="R776" s="79"/>
      <c r="S776" s="79"/>
      <c r="T776" s="78"/>
      <c r="U776" s="80"/>
      <c r="V776" s="78"/>
      <c r="W776" s="77" t="str">
        <f t="array" ref="W776">IF(D776="","",_xlfn.XLOOKUP(D776,DATA!B:B,DATA!L:L,""))</f>
        <v/>
      </c>
      <c r="X776" s="78" t="str">
        <f t="array" ref="X776">IF(F776="","",_xlfn.XLOOKUP(F776,DATA!B:B,DATA!L:L,""))</f>
        <v/>
      </c>
    </row>
    <row r="777">
      <c r="A777" s="81"/>
      <c r="B777" s="79"/>
      <c r="C777" s="90"/>
      <c r="D777" s="82"/>
      <c r="E777" s="89"/>
      <c r="F777" s="83"/>
      <c r="G777" s="78"/>
      <c r="H777" s="64" t="str">
        <f t="array" ref="H777">_xlfn.XLOOKUP(G777,DATA!D:D,DATA!E:E,"")</f>
        <v/>
      </c>
      <c r="I777" s="84"/>
      <c r="J777" s="23"/>
      <c r="K777" s="23"/>
      <c r="L777" s="66" t="str">
        <f t="shared" si="1"/>
        <v/>
      </c>
      <c r="M777" s="77"/>
      <c r="N777" s="78"/>
      <c r="O777" s="66" t="str">
        <f>IF(M777="","",
 IF(M777="عدم پاسخ","بدون پاسخ",
 IF(L777="","اطلاعات ناقص",
 IF(L777&lt;=DATA!$M$1,"رعایت شده","رعایت نشده"))))</f>
        <v/>
      </c>
      <c r="P777" s="79"/>
      <c r="Q777" s="77"/>
      <c r="R777" s="79"/>
      <c r="S777" s="79"/>
      <c r="T777" s="78"/>
      <c r="U777" s="80"/>
      <c r="V777" s="78"/>
      <c r="W777" s="77" t="str">
        <f t="array" ref="W777">IF(D777="","",_xlfn.XLOOKUP(D777,DATA!B:B,DATA!L:L,""))</f>
        <v/>
      </c>
      <c r="X777" s="78" t="str">
        <f t="array" ref="X777">IF(F777="","",_xlfn.XLOOKUP(F777,DATA!B:B,DATA!L:L,""))</f>
        <v/>
      </c>
    </row>
    <row r="778">
      <c r="A778" s="81"/>
      <c r="B778" s="79"/>
      <c r="C778" s="90"/>
      <c r="D778" s="82"/>
      <c r="E778" s="89"/>
      <c r="F778" s="83"/>
      <c r="G778" s="78"/>
      <c r="H778" s="64" t="str">
        <f t="array" ref="H778">_xlfn.XLOOKUP(G778,DATA!D:D,DATA!E:E,"")</f>
        <v/>
      </c>
      <c r="I778" s="84"/>
      <c r="J778" s="23"/>
      <c r="K778" s="23"/>
      <c r="L778" s="66" t="str">
        <f t="shared" si="1"/>
        <v/>
      </c>
      <c r="M778" s="77"/>
      <c r="N778" s="78"/>
      <c r="O778" s="66" t="str">
        <f>IF(M778="","",
 IF(M778="عدم پاسخ","بدون پاسخ",
 IF(L778="","اطلاعات ناقص",
 IF(L778&lt;=DATA!$M$1,"رعایت شده","رعایت نشده"))))</f>
        <v/>
      </c>
      <c r="P778" s="79"/>
      <c r="Q778" s="77"/>
      <c r="R778" s="79"/>
      <c r="S778" s="79"/>
      <c r="T778" s="78"/>
      <c r="U778" s="80"/>
      <c r="V778" s="78"/>
      <c r="W778" s="77" t="str">
        <f t="array" ref="W778">IF(D778="","",_xlfn.XLOOKUP(D778,DATA!B:B,DATA!L:L,""))</f>
        <v/>
      </c>
      <c r="X778" s="78" t="str">
        <f t="array" ref="X778">IF(F778="","",_xlfn.XLOOKUP(F778,DATA!B:B,DATA!L:L,""))</f>
        <v/>
      </c>
    </row>
    <row r="779">
      <c r="A779" s="81"/>
      <c r="B779" s="79"/>
      <c r="C779" s="90"/>
      <c r="D779" s="82"/>
      <c r="E779" s="89"/>
      <c r="F779" s="83"/>
      <c r="G779" s="78"/>
      <c r="H779" s="64" t="str">
        <f t="array" ref="H779">_xlfn.XLOOKUP(G779,DATA!D:D,DATA!E:E,"")</f>
        <v/>
      </c>
      <c r="I779" s="84"/>
      <c r="J779" s="23"/>
      <c r="K779" s="23"/>
      <c r="L779" s="66" t="str">
        <f t="shared" si="1"/>
        <v/>
      </c>
      <c r="M779" s="77"/>
      <c r="N779" s="78"/>
      <c r="O779" s="66" t="str">
        <f>IF(M779="","",
 IF(M779="عدم پاسخ","بدون پاسخ",
 IF(L779="","اطلاعات ناقص",
 IF(L779&lt;=DATA!$M$1,"رعایت شده","رعایت نشده"))))</f>
        <v/>
      </c>
      <c r="P779" s="79"/>
      <c r="Q779" s="77"/>
      <c r="R779" s="79"/>
      <c r="S779" s="79"/>
      <c r="T779" s="78"/>
      <c r="U779" s="80"/>
      <c r="V779" s="78"/>
      <c r="W779" s="77" t="str">
        <f t="array" ref="W779">IF(D779="","",_xlfn.XLOOKUP(D779,DATA!B:B,DATA!L:L,""))</f>
        <v/>
      </c>
      <c r="X779" s="78" t="str">
        <f t="array" ref="X779">IF(F779="","",_xlfn.XLOOKUP(F779,DATA!B:B,DATA!L:L,""))</f>
        <v/>
      </c>
    </row>
    <row r="780">
      <c r="A780" s="81"/>
      <c r="B780" s="79"/>
      <c r="C780" s="90"/>
      <c r="D780" s="82"/>
      <c r="E780" s="89"/>
      <c r="F780" s="83"/>
      <c r="G780" s="78"/>
      <c r="H780" s="64" t="str">
        <f t="array" ref="H780">_xlfn.XLOOKUP(G780,DATA!D:D,DATA!E:E,"")</f>
        <v/>
      </c>
      <c r="I780" s="84"/>
      <c r="J780" s="23"/>
      <c r="K780" s="23"/>
      <c r="L780" s="66" t="str">
        <f t="shared" si="1"/>
        <v/>
      </c>
      <c r="M780" s="77"/>
      <c r="N780" s="78"/>
      <c r="O780" s="66" t="str">
        <f>IF(M780="","",
 IF(M780="عدم پاسخ","بدون پاسخ",
 IF(L780="","اطلاعات ناقص",
 IF(L780&lt;=DATA!$M$1,"رعایت شده","رعایت نشده"))))</f>
        <v/>
      </c>
      <c r="P780" s="79"/>
      <c r="Q780" s="77"/>
      <c r="R780" s="79"/>
      <c r="S780" s="79"/>
      <c r="T780" s="78"/>
      <c r="U780" s="80"/>
      <c r="V780" s="78"/>
      <c r="W780" s="77" t="str">
        <f t="array" ref="W780">IF(D780="","",_xlfn.XLOOKUP(D780,DATA!B:B,DATA!L:L,""))</f>
        <v/>
      </c>
      <c r="X780" s="78" t="str">
        <f t="array" ref="X780">IF(F780="","",_xlfn.XLOOKUP(F780,DATA!B:B,DATA!L:L,""))</f>
        <v/>
      </c>
    </row>
    <row r="781">
      <c r="A781" s="81"/>
      <c r="B781" s="79"/>
      <c r="C781" s="90"/>
      <c r="D781" s="82"/>
      <c r="E781" s="89"/>
      <c r="F781" s="83"/>
      <c r="G781" s="78"/>
      <c r="H781" s="64" t="str">
        <f t="array" ref="H781">_xlfn.XLOOKUP(G781,DATA!D:D,DATA!E:E,"")</f>
        <v/>
      </c>
      <c r="I781" s="84"/>
      <c r="J781" s="23"/>
      <c r="K781" s="23"/>
      <c r="L781" s="66" t="str">
        <f t="shared" si="1"/>
        <v/>
      </c>
      <c r="M781" s="77"/>
      <c r="N781" s="78"/>
      <c r="O781" s="66" t="str">
        <f>IF(M781="","",
 IF(M781="عدم پاسخ","بدون پاسخ",
 IF(L781="","اطلاعات ناقص",
 IF(L781&lt;=DATA!$M$1,"رعایت شده","رعایت نشده"))))</f>
        <v/>
      </c>
      <c r="P781" s="79"/>
      <c r="Q781" s="77"/>
      <c r="R781" s="79"/>
      <c r="S781" s="79"/>
      <c r="T781" s="78"/>
      <c r="U781" s="80"/>
      <c r="V781" s="78"/>
      <c r="W781" s="77" t="str">
        <f t="array" ref="W781">IF(D781="","",_xlfn.XLOOKUP(D781,DATA!B:B,DATA!L:L,""))</f>
        <v/>
      </c>
      <c r="X781" s="78" t="str">
        <f t="array" ref="X781">IF(F781="","",_xlfn.XLOOKUP(F781,DATA!B:B,DATA!L:L,""))</f>
        <v/>
      </c>
    </row>
    <row r="782">
      <c r="A782" s="81"/>
      <c r="B782" s="79"/>
      <c r="C782" s="90"/>
      <c r="D782" s="82"/>
      <c r="E782" s="89"/>
      <c r="F782" s="83"/>
      <c r="G782" s="78"/>
      <c r="H782" s="64" t="str">
        <f t="array" ref="H782">_xlfn.XLOOKUP(G782,DATA!D:D,DATA!E:E,"")</f>
        <v/>
      </c>
      <c r="I782" s="84"/>
      <c r="J782" s="23"/>
      <c r="K782" s="23"/>
      <c r="L782" s="66" t="str">
        <f t="shared" si="1"/>
        <v/>
      </c>
      <c r="M782" s="77"/>
      <c r="N782" s="78"/>
      <c r="O782" s="66" t="str">
        <f>IF(M782="","",
 IF(M782="عدم پاسخ","بدون پاسخ",
 IF(L782="","اطلاعات ناقص",
 IF(L782&lt;=DATA!$M$1,"رعایت شده","رعایت نشده"))))</f>
        <v/>
      </c>
      <c r="P782" s="79"/>
      <c r="Q782" s="77"/>
      <c r="R782" s="79"/>
      <c r="S782" s="79"/>
      <c r="T782" s="78"/>
      <c r="U782" s="80"/>
      <c r="V782" s="78"/>
      <c r="W782" s="77" t="str">
        <f t="array" ref="W782">IF(D782="","",_xlfn.XLOOKUP(D782,DATA!B:B,DATA!L:L,""))</f>
        <v/>
      </c>
      <c r="X782" s="78" t="str">
        <f t="array" ref="X782">IF(F782="","",_xlfn.XLOOKUP(F782,DATA!B:B,DATA!L:L,""))</f>
        <v/>
      </c>
    </row>
    <row r="783">
      <c r="A783" s="81"/>
      <c r="B783" s="79"/>
      <c r="C783" s="90"/>
      <c r="D783" s="82"/>
      <c r="E783" s="89"/>
      <c r="F783" s="83"/>
      <c r="G783" s="78"/>
      <c r="H783" s="64" t="str">
        <f t="array" ref="H783">_xlfn.XLOOKUP(G783,DATA!D:D,DATA!E:E,"")</f>
        <v/>
      </c>
      <c r="I783" s="84"/>
      <c r="J783" s="23"/>
      <c r="K783" s="23"/>
      <c r="L783" s="66" t="str">
        <f t="shared" si="1"/>
        <v/>
      </c>
      <c r="M783" s="77"/>
      <c r="N783" s="78"/>
      <c r="O783" s="66" t="str">
        <f>IF(M783="","",
 IF(M783="عدم پاسخ","بدون پاسخ",
 IF(L783="","اطلاعات ناقص",
 IF(L783&lt;=DATA!$M$1,"رعایت شده","رعایت نشده"))))</f>
        <v/>
      </c>
      <c r="P783" s="79"/>
      <c r="Q783" s="77"/>
      <c r="R783" s="79"/>
      <c r="S783" s="79"/>
      <c r="T783" s="78"/>
      <c r="U783" s="80"/>
      <c r="V783" s="78"/>
      <c r="W783" s="77" t="str">
        <f t="array" ref="W783">IF(D783="","",_xlfn.XLOOKUP(D783,DATA!B:B,DATA!L:L,""))</f>
        <v/>
      </c>
      <c r="X783" s="78" t="str">
        <f t="array" ref="X783">IF(F783="","",_xlfn.XLOOKUP(F783,DATA!B:B,DATA!L:L,""))</f>
        <v/>
      </c>
    </row>
    <row r="784">
      <c r="A784" s="81"/>
      <c r="B784" s="79"/>
      <c r="C784" s="90"/>
      <c r="D784" s="82"/>
      <c r="E784" s="89"/>
      <c r="F784" s="83"/>
      <c r="G784" s="78"/>
      <c r="H784" s="64" t="str">
        <f t="array" ref="H784">_xlfn.XLOOKUP(G784,DATA!D:D,DATA!E:E,"")</f>
        <v/>
      </c>
      <c r="I784" s="84"/>
      <c r="J784" s="23"/>
      <c r="K784" s="23"/>
      <c r="L784" s="66" t="str">
        <f t="shared" si="1"/>
        <v/>
      </c>
      <c r="M784" s="77"/>
      <c r="N784" s="78"/>
      <c r="O784" s="66" t="str">
        <f>IF(M784="","",
 IF(M784="عدم پاسخ","بدون پاسخ",
 IF(L784="","اطلاعات ناقص",
 IF(L784&lt;=DATA!$M$1,"رعایت شده","رعایت نشده"))))</f>
        <v/>
      </c>
      <c r="P784" s="79"/>
      <c r="Q784" s="77"/>
      <c r="R784" s="79"/>
      <c r="S784" s="79"/>
      <c r="T784" s="78"/>
      <c r="U784" s="80"/>
      <c r="V784" s="78"/>
      <c r="W784" s="77" t="str">
        <f t="array" ref="W784">IF(D784="","",_xlfn.XLOOKUP(D784,DATA!B:B,DATA!L:L,""))</f>
        <v/>
      </c>
      <c r="X784" s="78" t="str">
        <f t="array" ref="X784">IF(F784="","",_xlfn.XLOOKUP(F784,DATA!B:B,DATA!L:L,""))</f>
        <v/>
      </c>
    </row>
    <row r="785">
      <c r="A785" s="81"/>
      <c r="B785" s="79"/>
      <c r="C785" s="90"/>
      <c r="D785" s="82"/>
      <c r="E785" s="89"/>
      <c r="F785" s="83"/>
      <c r="G785" s="78"/>
      <c r="H785" s="64" t="str">
        <f t="array" ref="H785">_xlfn.XLOOKUP(G785,DATA!D:D,DATA!E:E,"")</f>
        <v/>
      </c>
      <c r="I785" s="84"/>
      <c r="J785" s="23"/>
      <c r="K785" s="23"/>
      <c r="L785" s="66" t="str">
        <f t="shared" si="1"/>
        <v/>
      </c>
      <c r="M785" s="77"/>
      <c r="N785" s="78"/>
      <c r="O785" s="66" t="str">
        <f>IF(M785="","",
 IF(M785="عدم پاسخ","بدون پاسخ",
 IF(L785="","اطلاعات ناقص",
 IF(L785&lt;=DATA!$M$1,"رعایت شده","رعایت نشده"))))</f>
        <v/>
      </c>
      <c r="P785" s="79"/>
      <c r="Q785" s="77"/>
      <c r="R785" s="79"/>
      <c r="S785" s="79"/>
      <c r="T785" s="78"/>
      <c r="U785" s="80"/>
      <c r="V785" s="78"/>
      <c r="W785" s="77" t="str">
        <f t="array" ref="W785">IF(D785="","",_xlfn.XLOOKUP(D785,DATA!B:B,DATA!L:L,""))</f>
        <v/>
      </c>
      <c r="X785" s="78" t="str">
        <f t="array" ref="X785">IF(F785="","",_xlfn.XLOOKUP(F785,DATA!B:B,DATA!L:L,""))</f>
        <v/>
      </c>
    </row>
    <row r="786">
      <c r="A786" s="81"/>
      <c r="B786" s="79"/>
      <c r="C786" s="90"/>
      <c r="D786" s="82"/>
      <c r="E786" s="89"/>
      <c r="F786" s="83"/>
      <c r="G786" s="78"/>
      <c r="H786" s="64" t="str">
        <f t="array" ref="H786">_xlfn.XLOOKUP(G786,DATA!D:D,DATA!E:E,"")</f>
        <v/>
      </c>
      <c r="I786" s="84"/>
      <c r="J786" s="23"/>
      <c r="K786" s="23"/>
      <c r="L786" s="66" t="str">
        <f t="shared" si="1"/>
        <v/>
      </c>
      <c r="M786" s="77"/>
      <c r="N786" s="78"/>
      <c r="O786" s="66" t="str">
        <f>IF(M786="","",
 IF(M786="عدم پاسخ","بدون پاسخ",
 IF(L786="","اطلاعات ناقص",
 IF(L786&lt;=DATA!$M$1,"رعایت شده","رعایت نشده"))))</f>
        <v/>
      </c>
      <c r="P786" s="79"/>
      <c r="Q786" s="77"/>
      <c r="R786" s="79"/>
      <c r="S786" s="79"/>
      <c r="T786" s="78"/>
      <c r="U786" s="80"/>
      <c r="V786" s="78"/>
      <c r="W786" s="77" t="str">
        <f t="array" ref="W786">IF(D786="","",_xlfn.XLOOKUP(D786,DATA!B:B,DATA!L:L,""))</f>
        <v/>
      </c>
      <c r="X786" s="78" t="str">
        <f t="array" ref="X786">IF(F786="","",_xlfn.XLOOKUP(F786,DATA!B:B,DATA!L:L,""))</f>
        <v/>
      </c>
    </row>
    <row r="787">
      <c r="A787" s="81"/>
      <c r="B787" s="79"/>
      <c r="C787" s="90"/>
      <c r="D787" s="82"/>
      <c r="E787" s="89"/>
      <c r="F787" s="83"/>
      <c r="G787" s="78"/>
      <c r="H787" s="64" t="str">
        <f t="array" ref="H787">_xlfn.XLOOKUP(G787,DATA!D:D,DATA!E:E,"")</f>
        <v/>
      </c>
      <c r="I787" s="84"/>
      <c r="J787" s="23"/>
      <c r="K787" s="23"/>
      <c r="L787" s="66" t="str">
        <f t="shared" si="1"/>
        <v/>
      </c>
      <c r="M787" s="77"/>
      <c r="N787" s="78"/>
      <c r="O787" s="66" t="str">
        <f>IF(M787="","",
 IF(M787="عدم پاسخ","بدون پاسخ",
 IF(L787="","اطلاعات ناقص",
 IF(L787&lt;=DATA!$M$1,"رعایت شده","رعایت نشده"))))</f>
        <v/>
      </c>
      <c r="P787" s="79"/>
      <c r="Q787" s="77"/>
      <c r="R787" s="79"/>
      <c r="S787" s="79"/>
      <c r="T787" s="78"/>
      <c r="U787" s="80"/>
      <c r="V787" s="78"/>
      <c r="W787" s="77" t="str">
        <f t="array" ref="W787">IF(D787="","",_xlfn.XLOOKUP(D787,DATA!B:B,DATA!L:L,""))</f>
        <v/>
      </c>
      <c r="X787" s="78" t="str">
        <f t="array" ref="X787">IF(F787="","",_xlfn.XLOOKUP(F787,DATA!B:B,DATA!L:L,""))</f>
        <v/>
      </c>
    </row>
    <row r="788">
      <c r="A788" s="81"/>
      <c r="B788" s="79"/>
      <c r="C788" s="90"/>
      <c r="D788" s="82"/>
      <c r="E788" s="89"/>
      <c r="F788" s="83"/>
      <c r="G788" s="78"/>
      <c r="H788" s="64" t="str">
        <f t="array" ref="H788">_xlfn.XLOOKUP(G788,DATA!D:D,DATA!E:E,"")</f>
        <v/>
      </c>
      <c r="I788" s="84"/>
      <c r="J788" s="23"/>
      <c r="K788" s="23"/>
      <c r="L788" s="66" t="str">
        <f t="shared" si="1"/>
        <v/>
      </c>
      <c r="M788" s="77"/>
      <c r="N788" s="78"/>
      <c r="O788" s="66" t="str">
        <f>IF(M788="","",
 IF(M788="عدم پاسخ","بدون پاسخ",
 IF(L788="","اطلاعات ناقص",
 IF(L788&lt;=DATA!$M$1,"رعایت شده","رعایت نشده"))))</f>
        <v/>
      </c>
      <c r="P788" s="79"/>
      <c r="Q788" s="77"/>
      <c r="R788" s="79"/>
      <c r="S788" s="79"/>
      <c r="T788" s="78"/>
      <c r="U788" s="80"/>
      <c r="V788" s="78"/>
      <c r="W788" s="77" t="str">
        <f t="array" ref="W788">IF(D788="","",_xlfn.XLOOKUP(D788,DATA!B:B,DATA!L:L,""))</f>
        <v/>
      </c>
      <c r="X788" s="78" t="str">
        <f t="array" ref="X788">IF(F788="","",_xlfn.XLOOKUP(F788,DATA!B:B,DATA!L:L,""))</f>
        <v/>
      </c>
    </row>
    <row r="789">
      <c r="A789" s="81"/>
      <c r="B789" s="79"/>
      <c r="C789" s="90"/>
      <c r="D789" s="82"/>
      <c r="E789" s="89"/>
      <c r="F789" s="83"/>
      <c r="G789" s="78"/>
      <c r="H789" s="64" t="str">
        <f t="array" ref="H789">_xlfn.XLOOKUP(G789,DATA!D:D,DATA!E:E,"")</f>
        <v/>
      </c>
      <c r="I789" s="84"/>
      <c r="J789" s="23"/>
      <c r="K789" s="23"/>
      <c r="L789" s="66" t="str">
        <f t="shared" si="1"/>
        <v/>
      </c>
      <c r="M789" s="77"/>
      <c r="N789" s="78"/>
      <c r="O789" s="66" t="str">
        <f>IF(M789="","",
 IF(M789="عدم پاسخ","بدون پاسخ",
 IF(L789="","اطلاعات ناقص",
 IF(L789&lt;=DATA!$M$1,"رعایت شده","رعایت نشده"))))</f>
        <v/>
      </c>
      <c r="P789" s="79"/>
      <c r="Q789" s="77"/>
      <c r="R789" s="79"/>
      <c r="S789" s="79"/>
      <c r="T789" s="78"/>
      <c r="U789" s="80"/>
      <c r="V789" s="78"/>
      <c r="W789" s="77" t="str">
        <f t="array" ref="W789">IF(D789="","",_xlfn.XLOOKUP(D789,DATA!B:B,DATA!L:L,""))</f>
        <v/>
      </c>
      <c r="X789" s="78" t="str">
        <f t="array" ref="X789">IF(F789="","",_xlfn.XLOOKUP(F789,DATA!B:B,DATA!L:L,""))</f>
        <v/>
      </c>
    </row>
    <row r="790">
      <c r="A790" s="81"/>
      <c r="B790" s="79"/>
      <c r="C790" s="90"/>
      <c r="D790" s="82"/>
      <c r="E790" s="89"/>
      <c r="F790" s="83"/>
      <c r="G790" s="78"/>
      <c r="H790" s="64" t="str">
        <f t="array" ref="H790">_xlfn.XLOOKUP(G790,DATA!D:D,DATA!E:E,"")</f>
        <v/>
      </c>
      <c r="I790" s="84"/>
      <c r="J790" s="23"/>
      <c r="K790" s="23"/>
      <c r="L790" s="66" t="str">
        <f t="shared" si="1"/>
        <v/>
      </c>
      <c r="M790" s="77"/>
      <c r="N790" s="78"/>
      <c r="O790" s="66" t="str">
        <f>IF(M790="","",
 IF(M790="عدم پاسخ","بدون پاسخ",
 IF(L790="","اطلاعات ناقص",
 IF(L790&lt;=DATA!$M$1,"رعایت شده","رعایت نشده"))))</f>
        <v/>
      </c>
      <c r="P790" s="79"/>
      <c r="Q790" s="77"/>
      <c r="R790" s="79"/>
      <c r="S790" s="79"/>
      <c r="T790" s="78"/>
      <c r="U790" s="80"/>
      <c r="V790" s="78"/>
      <c r="W790" s="77" t="str">
        <f t="array" ref="W790">IF(D790="","",_xlfn.XLOOKUP(D790,DATA!B:B,DATA!L:L,""))</f>
        <v/>
      </c>
      <c r="X790" s="78" t="str">
        <f t="array" ref="X790">IF(F790="","",_xlfn.XLOOKUP(F790,DATA!B:B,DATA!L:L,""))</f>
        <v/>
      </c>
    </row>
    <row r="791">
      <c r="A791" s="81"/>
      <c r="B791" s="79"/>
      <c r="C791" s="90"/>
      <c r="D791" s="82"/>
      <c r="E791" s="89"/>
      <c r="F791" s="83"/>
      <c r="G791" s="78"/>
      <c r="H791" s="64" t="str">
        <f t="array" ref="H791">_xlfn.XLOOKUP(G791,DATA!D:D,DATA!E:E,"")</f>
        <v/>
      </c>
      <c r="I791" s="84"/>
      <c r="J791" s="23"/>
      <c r="K791" s="23"/>
      <c r="L791" s="66" t="str">
        <f t="shared" si="1"/>
        <v/>
      </c>
      <c r="M791" s="77"/>
      <c r="N791" s="78"/>
      <c r="O791" s="66" t="str">
        <f>IF(M791="","",
 IF(M791="عدم پاسخ","بدون پاسخ",
 IF(L791="","اطلاعات ناقص",
 IF(L791&lt;=DATA!$M$1,"رعایت شده","رعایت نشده"))))</f>
        <v/>
      </c>
      <c r="P791" s="79"/>
      <c r="Q791" s="77"/>
      <c r="R791" s="79"/>
      <c r="S791" s="79"/>
      <c r="T791" s="78"/>
      <c r="U791" s="80"/>
      <c r="V791" s="78"/>
      <c r="W791" s="77" t="str">
        <f t="array" ref="W791">IF(D791="","",_xlfn.XLOOKUP(D791,DATA!B:B,DATA!L:L,""))</f>
        <v/>
      </c>
      <c r="X791" s="78" t="str">
        <f t="array" ref="X791">IF(F791="","",_xlfn.XLOOKUP(F791,DATA!B:B,DATA!L:L,""))</f>
        <v/>
      </c>
    </row>
    <row r="792">
      <c r="A792" s="81"/>
      <c r="B792" s="79"/>
      <c r="C792" s="90"/>
      <c r="D792" s="82"/>
      <c r="E792" s="89"/>
      <c r="F792" s="83"/>
      <c r="G792" s="78"/>
      <c r="H792" s="64" t="str">
        <f t="array" ref="H792">_xlfn.XLOOKUP(G792,DATA!D:D,DATA!E:E,"")</f>
        <v/>
      </c>
      <c r="I792" s="84"/>
      <c r="J792" s="23"/>
      <c r="K792" s="23"/>
      <c r="L792" s="66" t="str">
        <f t="shared" si="1"/>
        <v/>
      </c>
      <c r="M792" s="77"/>
      <c r="N792" s="78"/>
      <c r="O792" s="66" t="str">
        <f>IF(M792="","",
 IF(M792="عدم پاسخ","بدون پاسخ",
 IF(L792="","اطلاعات ناقص",
 IF(L792&lt;=DATA!$M$1,"رعایت شده","رعایت نشده"))))</f>
        <v/>
      </c>
      <c r="P792" s="79"/>
      <c r="Q792" s="77"/>
      <c r="R792" s="79"/>
      <c r="S792" s="79"/>
      <c r="T792" s="78"/>
      <c r="U792" s="80"/>
      <c r="V792" s="78"/>
      <c r="W792" s="77" t="str">
        <f t="array" ref="W792">IF(D792="","",_xlfn.XLOOKUP(D792,DATA!B:B,DATA!L:L,""))</f>
        <v/>
      </c>
      <c r="X792" s="78" t="str">
        <f t="array" ref="X792">IF(F792="","",_xlfn.XLOOKUP(F792,DATA!B:B,DATA!L:L,""))</f>
        <v/>
      </c>
    </row>
    <row r="793">
      <c r="A793" s="81"/>
      <c r="B793" s="79"/>
      <c r="C793" s="90"/>
      <c r="D793" s="82"/>
      <c r="E793" s="89"/>
      <c r="F793" s="83"/>
      <c r="G793" s="78"/>
      <c r="H793" s="64" t="str">
        <f t="array" ref="H793">_xlfn.XLOOKUP(G793,DATA!D:D,DATA!E:E,"")</f>
        <v/>
      </c>
      <c r="I793" s="84"/>
      <c r="J793" s="23"/>
      <c r="K793" s="23"/>
      <c r="L793" s="66" t="str">
        <f t="shared" si="1"/>
        <v/>
      </c>
      <c r="M793" s="77"/>
      <c r="N793" s="78"/>
      <c r="O793" s="66" t="str">
        <f>IF(M793="","",
 IF(M793="عدم پاسخ","بدون پاسخ",
 IF(L793="","اطلاعات ناقص",
 IF(L793&lt;=DATA!$M$1,"رعایت شده","رعایت نشده"))))</f>
        <v/>
      </c>
      <c r="P793" s="79"/>
      <c r="Q793" s="77"/>
      <c r="R793" s="79"/>
      <c r="S793" s="79"/>
      <c r="T793" s="78"/>
      <c r="U793" s="80"/>
      <c r="V793" s="78"/>
      <c r="W793" s="77" t="str">
        <f t="array" ref="W793">IF(D793="","",_xlfn.XLOOKUP(D793,DATA!B:B,DATA!L:L,""))</f>
        <v/>
      </c>
      <c r="X793" s="78" t="str">
        <f t="array" ref="X793">IF(F793="","",_xlfn.XLOOKUP(F793,DATA!B:B,DATA!L:L,""))</f>
        <v/>
      </c>
    </row>
    <row r="794">
      <c r="A794" s="81"/>
      <c r="B794" s="79"/>
      <c r="C794" s="90"/>
      <c r="D794" s="82"/>
      <c r="E794" s="89"/>
      <c r="F794" s="83"/>
      <c r="G794" s="78"/>
      <c r="H794" s="64" t="str">
        <f t="array" ref="H794">_xlfn.XLOOKUP(G794,DATA!D:D,DATA!E:E,"")</f>
        <v/>
      </c>
      <c r="I794" s="84"/>
      <c r="J794" s="23"/>
      <c r="K794" s="23"/>
      <c r="L794" s="66" t="str">
        <f t="shared" si="1"/>
        <v/>
      </c>
      <c r="M794" s="77"/>
      <c r="N794" s="78"/>
      <c r="O794" s="66" t="str">
        <f>IF(M794="","",
 IF(M794="عدم پاسخ","بدون پاسخ",
 IF(L794="","اطلاعات ناقص",
 IF(L794&lt;=DATA!$M$1,"رعایت شده","رعایت نشده"))))</f>
        <v/>
      </c>
      <c r="P794" s="79"/>
      <c r="Q794" s="77"/>
      <c r="R794" s="79"/>
      <c r="S794" s="79"/>
      <c r="T794" s="78"/>
      <c r="U794" s="80"/>
      <c r="V794" s="78"/>
      <c r="W794" s="77" t="str">
        <f t="array" ref="W794">IF(D794="","",_xlfn.XLOOKUP(D794,DATA!B:B,DATA!L:L,""))</f>
        <v/>
      </c>
      <c r="X794" s="78" t="str">
        <f t="array" ref="X794">IF(F794="","",_xlfn.XLOOKUP(F794,DATA!B:B,DATA!L:L,""))</f>
        <v/>
      </c>
    </row>
    <row r="795">
      <c r="A795" s="81"/>
      <c r="B795" s="79"/>
      <c r="C795" s="90"/>
      <c r="D795" s="82"/>
      <c r="E795" s="89"/>
      <c r="F795" s="83"/>
      <c r="G795" s="78"/>
      <c r="H795" s="64" t="str">
        <f t="array" ref="H795">_xlfn.XLOOKUP(G795,DATA!D:D,DATA!E:E,"")</f>
        <v/>
      </c>
      <c r="I795" s="84"/>
      <c r="J795" s="23"/>
      <c r="K795" s="23"/>
      <c r="L795" s="66" t="str">
        <f t="shared" si="1"/>
        <v/>
      </c>
      <c r="M795" s="77"/>
      <c r="N795" s="78"/>
      <c r="O795" s="66" t="str">
        <f>IF(M795="","",
 IF(M795="عدم پاسخ","بدون پاسخ",
 IF(L795="","اطلاعات ناقص",
 IF(L795&lt;=DATA!$M$1,"رعایت شده","رعایت نشده"))))</f>
        <v/>
      </c>
      <c r="P795" s="79"/>
      <c r="Q795" s="77"/>
      <c r="R795" s="79"/>
      <c r="S795" s="79"/>
      <c r="T795" s="78"/>
      <c r="U795" s="80"/>
      <c r="V795" s="78"/>
      <c r="W795" s="77" t="str">
        <f t="array" ref="W795">IF(D795="","",_xlfn.XLOOKUP(D795,DATA!B:B,DATA!L:L,""))</f>
        <v/>
      </c>
      <c r="X795" s="78" t="str">
        <f t="array" ref="X795">IF(F795="","",_xlfn.XLOOKUP(F795,DATA!B:B,DATA!L:L,""))</f>
        <v/>
      </c>
    </row>
    <row r="796">
      <c r="A796" s="81"/>
      <c r="B796" s="79"/>
      <c r="C796" s="90"/>
      <c r="D796" s="82"/>
      <c r="E796" s="89"/>
      <c r="F796" s="83"/>
      <c r="G796" s="78"/>
      <c r="H796" s="64" t="str">
        <f t="array" ref="H796">_xlfn.XLOOKUP(G796,DATA!D:D,DATA!E:E,"")</f>
        <v/>
      </c>
      <c r="I796" s="84"/>
      <c r="J796" s="23"/>
      <c r="K796" s="23"/>
      <c r="L796" s="66" t="str">
        <f t="shared" si="1"/>
        <v/>
      </c>
      <c r="M796" s="77"/>
      <c r="N796" s="78"/>
      <c r="O796" s="66" t="str">
        <f>IF(M796="","",
 IF(M796="عدم پاسخ","بدون پاسخ",
 IF(L796="","اطلاعات ناقص",
 IF(L796&lt;=DATA!$M$1,"رعایت شده","رعایت نشده"))))</f>
        <v/>
      </c>
      <c r="P796" s="79"/>
      <c r="Q796" s="77"/>
      <c r="R796" s="79"/>
      <c r="S796" s="79"/>
      <c r="T796" s="78"/>
      <c r="U796" s="80"/>
      <c r="V796" s="78"/>
      <c r="W796" s="77" t="str">
        <f t="array" ref="W796">IF(D796="","",_xlfn.XLOOKUP(D796,DATA!B:B,DATA!L:L,""))</f>
        <v/>
      </c>
      <c r="X796" s="78" t="str">
        <f t="array" ref="X796">IF(F796="","",_xlfn.XLOOKUP(F796,DATA!B:B,DATA!L:L,""))</f>
        <v/>
      </c>
    </row>
    <row r="797">
      <c r="A797" s="81"/>
      <c r="B797" s="79"/>
      <c r="C797" s="90"/>
      <c r="D797" s="82"/>
      <c r="E797" s="89"/>
      <c r="F797" s="83"/>
      <c r="G797" s="78"/>
      <c r="H797" s="64" t="str">
        <f t="array" ref="H797">_xlfn.XLOOKUP(G797,DATA!D:D,DATA!E:E,"")</f>
        <v/>
      </c>
      <c r="I797" s="84"/>
      <c r="J797" s="23"/>
      <c r="K797" s="23"/>
      <c r="L797" s="66" t="str">
        <f t="shared" si="1"/>
        <v/>
      </c>
      <c r="M797" s="77"/>
      <c r="N797" s="78"/>
      <c r="O797" s="66" t="str">
        <f>IF(M797="","",
 IF(M797="عدم پاسخ","بدون پاسخ",
 IF(L797="","اطلاعات ناقص",
 IF(L797&lt;=DATA!$M$1,"رعایت شده","رعایت نشده"))))</f>
        <v/>
      </c>
      <c r="P797" s="79"/>
      <c r="Q797" s="77"/>
      <c r="R797" s="79"/>
      <c r="S797" s="79"/>
      <c r="T797" s="78"/>
      <c r="U797" s="80"/>
      <c r="V797" s="78"/>
      <c r="W797" s="77" t="str">
        <f t="array" ref="W797">IF(D797="","",_xlfn.XLOOKUP(D797,DATA!B:B,DATA!L:L,""))</f>
        <v/>
      </c>
      <c r="X797" s="78" t="str">
        <f t="array" ref="X797">IF(F797="","",_xlfn.XLOOKUP(F797,DATA!B:B,DATA!L:L,""))</f>
        <v/>
      </c>
    </row>
    <row r="798">
      <c r="A798" s="81"/>
      <c r="B798" s="79"/>
      <c r="C798" s="90"/>
      <c r="D798" s="82"/>
      <c r="E798" s="89"/>
      <c r="F798" s="83"/>
      <c r="G798" s="78"/>
      <c r="H798" s="64" t="str">
        <f t="array" ref="H798">_xlfn.XLOOKUP(G798,DATA!D:D,DATA!E:E,"")</f>
        <v/>
      </c>
      <c r="I798" s="84"/>
      <c r="J798" s="23"/>
      <c r="K798" s="23"/>
      <c r="L798" s="66" t="str">
        <f t="shared" si="1"/>
        <v/>
      </c>
      <c r="M798" s="77"/>
      <c r="N798" s="78"/>
      <c r="O798" s="66" t="str">
        <f>IF(M798="","",
 IF(M798="عدم پاسخ","بدون پاسخ",
 IF(L798="","اطلاعات ناقص",
 IF(L798&lt;=DATA!$M$1,"رعایت شده","رعایت نشده"))))</f>
        <v/>
      </c>
      <c r="P798" s="79"/>
      <c r="Q798" s="77"/>
      <c r="R798" s="79"/>
      <c r="S798" s="79"/>
      <c r="T798" s="78"/>
      <c r="U798" s="80"/>
      <c r="V798" s="78"/>
      <c r="W798" s="77" t="str">
        <f t="array" ref="W798">IF(D798="","",_xlfn.XLOOKUP(D798,DATA!B:B,DATA!L:L,""))</f>
        <v/>
      </c>
      <c r="X798" s="78" t="str">
        <f t="array" ref="X798">IF(F798="","",_xlfn.XLOOKUP(F798,DATA!B:B,DATA!L:L,""))</f>
        <v/>
      </c>
    </row>
    <row r="799">
      <c r="A799" s="81"/>
      <c r="B799" s="79"/>
      <c r="C799" s="90"/>
      <c r="D799" s="82"/>
      <c r="E799" s="89"/>
      <c r="F799" s="83"/>
      <c r="G799" s="78"/>
      <c r="H799" s="64" t="str">
        <f t="array" ref="H799">_xlfn.XLOOKUP(G799,DATA!D:D,DATA!E:E,"")</f>
        <v/>
      </c>
      <c r="I799" s="84"/>
      <c r="J799" s="23"/>
      <c r="K799" s="23"/>
      <c r="L799" s="66" t="str">
        <f t="shared" si="1"/>
        <v/>
      </c>
      <c r="M799" s="77"/>
      <c r="N799" s="78"/>
      <c r="O799" s="66" t="str">
        <f>IF(M799="","",
 IF(M799="عدم پاسخ","بدون پاسخ",
 IF(L799="","اطلاعات ناقص",
 IF(L799&lt;=DATA!$M$1,"رعایت شده","رعایت نشده"))))</f>
        <v/>
      </c>
      <c r="P799" s="79"/>
      <c r="Q799" s="77"/>
      <c r="R799" s="79"/>
      <c r="S799" s="79"/>
      <c r="T799" s="78"/>
      <c r="U799" s="80"/>
      <c r="V799" s="78"/>
      <c r="W799" s="77" t="str">
        <f t="array" ref="W799">IF(D799="","",_xlfn.XLOOKUP(D799,DATA!B:B,DATA!L:L,""))</f>
        <v/>
      </c>
      <c r="X799" s="78" t="str">
        <f t="array" ref="X799">IF(F799="","",_xlfn.XLOOKUP(F799,DATA!B:B,DATA!L:L,""))</f>
        <v/>
      </c>
    </row>
    <row r="800">
      <c r="A800" s="81"/>
      <c r="B800" s="79"/>
      <c r="C800" s="90"/>
      <c r="D800" s="82"/>
      <c r="E800" s="89"/>
      <c r="F800" s="83"/>
      <c r="G800" s="78"/>
      <c r="H800" s="64" t="str">
        <f t="array" ref="H800">_xlfn.XLOOKUP(G800,DATA!D:D,DATA!E:E,"")</f>
        <v/>
      </c>
      <c r="I800" s="84"/>
      <c r="J800" s="23"/>
      <c r="K800" s="23"/>
      <c r="L800" s="66" t="str">
        <f t="shared" si="1"/>
        <v/>
      </c>
      <c r="M800" s="77"/>
      <c r="N800" s="78"/>
      <c r="O800" s="66" t="str">
        <f>IF(M800="","",
 IF(M800="عدم پاسخ","بدون پاسخ",
 IF(L800="","اطلاعات ناقص",
 IF(L800&lt;=DATA!$M$1,"رعایت شده","رعایت نشده"))))</f>
        <v/>
      </c>
      <c r="P800" s="79"/>
      <c r="Q800" s="77"/>
      <c r="R800" s="79"/>
      <c r="S800" s="79"/>
      <c r="T800" s="78"/>
      <c r="U800" s="80"/>
      <c r="V800" s="78"/>
      <c r="W800" s="77" t="str">
        <f t="array" ref="W800">IF(D800="","",_xlfn.XLOOKUP(D800,DATA!B:B,DATA!L:L,""))</f>
        <v/>
      </c>
      <c r="X800" s="78" t="str">
        <f t="array" ref="X800">IF(F800="","",_xlfn.XLOOKUP(F800,DATA!B:B,DATA!L:L,""))</f>
        <v/>
      </c>
    </row>
    <row r="801">
      <c r="A801" s="81"/>
      <c r="B801" s="79"/>
      <c r="C801" s="90"/>
      <c r="D801" s="82"/>
      <c r="E801" s="89"/>
      <c r="F801" s="83"/>
      <c r="G801" s="78"/>
      <c r="H801" s="64" t="str">
        <f t="array" ref="H801">_xlfn.XLOOKUP(G801,DATA!D:D,DATA!E:E,"")</f>
        <v/>
      </c>
      <c r="I801" s="84"/>
      <c r="J801" s="23"/>
      <c r="K801" s="23"/>
      <c r="L801" s="66" t="str">
        <f t="shared" si="1"/>
        <v/>
      </c>
      <c r="M801" s="77"/>
      <c r="N801" s="78"/>
      <c r="O801" s="66" t="str">
        <f>IF(M801="","",
 IF(M801="عدم پاسخ","بدون پاسخ",
 IF(L801="","اطلاعات ناقص",
 IF(L801&lt;=DATA!$M$1,"رعایت شده","رعایت نشده"))))</f>
        <v/>
      </c>
      <c r="P801" s="79"/>
      <c r="Q801" s="77"/>
      <c r="R801" s="79"/>
      <c r="S801" s="79"/>
      <c r="T801" s="78"/>
      <c r="U801" s="80"/>
      <c r="V801" s="78"/>
      <c r="W801" s="77" t="str">
        <f t="array" ref="W801">IF(D801="","",_xlfn.XLOOKUP(D801,DATA!B:B,DATA!L:L,""))</f>
        <v/>
      </c>
      <c r="X801" s="78" t="str">
        <f t="array" ref="X801">IF(F801="","",_xlfn.XLOOKUP(F801,DATA!B:B,DATA!L:L,""))</f>
        <v/>
      </c>
    </row>
    <row r="802">
      <c r="A802" s="81"/>
      <c r="B802" s="79"/>
      <c r="C802" s="90"/>
      <c r="D802" s="82"/>
      <c r="E802" s="89"/>
      <c r="F802" s="83"/>
      <c r="G802" s="78"/>
      <c r="H802" s="64" t="str">
        <f t="array" ref="H802">_xlfn.XLOOKUP(G802,DATA!D:D,DATA!E:E,"")</f>
        <v/>
      </c>
      <c r="I802" s="84"/>
      <c r="J802" s="23"/>
      <c r="K802" s="23"/>
      <c r="L802" s="66" t="str">
        <f t="shared" si="1"/>
        <v/>
      </c>
      <c r="M802" s="77"/>
      <c r="N802" s="78"/>
      <c r="O802" s="66" t="str">
        <f>IF(M802="","",
 IF(M802="عدم پاسخ","بدون پاسخ",
 IF(L802="","اطلاعات ناقص",
 IF(L802&lt;=DATA!$M$1,"رعایت شده","رعایت نشده"))))</f>
        <v/>
      </c>
      <c r="P802" s="79"/>
      <c r="Q802" s="77"/>
      <c r="R802" s="79"/>
      <c r="S802" s="79"/>
      <c r="T802" s="78"/>
      <c r="U802" s="80"/>
      <c r="V802" s="78"/>
      <c r="W802" s="77" t="str">
        <f t="array" ref="W802">IF(D802="","",_xlfn.XLOOKUP(D802,DATA!B:B,DATA!L:L,""))</f>
        <v/>
      </c>
      <c r="X802" s="78" t="str">
        <f t="array" ref="X802">IF(F802="","",_xlfn.XLOOKUP(F802,DATA!B:B,DATA!L:L,""))</f>
        <v/>
      </c>
    </row>
    <row r="803">
      <c r="A803" s="81"/>
      <c r="B803" s="79"/>
      <c r="C803" s="90"/>
      <c r="D803" s="82"/>
      <c r="E803" s="89"/>
      <c r="F803" s="83"/>
      <c r="G803" s="78"/>
      <c r="H803" s="64" t="str">
        <f t="array" ref="H803">_xlfn.XLOOKUP(G803,DATA!D:D,DATA!E:E,"")</f>
        <v/>
      </c>
      <c r="I803" s="84"/>
      <c r="J803" s="23"/>
      <c r="K803" s="23"/>
      <c r="L803" s="66" t="str">
        <f t="shared" si="1"/>
        <v/>
      </c>
      <c r="M803" s="77"/>
      <c r="N803" s="78"/>
      <c r="O803" s="66" t="str">
        <f>IF(M803="","",
 IF(M803="عدم پاسخ","بدون پاسخ",
 IF(L803="","اطلاعات ناقص",
 IF(L803&lt;=DATA!$M$1,"رعایت شده","رعایت نشده"))))</f>
        <v/>
      </c>
      <c r="P803" s="79"/>
      <c r="Q803" s="77"/>
      <c r="R803" s="79"/>
      <c r="S803" s="79"/>
      <c r="T803" s="78"/>
      <c r="U803" s="80"/>
      <c r="V803" s="78"/>
      <c r="W803" s="77" t="str">
        <f t="array" ref="W803">IF(D803="","",_xlfn.XLOOKUP(D803,DATA!B:B,DATA!L:L,""))</f>
        <v/>
      </c>
      <c r="X803" s="78" t="str">
        <f t="array" ref="X803">IF(F803="","",_xlfn.XLOOKUP(F803,DATA!B:B,DATA!L:L,""))</f>
        <v/>
      </c>
    </row>
    <row r="804">
      <c r="A804" s="81"/>
      <c r="B804" s="79"/>
      <c r="C804" s="90"/>
      <c r="D804" s="82"/>
      <c r="E804" s="89"/>
      <c r="F804" s="83"/>
      <c r="G804" s="78"/>
      <c r="H804" s="64" t="str">
        <f t="array" ref="H804">_xlfn.XLOOKUP(G804,DATA!D:D,DATA!E:E,"")</f>
        <v/>
      </c>
      <c r="I804" s="84"/>
      <c r="J804" s="23"/>
      <c r="K804" s="23"/>
      <c r="L804" s="66" t="str">
        <f t="shared" si="1"/>
        <v/>
      </c>
      <c r="M804" s="77"/>
      <c r="N804" s="78"/>
      <c r="O804" s="66" t="str">
        <f>IF(M804="","",
 IF(M804="عدم پاسخ","بدون پاسخ",
 IF(L804="","اطلاعات ناقص",
 IF(L804&lt;=DATA!$M$1,"رعایت شده","رعایت نشده"))))</f>
        <v/>
      </c>
      <c r="P804" s="79"/>
      <c r="Q804" s="77"/>
      <c r="R804" s="79"/>
      <c r="S804" s="79"/>
      <c r="T804" s="78"/>
      <c r="U804" s="80"/>
      <c r="V804" s="78"/>
      <c r="W804" s="77" t="str">
        <f t="array" ref="W804">IF(D804="","",_xlfn.XLOOKUP(D804,DATA!B:B,DATA!L:L,""))</f>
        <v/>
      </c>
      <c r="X804" s="78" t="str">
        <f t="array" ref="X804">IF(F804="","",_xlfn.XLOOKUP(F804,DATA!B:B,DATA!L:L,""))</f>
        <v/>
      </c>
    </row>
    <row r="805">
      <c r="A805" s="81"/>
      <c r="B805" s="79"/>
      <c r="C805" s="90"/>
      <c r="D805" s="82"/>
      <c r="E805" s="89"/>
      <c r="F805" s="83"/>
      <c r="G805" s="78"/>
      <c r="H805" s="64" t="str">
        <f t="array" ref="H805">_xlfn.XLOOKUP(G805,DATA!D:D,DATA!E:E,"")</f>
        <v/>
      </c>
      <c r="I805" s="84"/>
      <c r="J805" s="23"/>
      <c r="K805" s="23"/>
      <c r="L805" s="66" t="str">
        <f t="shared" si="1"/>
        <v/>
      </c>
      <c r="M805" s="77"/>
      <c r="N805" s="78"/>
      <c r="O805" s="66" t="str">
        <f>IF(M805="","",
 IF(M805="عدم پاسخ","بدون پاسخ",
 IF(L805="","اطلاعات ناقص",
 IF(L805&lt;=DATA!$M$1,"رعایت شده","رعایت نشده"))))</f>
        <v/>
      </c>
      <c r="P805" s="79"/>
      <c r="Q805" s="77"/>
      <c r="R805" s="79"/>
      <c r="S805" s="79"/>
      <c r="T805" s="78"/>
      <c r="U805" s="80"/>
      <c r="V805" s="78"/>
      <c r="W805" s="77" t="str">
        <f t="array" ref="W805">IF(D805="","",_xlfn.XLOOKUP(D805,DATA!B:B,DATA!L:L,""))</f>
        <v/>
      </c>
      <c r="X805" s="78" t="str">
        <f t="array" ref="X805">IF(F805="","",_xlfn.XLOOKUP(F805,DATA!B:B,DATA!L:L,""))</f>
        <v/>
      </c>
    </row>
    <row r="806">
      <c r="A806" s="81"/>
      <c r="B806" s="79"/>
      <c r="C806" s="90"/>
      <c r="D806" s="82"/>
      <c r="E806" s="89"/>
      <c r="F806" s="83"/>
      <c r="G806" s="78"/>
      <c r="H806" s="64" t="str">
        <f t="array" ref="H806">_xlfn.XLOOKUP(G806,DATA!D:D,DATA!E:E,"")</f>
        <v/>
      </c>
      <c r="I806" s="84"/>
      <c r="J806" s="23"/>
      <c r="K806" s="23"/>
      <c r="L806" s="66" t="str">
        <f t="shared" si="1"/>
        <v/>
      </c>
      <c r="M806" s="77"/>
      <c r="N806" s="78"/>
      <c r="O806" s="66" t="str">
        <f>IF(M806="","",
 IF(M806="عدم پاسخ","بدون پاسخ",
 IF(L806="","اطلاعات ناقص",
 IF(L806&lt;=DATA!$M$1,"رعایت شده","رعایت نشده"))))</f>
        <v/>
      </c>
      <c r="P806" s="79"/>
      <c r="Q806" s="77"/>
      <c r="R806" s="79"/>
      <c r="S806" s="79"/>
      <c r="T806" s="78"/>
      <c r="U806" s="80"/>
      <c r="V806" s="78"/>
      <c r="W806" s="77" t="str">
        <f t="array" ref="W806">IF(D806="","",_xlfn.XLOOKUP(D806,DATA!B:B,DATA!L:L,""))</f>
        <v/>
      </c>
      <c r="X806" s="78" t="str">
        <f t="array" ref="X806">IF(F806="","",_xlfn.XLOOKUP(F806,DATA!B:B,DATA!L:L,""))</f>
        <v/>
      </c>
    </row>
    <row r="807">
      <c r="A807" s="81"/>
      <c r="B807" s="79"/>
      <c r="C807" s="90"/>
      <c r="D807" s="82"/>
      <c r="E807" s="89"/>
      <c r="F807" s="83"/>
      <c r="G807" s="78"/>
      <c r="H807" s="64" t="str">
        <f t="array" ref="H807">_xlfn.XLOOKUP(G807,DATA!D:D,DATA!E:E,"")</f>
        <v/>
      </c>
      <c r="I807" s="84"/>
      <c r="J807" s="23"/>
      <c r="K807" s="23"/>
      <c r="L807" s="66" t="str">
        <f t="shared" si="1"/>
        <v/>
      </c>
      <c r="M807" s="77"/>
      <c r="N807" s="78"/>
      <c r="O807" s="66" t="str">
        <f>IF(M807="","",
 IF(M807="عدم پاسخ","بدون پاسخ",
 IF(L807="","اطلاعات ناقص",
 IF(L807&lt;=DATA!$M$1,"رعایت شده","رعایت نشده"))))</f>
        <v/>
      </c>
      <c r="P807" s="79"/>
      <c r="Q807" s="77"/>
      <c r="R807" s="79"/>
      <c r="S807" s="79"/>
      <c r="T807" s="78"/>
      <c r="U807" s="80"/>
      <c r="V807" s="78"/>
      <c r="W807" s="77" t="str">
        <f t="array" ref="W807">IF(D807="","",_xlfn.XLOOKUP(D807,DATA!B:B,DATA!L:L,""))</f>
        <v/>
      </c>
      <c r="X807" s="78" t="str">
        <f t="array" ref="X807">IF(F807="","",_xlfn.XLOOKUP(F807,DATA!B:B,DATA!L:L,""))</f>
        <v/>
      </c>
    </row>
    <row r="808">
      <c r="A808" s="81"/>
      <c r="B808" s="79"/>
      <c r="C808" s="90"/>
      <c r="D808" s="82"/>
      <c r="E808" s="89"/>
      <c r="F808" s="83"/>
      <c r="G808" s="78"/>
      <c r="H808" s="64" t="str">
        <f t="array" ref="H808">_xlfn.XLOOKUP(G808,DATA!D:D,DATA!E:E,"")</f>
        <v/>
      </c>
      <c r="I808" s="84"/>
      <c r="J808" s="23"/>
      <c r="K808" s="23"/>
      <c r="L808" s="66" t="str">
        <f t="shared" si="1"/>
        <v/>
      </c>
      <c r="M808" s="77"/>
      <c r="N808" s="78"/>
      <c r="O808" s="66" t="str">
        <f>IF(M808="","",
 IF(M808="عدم پاسخ","بدون پاسخ",
 IF(L808="","اطلاعات ناقص",
 IF(L808&lt;=DATA!$M$1,"رعایت شده","رعایت نشده"))))</f>
        <v/>
      </c>
      <c r="P808" s="79"/>
      <c r="Q808" s="77"/>
      <c r="R808" s="79"/>
      <c r="S808" s="79"/>
      <c r="T808" s="78"/>
      <c r="U808" s="80"/>
      <c r="V808" s="78"/>
      <c r="W808" s="77" t="str">
        <f t="array" ref="W808">IF(D808="","",_xlfn.XLOOKUP(D808,DATA!B:B,DATA!L:L,""))</f>
        <v/>
      </c>
      <c r="X808" s="78" t="str">
        <f t="array" ref="X808">IF(F808="","",_xlfn.XLOOKUP(F808,DATA!B:B,DATA!L:L,""))</f>
        <v/>
      </c>
    </row>
    <row r="809">
      <c r="A809" s="81"/>
      <c r="B809" s="79"/>
      <c r="C809" s="90"/>
      <c r="D809" s="82"/>
      <c r="E809" s="89"/>
      <c r="F809" s="83"/>
      <c r="G809" s="78"/>
      <c r="H809" s="64" t="str">
        <f t="array" ref="H809">_xlfn.XLOOKUP(G809,DATA!D:D,DATA!E:E,"")</f>
        <v/>
      </c>
      <c r="I809" s="84"/>
      <c r="J809" s="23"/>
      <c r="K809" s="23"/>
      <c r="L809" s="66" t="str">
        <f t="shared" si="1"/>
        <v/>
      </c>
      <c r="M809" s="77"/>
      <c r="N809" s="78"/>
      <c r="O809" s="66" t="str">
        <f>IF(M809="","",
 IF(M809="عدم پاسخ","بدون پاسخ",
 IF(L809="","اطلاعات ناقص",
 IF(L809&lt;=DATA!$M$1,"رعایت شده","رعایت نشده"))))</f>
        <v/>
      </c>
      <c r="P809" s="79"/>
      <c r="Q809" s="77"/>
      <c r="R809" s="79"/>
      <c r="S809" s="79"/>
      <c r="T809" s="78"/>
      <c r="U809" s="80"/>
      <c r="V809" s="78"/>
      <c r="W809" s="77" t="str">
        <f t="array" ref="W809">IF(D809="","",_xlfn.XLOOKUP(D809,DATA!B:B,DATA!L:L,""))</f>
        <v/>
      </c>
      <c r="X809" s="78" t="str">
        <f t="array" ref="X809">IF(F809="","",_xlfn.XLOOKUP(F809,DATA!B:B,DATA!L:L,""))</f>
        <v/>
      </c>
    </row>
    <row r="810">
      <c r="A810" s="81"/>
      <c r="B810" s="79"/>
      <c r="C810" s="90"/>
      <c r="D810" s="82"/>
      <c r="E810" s="89"/>
      <c r="F810" s="83"/>
      <c r="G810" s="78"/>
      <c r="H810" s="64" t="str">
        <f t="array" ref="H810">_xlfn.XLOOKUP(G810,DATA!D:D,DATA!E:E,"")</f>
        <v/>
      </c>
      <c r="I810" s="84"/>
      <c r="J810" s="23"/>
      <c r="K810" s="23"/>
      <c r="L810" s="66" t="str">
        <f t="shared" si="1"/>
        <v/>
      </c>
      <c r="M810" s="77"/>
      <c r="N810" s="78"/>
      <c r="O810" s="66" t="str">
        <f>IF(M810="","",
 IF(M810="عدم پاسخ","بدون پاسخ",
 IF(L810="","اطلاعات ناقص",
 IF(L810&lt;=DATA!$M$1,"رعایت شده","رعایت نشده"))))</f>
        <v/>
      </c>
      <c r="P810" s="79"/>
      <c r="Q810" s="77"/>
      <c r="R810" s="79"/>
      <c r="S810" s="79"/>
      <c r="T810" s="78"/>
      <c r="U810" s="80"/>
      <c r="V810" s="78"/>
      <c r="W810" s="77" t="str">
        <f t="array" ref="W810">IF(D810="","",_xlfn.XLOOKUP(D810,DATA!B:B,DATA!L:L,""))</f>
        <v/>
      </c>
      <c r="X810" s="78" t="str">
        <f t="array" ref="X810">IF(F810="","",_xlfn.XLOOKUP(F810,DATA!B:B,DATA!L:L,""))</f>
        <v/>
      </c>
    </row>
    <row r="811">
      <c r="A811" s="81"/>
      <c r="B811" s="79"/>
      <c r="C811" s="90"/>
      <c r="D811" s="82"/>
      <c r="E811" s="89"/>
      <c r="F811" s="83"/>
      <c r="G811" s="78"/>
      <c r="H811" s="64" t="str">
        <f t="array" ref="H811">_xlfn.XLOOKUP(G811,DATA!D:D,DATA!E:E,"")</f>
        <v/>
      </c>
      <c r="I811" s="84"/>
      <c r="J811" s="23"/>
      <c r="K811" s="23"/>
      <c r="L811" s="66" t="str">
        <f t="shared" si="1"/>
        <v/>
      </c>
      <c r="M811" s="77"/>
      <c r="N811" s="78"/>
      <c r="O811" s="66" t="str">
        <f>IF(M811="","",
 IF(M811="عدم پاسخ","بدون پاسخ",
 IF(L811="","اطلاعات ناقص",
 IF(L811&lt;=DATA!$M$1,"رعایت شده","رعایت نشده"))))</f>
        <v/>
      </c>
      <c r="P811" s="79"/>
      <c r="Q811" s="77"/>
      <c r="R811" s="79"/>
      <c r="S811" s="79"/>
      <c r="T811" s="78"/>
      <c r="U811" s="80"/>
      <c r="V811" s="78"/>
      <c r="W811" s="77" t="str">
        <f t="array" ref="W811">IF(D811="","",_xlfn.XLOOKUP(D811,DATA!B:B,DATA!L:L,""))</f>
        <v/>
      </c>
      <c r="X811" s="78" t="str">
        <f t="array" ref="X811">IF(F811="","",_xlfn.XLOOKUP(F811,DATA!B:B,DATA!L:L,""))</f>
        <v/>
      </c>
    </row>
    <row r="812">
      <c r="A812" s="81"/>
      <c r="B812" s="79"/>
      <c r="C812" s="90"/>
      <c r="D812" s="82"/>
      <c r="E812" s="89"/>
      <c r="F812" s="83"/>
      <c r="G812" s="78"/>
      <c r="H812" s="64" t="str">
        <f t="array" ref="H812">_xlfn.XLOOKUP(G812,DATA!D:D,DATA!E:E,"")</f>
        <v/>
      </c>
      <c r="I812" s="84"/>
      <c r="J812" s="23"/>
      <c r="K812" s="23"/>
      <c r="L812" s="66" t="str">
        <f t="shared" si="1"/>
        <v/>
      </c>
      <c r="M812" s="77"/>
      <c r="N812" s="78"/>
      <c r="O812" s="66" t="str">
        <f>IF(M812="","",
 IF(M812="عدم پاسخ","بدون پاسخ",
 IF(L812="","اطلاعات ناقص",
 IF(L812&lt;=DATA!$M$1,"رعایت شده","رعایت نشده"))))</f>
        <v/>
      </c>
      <c r="P812" s="79"/>
      <c r="Q812" s="77"/>
      <c r="R812" s="79"/>
      <c r="S812" s="79"/>
      <c r="T812" s="78"/>
      <c r="U812" s="80"/>
      <c r="V812" s="78"/>
      <c r="W812" s="77" t="str">
        <f t="array" ref="W812">IF(D812="","",_xlfn.XLOOKUP(D812,DATA!B:B,DATA!L:L,""))</f>
        <v/>
      </c>
      <c r="X812" s="78" t="str">
        <f t="array" ref="X812">IF(F812="","",_xlfn.XLOOKUP(F812,DATA!B:B,DATA!L:L,""))</f>
        <v/>
      </c>
    </row>
    <row r="813">
      <c r="A813" s="81"/>
      <c r="B813" s="79"/>
      <c r="C813" s="90"/>
      <c r="D813" s="82"/>
      <c r="E813" s="89"/>
      <c r="F813" s="83"/>
      <c r="G813" s="78"/>
      <c r="H813" s="64" t="str">
        <f t="array" ref="H813">_xlfn.XLOOKUP(G813,DATA!D:D,DATA!E:E,"")</f>
        <v/>
      </c>
      <c r="I813" s="84"/>
      <c r="J813" s="23"/>
      <c r="K813" s="23"/>
      <c r="L813" s="66" t="str">
        <f t="shared" si="1"/>
        <v/>
      </c>
      <c r="M813" s="77"/>
      <c r="N813" s="78"/>
      <c r="O813" s="66" t="str">
        <f>IF(M813="","",
 IF(M813="عدم پاسخ","بدون پاسخ",
 IF(L813="","اطلاعات ناقص",
 IF(L813&lt;=DATA!$M$1,"رعایت شده","رعایت نشده"))))</f>
        <v/>
      </c>
      <c r="P813" s="79"/>
      <c r="Q813" s="77"/>
      <c r="R813" s="79"/>
      <c r="S813" s="79"/>
      <c r="T813" s="78"/>
      <c r="U813" s="80"/>
      <c r="V813" s="78"/>
      <c r="W813" s="77" t="str">
        <f t="array" ref="W813">IF(D813="","",_xlfn.XLOOKUP(D813,DATA!B:B,DATA!L:L,""))</f>
        <v/>
      </c>
      <c r="X813" s="78" t="str">
        <f t="array" ref="X813">IF(F813="","",_xlfn.XLOOKUP(F813,DATA!B:B,DATA!L:L,""))</f>
        <v/>
      </c>
    </row>
    <row r="814">
      <c r="A814" s="81"/>
      <c r="B814" s="79"/>
      <c r="C814" s="90"/>
      <c r="D814" s="82"/>
      <c r="E814" s="89"/>
      <c r="F814" s="83"/>
      <c r="G814" s="78"/>
      <c r="H814" s="64" t="str">
        <f t="array" ref="H814">_xlfn.XLOOKUP(G814,DATA!D:D,DATA!E:E,"")</f>
        <v/>
      </c>
      <c r="I814" s="84"/>
      <c r="J814" s="23"/>
      <c r="K814" s="23"/>
      <c r="L814" s="66" t="str">
        <f t="shared" si="1"/>
        <v/>
      </c>
      <c r="M814" s="77"/>
      <c r="N814" s="78"/>
      <c r="O814" s="66" t="str">
        <f>IF(M814="","",
 IF(M814="عدم پاسخ","بدون پاسخ",
 IF(L814="","اطلاعات ناقص",
 IF(L814&lt;=DATA!$M$1,"رعایت شده","رعایت نشده"))))</f>
        <v/>
      </c>
      <c r="P814" s="79"/>
      <c r="Q814" s="77"/>
      <c r="R814" s="79"/>
      <c r="S814" s="79"/>
      <c r="T814" s="78"/>
      <c r="U814" s="80"/>
      <c r="V814" s="78"/>
      <c r="W814" s="77" t="str">
        <f t="array" ref="W814">IF(D814="","",_xlfn.XLOOKUP(D814,DATA!B:B,DATA!L:L,""))</f>
        <v/>
      </c>
      <c r="X814" s="78" t="str">
        <f t="array" ref="X814">IF(F814="","",_xlfn.XLOOKUP(F814,DATA!B:B,DATA!L:L,""))</f>
        <v/>
      </c>
    </row>
    <row r="815">
      <c r="A815" s="81"/>
      <c r="B815" s="79"/>
      <c r="C815" s="90"/>
      <c r="D815" s="82"/>
      <c r="E815" s="89"/>
      <c r="F815" s="83"/>
      <c r="G815" s="78"/>
      <c r="H815" s="64" t="str">
        <f t="array" ref="H815">_xlfn.XLOOKUP(G815,DATA!D:D,DATA!E:E,"")</f>
        <v/>
      </c>
      <c r="I815" s="84"/>
      <c r="J815" s="23"/>
      <c r="K815" s="23"/>
      <c r="L815" s="66" t="str">
        <f t="shared" si="1"/>
        <v/>
      </c>
      <c r="M815" s="77"/>
      <c r="N815" s="78"/>
      <c r="O815" s="66" t="str">
        <f>IF(M815="","",
 IF(M815="عدم پاسخ","بدون پاسخ",
 IF(L815="","اطلاعات ناقص",
 IF(L815&lt;=DATA!$M$1,"رعایت شده","رعایت نشده"))))</f>
        <v/>
      </c>
      <c r="P815" s="79"/>
      <c r="Q815" s="77"/>
      <c r="R815" s="79"/>
      <c r="S815" s="79"/>
      <c r="T815" s="78"/>
      <c r="U815" s="80"/>
      <c r="V815" s="78"/>
      <c r="W815" s="77" t="str">
        <f t="array" ref="W815">IF(D815="","",_xlfn.XLOOKUP(D815,DATA!B:B,DATA!L:L,""))</f>
        <v/>
      </c>
      <c r="X815" s="78" t="str">
        <f t="array" ref="X815">IF(F815="","",_xlfn.XLOOKUP(F815,DATA!B:B,DATA!L:L,""))</f>
        <v/>
      </c>
    </row>
    <row r="816">
      <c r="A816" s="81"/>
      <c r="B816" s="79"/>
      <c r="C816" s="90"/>
      <c r="D816" s="82"/>
      <c r="E816" s="89"/>
      <c r="F816" s="83"/>
      <c r="G816" s="78"/>
      <c r="H816" s="64" t="str">
        <f t="array" ref="H816">_xlfn.XLOOKUP(G816,DATA!D:D,DATA!E:E,"")</f>
        <v/>
      </c>
      <c r="I816" s="84"/>
      <c r="J816" s="23"/>
      <c r="K816" s="23"/>
      <c r="L816" s="66" t="str">
        <f t="shared" si="1"/>
        <v/>
      </c>
      <c r="M816" s="77"/>
      <c r="N816" s="78"/>
      <c r="O816" s="66" t="str">
        <f>IF(M816="","",
 IF(M816="عدم پاسخ","بدون پاسخ",
 IF(L816="","اطلاعات ناقص",
 IF(L816&lt;=DATA!$M$1,"رعایت شده","رعایت نشده"))))</f>
        <v/>
      </c>
      <c r="P816" s="79"/>
      <c r="Q816" s="77"/>
      <c r="R816" s="79"/>
      <c r="S816" s="79"/>
      <c r="T816" s="78"/>
      <c r="U816" s="80"/>
      <c r="V816" s="78"/>
      <c r="W816" s="77" t="str">
        <f t="array" ref="W816">IF(D816="","",_xlfn.XLOOKUP(D816,DATA!B:B,DATA!L:L,""))</f>
        <v/>
      </c>
      <c r="X816" s="78" t="str">
        <f t="array" ref="X816">IF(F816="","",_xlfn.XLOOKUP(F816,DATA!B:B,DATA!L:L,""))</f>
        <v/>
      </c>
    </row>
    <row r="817">
      <c r="A817" s="81"/>
      <c r="B817" s="79"/>
      <c r="C817" s="90"/>
      <c r="D817" s="82"/>
      <c r="E817" s="89"/>
      <c r="F817" s="83"/>
      <c r="G817" s="78"/>
      <c r="H817" s="64" t="str">
        <f t="array" ref="H817">_xlfn.XLOOKUP(G817,DATA!D:D,DATA!E:E,"")</f>
        <v/>
      </c>
      <c r="I817" s="84"/>
      <c r="J817" s="23"/>
      <c r="K817" s="23"/>
      <c r="L817" s="66" t="str">
        <f t="shared" si="1"/>
        <v/>
      </c>
      <c r="M817" s="77"/>
      <c r="N817" s="78"/>
      <c r="O817" s="66" t="str">
        <f>IF(M817="","",
 IF(M817="عدم پاسخ","بدون پاسخ",
 IF(L817="","اطلاعات ناقص",
 IF(L817&lt;=DATA!$M$1,"رعایت شده","رعایت نشده"))))</f>
        <v/>
      </c>
      <c r="P817" s="79"/>
      <c r="Q817" s="77"/>
      <c r="R817" s="79"/>
      <c r="S817" s="79"/>
      <c r="T817" s="78"/>
      <c r="U817" s="80"/>
      <c r="V817" s="78"/>
      <c r="W817" s="77" t="str">
        <f t="array" ref="W817">IF(D817="","",_xlfn.XLOOKUP(D817,DATA!B:B,DATA!L:L,""))</f>
        <v/>
      </c>
      <c r="X817" s="78" t="str">
        <f t="array" ref="X817">IF(F817="","",_xlfn.XLOOKUP(F817,DATA!B:B,DATA!L:L,""))</f>
        <v/>
      </c>
    </row>
    <row r="818">
      <c r="A818" s="81"/>
      <c r="B818" s="79"/>
      <c r="C818" s="90"/>
      <c r="D818" s="82"/>
      <c r="E818" s="89"/>
      <c r="F818" s="83"/>
      <c r="G818" s="78"/>
      <c r="H818" s="64" t="str">
        <f t="array" ref="H818">_xlfn.XLOOKUP(G818,DATA!D:D,DATA!E:E,"")</f>
        <v/>
      </c>
      <c r="I818" s="84"/>
      <c r="J818" s="23"/>
      <c r="K818" s="23"/>
      <c r="L818" s="66" t="str">
        <f t="shared" si="1"/>
        <v/>
      </c>
      <c r="M818" s="77"/>
      <c r="N818" s="78"/>
      <c r="O818" s="66" t="str">
        <f>IF(M818="","",
 IF(M818="عدم پاسخ","بدون پاسخ",
 IF(L818="","اطلاعات ناقص",
 IF(L818&lt;=DATA!$M$1,"رعایت شده","رعایت نشده"))))</f>
        <v/>
      </c>
      <c r="P818" s="79"/>
      <c r="Q818" s="77"/>
      <c r="R818" s="79"/>
      <c r="S818" s="79"/>
      <c r="T818" s="78"/>
      <c r="U818" s="80"/>
      <c r="V818" s="78"/>
      <c r="W818" s="77" t="str">
        <f t="array" ref="W818">IF(D818="","",_xlfn.XLOOKUP(D818,DATA!B:B,DATA!L:L,""))</f>
        <v/>
      </c>
      <c r="X818" s="78" t="str">
        <f t="array" ref="X818">IF(F818="","",_xlfn.XLOOKUP(F818,DATA!B:B,DATA!L:L,""))</f>
        <v/>
      </c>
    </row>
    <row r="819">
      <c r="A819" s="81"/>
      <c r="B819" s="79"/>
      <c r="C819" s="90"/>
      <c r="D819" s="82"/>
      <c r="E819" s="89"/>
      <c r="F819" s="83"/>
      <c r="G819" s="78"/>
      <c r="H819" s="64" t="str">
        <f t="array" ref="H819">_xlfn.XLOOKUP(G819,DATA!D:D,DATA!E:E,"")</f>
        <v/>
      </c>
      <c r="I819" s="84"/>
      <c r="J819" s="23"/>
      <c r="K819" s="23"/>
      <c r="L819" s="66" t="str">
        <f t="shared" si="1"/>
        <v/>
      </c>
      <c r="M819" s="77"/>
      <c r="N819" s="78"/>
      <c r="O819" s="66" t="str">
        <f>IF(M819="","",
 IF(M819="عدم پاسخ","بدون پاسخ",
 IF(L819="","اطلاعات ناقص",
 IF(L819&lt;=DATA!$M$1,"رعایت شده","رعایت نشده"))))</f>
        <v/>
      </c>
      <c r="P819" s="79"/>
      <c r="Q819" s="77"/>
      <c r="R819" s="79"/>
      <c r="S819" s="79"/>
      <c r="T819" s="78"/>
      <c r="U819" s="80"/>
      <c r="V819" s="78"/>
      <c r="W819" s="77" t="str">
        <f t="array" ref="W819">IF(D819="","",_xlfn.XLOOKUP(D819,DATA!B:B,DATA!L:L,""))</f>
        <v/>
      </c>
      <c r="X819" s="78" t="str">
        <f t="array" ref="X819">IF(F819="","",_xlfn.XLOOKUP(F819,DATA!B:B,DATA!L:L,""))</f>
        <v/>
      </c>
    </row>
    <row r="820">
      <c r="A820" s="81"/>
      <c r="B820" s="79"/>
      <c r="C820" s="90"/>
      <c r="D820" s="82"/>
      <c r="E820" s="89"/>
      <c r="F820" s="83"/>
      <c r="G820" s="78"/>
      <c r="H820" s="64" t="str">
        <f t="array" ref="H820">_xlfn.XLOOKUP(G820,DATA!D:D,DATA!E:E,"")</f>
        <v/>
      </c>
      <c r="I820" s="84"/>
      <c r="J820" s="23"/>
      <c r="K820" s="23"/>
      <c r="L820" s="66" t="str">
        <f t="shared" si="1"/>
        <v/>
      </c>
      <c r="M820" s="77"/>
      <c r="N820" s="78"/>
      <c r="O820" s="66" t="str">
        <f>IF(M820="","",
 IF(M820="عدم پاسخ","بدون پاسخ",
 IF(L820="","اطلاعات ناقص",
 IF(L820&lt;=DATA!$M$1,"رعایت شده","رعایت نشده"))))</f>
        <v/>
      </c>
      <c r="P820" s="79"/>
      <c r="Q820" s="77"/>
      <c r="R820" s="79"/>
      <c r="S820" s="79"/>
      <c r="T820" s="78"/>
      <c r="U820" s="80"/>
      <c r="V820" s="78"/>
      <c r="W820" s="77" t="str">
        <f t="array" ref="W820">IF(D820="","",_xlfn.XLOOKUP(D820,DATA!B:B,DATA!L:L,""))</f>
        <v/>
      </c>
      <c r="X820" s="78" t="str">
        <f t="array" ref="X820">IF(F820="","",_xlfn.XLOOKUP(F820,DATA!B:B,DATA!L:L,""))</f>
        <v/>
      </c>
    </row>
    <row r="821">
      <c r="A821" s="81"/>
      <c r="B821" s="79"/>
      <c r="C821" s="90"/>
      <c r="D821" s="82"/>
      <c r="E821" s="89"/>
      <c r="F821" s="83"/>
      <c r="G821" s="78"/>
      <c r="H821" s="64" t="str">
        <f t="array" ref="H821">_xlfn.XLOOKUP(G821,DATA!D:D,DATA!E:E,"")</f>
        <v/>
      </c>
      <c r="I821" s="84"/>
      <c r="J821" s="23"/>
      <c r="K821" s="23"/>
      <c r="L821" s="66" t="str">
        <f t="shared" si="1"/>
        <v/>
      </c>
      <c r="M821" s="77"/>
      <c r="N821" s="78"/>
      <c r="O821" s="66" t="str">
        <f>IF(M821="","",
 IF(M821="عدم پاسخ","بدون پاسخ",
 IF(L821="","اطلاعات ناقص",
 IF(L821&lt;=DATA!$M$1,"رعایت شده","رعایت نشده"))))</f>
        <v/>
      </c>
      <c r="P821" s="79"/>
      <c r="Q821" s="77"/>
      <c r="R821" s="79"/>
      <c r="S821" s="79"/>
      <c r="T821" s="78"/>
      <c r="U821" s="80"/>
      <c r="V821" s="78"/>
      <c r="W821" s="77" t="str">
        <f t="array" ref="W821">IF(D821="","",_xlfn.XLOOKUP(D821,DATA!B:B,DATA!L:L,""))</f>
        <v/>
      </c>
      <c r="X821" s="78" t="str">
        <f t="array" ref="X821">IF(F821="","",_xlfn.XLOOKUP(F821,DATA!B:B,DATA!L:L,""))</f>
        <v/>
      </c>
    </row>
    <row r="822">
      <c r="A822" s="81"/>
      <c r="B822" s="79"/>
      <c r="C822" s="90"/>
      <c r="D822" s="82"/>
      <c r="E822" s="89"/>
      <c r="F822" s="83"/>
      <c r="G822" s="78"/>
      <c r="H822" s="64" t="str">
        <f t="array" ref="H822">_xlfn.XLOOKUP(G822,DATA!D:D,DATA!E:E,"")</f>
        <v/>
      </c>
      <c r="I822" s="84"/>
      <c r="J822" s="23"/>
      <c r="K822" s="23"/>
      <c r="L822" s="66" t="str">
        <f t="shared" si="1"/>
        <v/>
      </c>
      <c r="M822" s="77"/>
      <c r="N822" s="78"/>
      <c r="O822" s="66" t="str">
        <f>IF(M822="","",
 IF(M822="عدم پاسخ","بدون پاسخ",
 IF(L822="","اطلاعات ناقص",
 IF(L822&lt;=DATA!$M$1,"رعایت شده","رعایت نشده"))))</f>
        <v/>
      </c>
      <c r="P822" s="79"/>
      <c r="Q822" s="77"/>
      <c r="R822" s="79"/>
      <c r="S822" s="79"/>
      <c r="T822" s="78"/>
      <c r="U822" s="80"/>
      <c r="V822" s="78"/>
      <c r="W822" s="77" t="str">
        <f t="array" ref="W822">IF(D822="","",_xlfn.XLOOKUP(D822,DATA!B:B,DATA!L:L,""))</f>
        <v/>
      </c>
      <c r="X822" s="78" t="str">
        <f t="array" ref="X822">IF(F822="","",_xlfn.XLOOKUP(F822,DATA!B:B,DATA!L:L,""))</f>
        <v/>
      </c>
    </row>
    <row r="823">
      <c r="A823" s="81"/>
      <c r="B823" s="79"/>
      <c r="C823" s="90"/>
      <c r="D823" s="82"/>
      <c r="E823" s="89"/>
      <c r="F823" s="83"/>
      <c r="G823" s="78"/>
      <c r="H823" s="64" t="str">
        <f t="array" ref="H823">_xlfn.XLOOKUP(G823,DATA!D:D,DATA!E:E,"")</f>
        <v/>
      </c>
      <c r="I823" s="84"/>
      <c r="J823" s="23"/>
      <c r="K823" s="23"/>
      <c r="L823" s="66" t="str">
        <f t="shared" si="1"/>
        <v/>
      </c>
      <c r="M823" s="77"/>
      <c r="N823" s="78"/>
      <c r="O823" s="66" t="str">
        <f>IF(M823="","",
 IF(M823="عدم پاسخ","بدون پاسخ",
 IF(L823="","اطلاعات ناقص",
 IF(L823&lt;=DATA!$M$1,"رعایت شده","رعایت نشده"))))</f>
        <v/>
      </c>
      <c r="P823" s="79"/>
      <c r="Q823" s="77"/>
      <c r="R823" s="79"/>
      <c r="S823" s="79"/>
      <c r="T823" s="78"/>
      <c r="U823" s="80"/>
      <c r="V823" s="78"/>
      <c r="W823" s="77" t="str">
        <f t="array" ref="W823">IF(D823="","",_xlfn.XLOOKUP(D823,DATA!B:B,DATA!L:L,""))</f>
        <v/>
      </c>
      <c r="X823" s="78" t="str">
        <f t="array" ref="X823">IF(F823="","",_xlfn.XLOOKUP(F823,DATA!B:B,DATA!L:L,""))</f>
        <v/>
      </c>
    </row>
    <row r="824">
      <c r="A824" s="81"/>
      <c r="B824" s="79"/>
      <c r="C824" s="90"/>
      <c r="D824" s="82"/>
      <c r="E824" s="89"/>
      <c r="F824" s="83"/>
      <c r="G824" s="78"/>
      <c r="H824" s="64" t="str">
        <f t="array" ref="H824">_xlfn.XLOOKUP(G824,DATA!D:D,DATA!E:E,"")</f>
        <v/>
      </c>
      <c r="I824" s="84"/>
      <c r="J824" s="23"/>
      <c r="K824" s="23"/>
      <c r="L824" s="66" t="str">
        <f t="shared" si="1"/>
        <v/>
      </c>
      <c r="M824" s="77"/>
      <c r="N824" s="78"/>
      <c r="O824" s="66" t="str">
        <f>IF(M824="","",
 IF(M824="عدم پاسخ","بدون پاسخ",
 IF(L824="","اطلاعات ناقص",
 IF(L824&lt;=DATA!$M$1,"رعایت شده","رعایت نشده"))))</f>
        <v/>
      </c>
      <c r="P824" s="79"/>
      <c r="Q824" s="77"/>
      <c r="R824" s="79"/>
      <c r="S824" s="79"/>
      <c r="T824" s="78"/>
      <c r="U824" s="80"/>
      <c r="V824" s="78"/>
      <c r="W824" s="77" t="str">
        <f t="array" ref="W824">IF(D824="","",_xlfn.XLOOKUP(D824,DATA!B:B,DATA!L:L,""))</f>
        <v/>
      </c>
      <c r="X824" s="78" t="str">
        <f t="array" ref="X824">IF(F824="","",_xlfn.XLOOKUP(F824,DATA!B:B,DATA!L:L,""))</f>
        <v/>
      </c>
    </row>
    <row r="825">
      <c r="A825" s="81"/>
      <c r="B825" s="79"/>
      <c r="C825" s="90"/>
      <c r="D825" s="82"/>
      <c r="E825" s="89"/>
      <c r="F825" s="83"/>
      <c r="G825" s="78"/>
      <c r="H825" s="64" t="str">
        <f t="array" ref="H825">_xlfn.XLOOKUP(G825,DATA!D:D,DATA!E:E,"")</f>
        <v/>
      </c>
      <c r="I825" s="84"/>
      <c r="J825" s="23"/>
      <c r="K825" s="23"/>
      <c r="L825" s="66" t="str">
        <f t="shared" si="1"/>
        <v/>
      </c>
      <c r="M825" s="77"/>
      <c r="N825" s="78"/>
      <c r="O825" s="66" t="str">
        <f>IF(M825="","",
 IF(M825="عدم پاسخ","بدون پاسخ",
 IF(L825="","اطلاعات ناقص",
 IF(L825&lt;=DATA!$M$1,"رعایت شده","رعایت نشده"))))</f>
        <v/>
      </c>
      <c r="P825" s="79"/>
      <c r="Q825" s="77"/>
      <c r="R825" s="79"/>
      <c r="S825" s="79"/>
      <c r="T825" s="78"/>
      <c r="U825" s="80"/>
      <c r="V825" s="78"/>
      <c r="W825" s="77" t="str">
        <f t="array" ref="W825">IF(D825="","",_xlfn.XLOOKUP(D825,DATA!B:B,DATA!L:L,""))</f>
        <v/>
      </c>
      <c r="X825" s="78" t="str">
        <f t="array" ref="X825">IF(F825="","",_xlfn.XLOOKUP(F825,DATA!B:B,DATA!L:L,""))</f>
        <v/>
      </c>
    </row>
    <row r="826">
      <c r="A826" s="81"/>
      <c r="B826" s="79"/>
      <c r="C826" s="90"/>
      <c r="D826" s="82"/>
      <c r="E826" s="89"/>
      <c r="F826" s="83"/>
      <c r="G826" s="78"/>
      <c r="H826" s="64" t="str">
        <f t="array" ref="H826">_xlfn.XLOOKUP(G826,DATA!D:D,DATA!E:E,"")</f>
        <v/>
      </c>
      <c r="I826" s="84"/>
      <c r="J826" s="23"/>
      <c r="K826" s="23"/>
      <c r="L826" s="66" t="str">
        <f t="shared" si="1"/>
        <v/>
      </c>
      <c r="M826" s="77"/>
      <c r="N826" s="78"/>
      <c r="O826" s="66" t="str">
        <f>IF(M826="","",
 IF(M826="عدم پاسخ","بدون پاسخ",
 IF(L826="","اطلاعات ناقص",
 IF(L826&lt;=DATA!$M$1,"رعایت شده","رعایت نشده"))))</f>
        <v/>
      </c>
      <c r="P826" s="79"/>
      <c r="Q826" s="77"/>
      <c r="R826" s="79"/>
      <c r="S826" s="79"/>
      <c r="T826" s="78"/>
      <c r="U826" s="80"/>
      <c r="V826" s="78"/>
      <c r="W826" s="77" t="str">
        <f t="array" ref="W826">IF(D826="","",_xlfn.XLOOKUP(D826,DATA!B:B,DATA!L:L,""))</f>
        <v/>
      </c>
      <c r="X826" s="78" t="str">
        <f t="array" ref="X826">IF(F826="","",_xlfn.XLOOKUP(F826,DATA!B:B,DATA!L:L,""))</f>
        <v/>
      </c>
    </row>
    <row r="827">
      <c r="A827" s="81"/>
      <c r="B827" s="79"/>
      <c r="C827" s="90"/>
      <c r="D827" s="82"/>
      <c r="E827" s="89"/>
      <c r="F827" s="83"/>
      <c r="G827" s="78"/>
      <c r="H827" s="64" t="str">
        <f t="array" ref="H827">_xlfn.XLOOKUP(G827,DATA!D:D,DATA!E:E,"")</f>
        <v/>
      </c>
      <c r="I827" s="84"/>
      <c r="J827" s="23"/>
      <c r="K827" s="23"/>
      <c r="L827" s="66" t="str">
        <f t="shared" si="1"/>
        <v/>
      </c>
      <c r="M827" s="77"/>
      <c r="N827" s="78"/>
      <c r="O827" s="66" t="str">
        <f>IF(M827="","",
 IF(M827="عدم پاسخ","بدون پاسخ",
 IF(L827="","اطلاعات ناقص",
 IF(L827&lt;=DATA!$M$1,"رعایت شده","رعایت نشده"))))</f>
        <v/>
      </c>
      <c r="P827" s="79"/>
      <c r="Q827" s="77"/>
      <c r="R827" s="79"/>
      <c r="S827" s="79"/>
      <c r="T827" s="78"/>
      <c r="U827" s="80"/>
      <c r="V827" s="78"/>
      <c r="W827" s="77" t="str">
        <f t="array" ref="W827">IF(D827="","",_xlfn.XLOOKUP(D827,DATA!B:B,DATA!L:L,""))</f>
        <v/>
      </c>
      <c r="X827" s="78" t="str">
        <f t="array" ref="X827">IF(F827="","",_xlfn.XLOOKUP(F827,DATA!B:B,DATA!L:L,""))</f>
        <v/>
      </c>
    </row>
    <row r="828">
      <c r="A828" s="81"/>
      <c r="B828" s="79"/>
      <c r="C828" s="90"/>
      <c r="D828" s="82"/>
      <c r="E828" s="89"/>
      <c r="F828" s="83"/>
      <c r="G828" s="78"/>
      <c r="H828" s="64" t="str">
        <f t="array" ref="H828">_xlfn.XLOOKUP(G828,DATA!D:D,DATA!E:E,"")</f>
        <v/>
      </c>
      <c r="I828" s="84"/>
      <c r="J828" s="23"/>
      <c r="K828" s="23"/>
      <c r="L828" s="66" t="str">
        <f t="shared" si="1"/>
        <v/>
      </c>
      <c r="M828" s="77"/>
      <c r="N828" s="78"/>
      <c r="O828" s="66" t="str">
        <f>IF(M828="","",
 IF(M828="عدم پاسخ","بدون پاسخ",
 IF(L828="","اطلاعات ناقص",
 IF(L828&lt;=DATA!$M$1,"رعایت شده","رعایت نشده"))))</f>
        <v/>
      </c>
      <c r="P828" s="79"/>
      <c r="Q828" s="77"/>
      <c r="R828" s="79"/>
      <c r="S828" s="79"/>
      <c r="T828" s="78"/>
      <c r="U828" s="80"/>
      <c r="V828" s="78"/>
      <c r="W828" s="77" t="str">
        <f t="array" ref="W828">IF(D828="","",_xlfn.XLOOKUP(D828,DATA!B:B,DATA!L:L,""))</f>
        <v/>
      </c>
      <c r="X828" s="78" t="str">
        <f t="array" ref="X828">IF(F828="","",_xlfn.XLOOKUP(F828,DATA!B:B,DATA!L:L,""))</f>
        <v/>
      </c>
    </row>
    <row r="829">
      <c r="A829" s="81"/>
      <c r="B829" s="79"/>
      <c r="C829" s="90"/>
      <c r="D829" s="82"/>
      <c r="E829" s="89"/>
      <c r="F829" s="83"/>
      <c r="G829" s="78"/>
      <c r="H829" s="64" t="str">
        <f t="array" ref="H829">_xlfn.XLOOKUP(G829,DATA!D:D,DATA!E:E,"")</f>
        <v/>
      </c>
      <c r="I829" s="84"/>
      <c r="J829" s="23"/>
      <c r="K829" s="23"/>
      <c r="L829" s="66" t="str">
        <f t="shared" si="1"/>
        <v/>
      </c>
      <c r="M829" s="77"/>
      <c r="N829" s="78"/>
      <c r="O829" s="66" t="str">
        <f>IF(M829="","",
 IF(M829="عدم پاسخ","بدون پاسخ",
 IF(L829="","اطلاعات ناقص",
 IF(L829&lt;=DATA!$M$1,"رعایت شده","رعایت نشده"))))</f>
        <v/>
      </c>
      <c r="P829" s="79"/>
      <c r="Q829" s="77"/>
      <c r="R829" s="79"/>
      <c r="S829" s="79"/>
      <c r="T829" s="78"/>
      <c r="U829" s="80"/>
      <c r="V829" s="78"/>
      <c r="W829" s="77" t="str">
        <f t="array" ref="W829">IF(D829="","",_xlfn.XLOOKUP(D829,DATA!B:B,DATA!L:L,""))</f>
        <v/>
      </c>
      <c r="X829" s="78" t="str">
        <f t="array" ref="X829">IF(F829="","",_xlfn.XLOOKUP(F829,DATA!B:B,DATA!L:L,""))</f>
        <v/>
      </c>
    </row>
    <row r="830">
      <c r="A830" s="81"/>
      <c r="B830" s="79"/>
      <c r="C830" s="90"/>
      <c r="D830" s="82"/>
      <c r="E830" s="89"/>
      <c r="F830" s="83"/>
      <c r="G830" s="78"/>
      <c r="H830" s="64" t="str">
        <f t="array" ref="H830">_xlfn.XLOOKUP(G830,DATA!D:D,DATA!E:E,"")</f>
        <v/>
      </c>
      <c r="I830" s="84"/>
      <c r="J830" s="23"/>
      <c r="K830" s="23"/>
      <c r="L830" s="66" t="str">
        <f t="shared" si="1"/>
        <v/>
      </c>
      <c r="M830" s="77"/>
      <c r="N830" s="78"/>
      <c r="O830" s="66" t="str">
        <f>IF(M830="","",
 IF(M830="عدم پاسخ","بدون پاسخ",
 IF(L830="","اطلاعات ناقص",
 IF(L830&lt;=DATA!$M$1,"رعایت شده","رعایت نشده"))))</f>
        <v/>
      </c>
      <c r="P830" s="79"/>
      <c r="Q830" s="77"/>
      <c r="R830" s="79"/>
      <c r="S830" s="79"/>
      <c r="T830" s="78"/>
      <c r="U830" s="80"/>
      <c r="V830" s="78"/>
      <c r="W830" s="77" t="str">
        <f t="array" ref="W830">IF(D830="","",_xlfn.XLOOKUP(D830,DATA!B:B,DATA!L:L,""))</f>
        <v/>
      </c>
      <c r="X830" s="78" t="str">
        <f t="array" ref="X830">IF(F830="","",_xlfn.XLOOKUP(F830,DATA!B:B,DATA!L:L,""))</f>
        <v/>
      </c>
    </row>
    <row r="831">
      <c r="A831" s="81"/>
      <c r="B831" s="79"/>
      <c r="C831" s="90"/>
      <c r="D831" s="82"/>
      <c r="E831" s="89"/>
      <c r="F831" s="83"/>
      <c r="G831" s="78"/>
      <c r="H831" s="64" t="str">
        <f t="array" ref="H831">_xlfn.XLOOKUP(G831,DATA!D:D,DATA!E:E,"")</f>
        <v/>
      </c>
      <c r="I831" s="84"/>
      <c r="J831" s="23"/>
      <c r="K831" s="23"/>
      <c r="L831" s="66" t="str">
        <f t="shared" si="1"/>
        <v/>
      </c>
      <c r="M831" s="77"/>
      <c r="N831" s="78"/>
      <c r="O831" s="66" t="str">
        <f>IF(M831="","",
 IF(M831="عدم پاسخ","بدون پاسخ",
 IF(L831="","اطلاعات ناقص",
 IF(L831&lt;=DATA!$M$1,"رعایت شده","رعایت نشده"))))</f>
        <v/>
      </c>
      <c r="P831" s="79"/>
      <c r="Q831" s="77"/>
      <c r="R831" s="79"/>
      <c r="S831" s="79"/>
      <c r="T831" s="78"/>
      <c r="U831" s="80"/>
      <c r="V831" s="78"/>
      <c r="W831" s="77" t="str">
        <f t="array" ref="W831">IF(D831="","",_xlfn.XLOOKUP(D831,DATA!B:B,DATA!L:L,""))</f>
        <v/>
      </c>
      <c r="X831" s="78" t="str">
        <f t="array" ref="X831">IF(F831="","",_xlfn.XLOOKUP(F831,DATA!B:B,DATA!L:L,""))</f>
        <v/>
      </c>
    </row>
    <row r="832">
      <c r="A832" s="81"/>
      <c r="B832" s="79"/>
      <c r="C832" s="90"/>
      <c r="D832" s="82"/>
      <c r="E832" s="89"/>
      <c r="F832" s="83"/>
      <c r="G832" s="78"/>
      <c r="H832" s="64" t="str">
        <f t="array" ref="H832">_xlfn.XLOOKUP(G832,DATA!D:D,DATA!E:E,"")</f>
        <v/>
      </c>
      <c r="I832" s="84"/>
      <c r="J832" s="23"/>
      <c r="K832" s="23"/>
      <c r="L832" s="66" t="str">
        <f t="shared" si="1"/>
        <v/>
      </c>
      <c r="M832" s="77"/>
      <c r="N832" s="78"/>
      <c r="O832" s="66" t="str">
        <f>IF(M832="","",
 IF(M832="عدم پاسخ","بدون پاسخ",
 IF(L832="","اطلاعات ناقص",
 IF(L832&lt;=DATA!$M$1,"رعایت شده","رعایت نشده"))))</f>
        <v/>
      </c>
      <c r="P832" s="79"/>
      <c r="Q832" s="77"/>
      <c r="R832" s="79"/>
      <c r="S832" s="79"/>
      <c r="T832" s="78"/>
      <c r="U832" s="80"/>
      <c r="V832" s="78"/>
      <c r="W832" s="77" t="str">
        <f t="array" ref="W832">IF(D832="","",_xlfn.XLOOKUP(D832,DATA!B:B,DATA!L:L,""))</f>
        <v/>
      </c>
      <c r="X832" s="78" t="str">
        <f t="array" ref="X832">IF(F832="","",_xlfn.XLOOKUP(F832,DATA!B:B,DATA!L:L,""))</f>
        <v/>
      </c>
    </row>
    <row r="833">
      <c r="A833" s="81"/>
      <c r="B833" s="79"/>
      <c r="C833" s="90"/>
      <c r="D833" s="82"/>
      <c r="E833" s="89"/>
      <c r="F833" s="83"/>
      <c r="G833" s="78"/>
      <c r="H833" s="64" t="str">
        <f t="array" ref="H833">_xlfn.XLOOKUP(G833,DATA!D:D,DATA!E:E,"")</f>
        <v/>
      </c>
      <c r="I833" s="84"/>
      <c r="J833" s="23"/>
      <c r="K833" s="23"/>
      <c r="L833" s="66" t="str">
        <f t="shared" si="1"/>
        <v/>
      </c>
      <c r="M833" s="77"/>
      <c r="N833" s="78"/>
      <c r="O833" s="66" t="str">
        <f>IF(M833="","",
 IF(M833="عدم پاسخ","بدون پاسخ",
 IF(L833="","اطلاعات ناقص",
 IF(L833&lt;=DATA!$M$1,"رعایت شده","رعایت نشده"))))</f>
        <v/>
      </c>
      <c r="P833" s="79"/>
      <c r="Q833" s="77"/>
      <c r="R833" s="79"/>
      <c r="S833" s="79"/>
      <c r="T833" s="78"/>
      <c r="U833" s="80"/>
      <c r="V833" s="78"/>
      <c r="W833" s="77" t="str">
        <f t="array" ref="W833">IF(D833="","",_xlfn.XLOOKUP(D833,DATA!B:B,DATA!L:L,""))</f>
        <v/>
      </c>
      <c r="X833" s="78" t="str">
        <f t="array" ref="X833">IF(F833="","",_xlfn.XLOOKUP(F833,DATA!B:B,DATA!L:L,""))</f>
        <v/>
      </c>
    </row>
    <row r="834">
      <c r="A834" s="81"/>
      <c r="B834" s="79"/>
      <c r="C834" s="90"/>
      <c r="D834" s="82"/>
      <c r="E834" s="89"/>
      <c r="F834" s="83"/>
      <c r="G834" s="78"/>
      <c r="H834" s="64" t="str">
        <f t="array" ref="H834">_xlfn.XLOOKUP(G834,DATA!D:D,DATA!E:E,"")</f>
        <v/>
      </c>
      <c r="I834" s="84"/>
      <c r="J834" s="23"/>
      <c r="K834" s="23"/>
      <c r="L834" s="66" t="str">
        <f t="shared" si="1"/>
        <v/>
      </c>
      <c r="M834" s="77"/>
      <c r="N834" s="78"/>
      <c r="O834" s="66" t="str">
        <f>IF(M834="","",
 IF(M834="عدم پاسخ","بدون پاسخ",
 IF(L834="","اطلاعات ناقص",
 IF(L834&lt;=DATA!$M$1,"رعایت شده","رعایت نشده"))))</f>
        <v/>
      </c>
      <c r="P834" s="79"/>
      <c r="Q834" s="77"/>
      <c r="R834" s="79"/>
      <c r="S834" s="79"/>
      <c r="T834" s="78"/>
      <c r="U834" s="80"/>
      <c r="V834" s="78"/>
      <c r="W834" s="77" t="str">
        <f t="array" ref="W834">IF(D834="","",_xlfn.XLOOKUP(D834,DATA!B:B,DATA!L:L,""))</f>
        <v/>
      </c>
      <c r="X834" s="78" t="str">
        <f t="array" ref="X834">IF(F834="","",_xlfn.XLOOKUP(F834,DATA!B:B,DATA!L:L,""))</f>
        <v/>
      </c>
    </row>
    <row r="835">
      <c r="A835" s="81"/>
      <c r="B835" s="79"/>
      <c r="C835" s="90"/>
      <c r="D835" s="82"/>
      <c r="E835" s="89"/>
      <c r="F835" s="83"/>
      <c r="G835" s="78"/>
      <c r="H835" s="64" t="str">
        <f t="array" ref="H835">_xlfn.XLOOKUP(G835,DATA!D:D,DATA!E:E,"")</f>
        <v/>
      </c>
      <c r="I835" s="84"/>
      <c r="J835" s="23"/>
      <c r="K835" s="23"/>
      <c r="L835" s="66" t="str">
        <f t="shared" si="1"/>
        <v/>
      </c>
      <c r="M835" s="77"/>
      <c r="N835" s="78"/>
      <c r="O835" s="66" t="str">
        <f>IF(M835="","",
 IF(M835="عدم پاسخ","بدون پاسخ",
 IF(L835="","اطلاعات ناقص",
 IF(L835&lt;=DATA!$M$1,"رعایت شده","رعایت نشده"))))</f>
        <v/>
      </c>
      <c r="P835" s="79"/>
      <c r="Q835" s="77"/>
      <c r="R835" s="79"/>
      <c r="S835" s="79"/>
      <c r="T835" s="78"/>
      <c r="U835" s="80"/>
      <c r="V835" s="78"/>
      <c r="W835" s="77" t="str">
        <f t="array" ref="W835">IF(D835="","",_xlfn.XLOOKUP(D835,DATA!B:B,DATA!L:L,""))</f>
        <v/>
      </c>
      <c r="X835" s="78" t="str">
        <f t="array" ref="X835">IF(F835="","",_xlfn.XLOOKUP(F835,DATA!B:B,DATA!L:L,""))</f>
        <v/>
      </c>
    </row>
    <row r="836">
      <c r="A836" s="81"/>
      <c r="B836" s="79"/>
      <c r="C836" s="90"/>
      <c r="D836" s="82"/>
      <c r="E836" s="89"/>
      <c r="F836" s="83"/>
      <c r="G836" s="78"/>
      <c r="H836" s="64" t="str">
        <f t="array" ref="H836">_xlfn.XLOOKUP(G836,DATA!D:D,DATA!E:E,"")</f>
        <v/>
      </c>
      <c r="I836" s="84"/>
      <c r="J836" s="23"/>
      <c r="K836" s="23"/>
      <c r="L836" s="66" t="str">
        <f t="shared" si="1"/>
        <v/>
      </c>
      <c r="M836" s="77"/>
      <c r="N836" s="78"/>
      <c r="O836" s="66" t="str">
        <f>IF(M836="","",
 IF(M836="عدم پاسخ","بدون پاسخ",
 IF(L836="","اطلاعات ناقص",
 IF(L836&lt;=DATA!$M$1,"رعایت شده","رعایت نشده"))))</f>
        <v/>
      </c>
      <c r="P836" s="79"/>
      <c r="Q836" s="77"/>
      <c r="R836" s="79"/>
      <c r="S836" s="79"/>
      <c r="T836" s="78"/>
      <c r="U836" s="80"/>
      <c r="V836" s="78"/>
      <c r="W836" s="77" t="str">
        <f t="array" ref="W836">IF(D836="","",_xlfn.XLOOKUP(D836,DATA!B:B,DATA!L:L,""))</f>
        <v/>
      </c>
      <c r="X836" s="78" t="str">
        <f t="array" ref="X836">IF(F836="","",_xlfn.XLOOKUP(F836,DATA!B:B,DATA!L:L,""))</f>
        <v/>
      </c>
    </row>
    <row r="837">
      <c r="A837" s="81"/>
      <c r="B837" s="79"/>
      <c r="C837" s="90"/>
      <c r="D837" s="82"/>
      <c r="E837" s="89"/>
      <c r="F837" s="83"/>
      <c r="G837" s="78"/>
      <c r="H837" s="64" t="str">
        <f t="array" ref="H837">_xlfn.XLOOKUP(G837,DATA!D:D,DATA!E:E,"")</f>
        <v/>
      </c>
      <c r="I837" s="84"/>
      <c r="J837" s="23"/>
      <c r="K837" s="23"/>
      <c r="L837" s="66" t="str">
        <f t="shared" si="1"/>
        <v/>
      </c>
      <c r="M837" s="77"/>
      <c r="N837" s="78"/>
      <c r="O837" s="66" t="str">
        <f>IF(M837="","",
 IF(M837="عدم پاسخ","بدون پاسخ",
 IF(L837="","اطلاعات ناقص",
 IF(L837&lt;=DATA!$M$1,"رعایت شده","رعایت نشده"))))</f>
        <v/>
      </c>
      <c r="P837" s="79"/>
      <c r="Q837" s="77"/>
      <c r="R837" s="79"/>
      <c r="S837" s="79"/>
      <c r="T837" s="78"/>
      <c r="U837" s="80"/>
      <c r="V837" s="78"/>
      <c r="W837" s="77" t="str">
        <f t="array" ref="W837">IF(D837="","",_xlfn.XLOOKUP(D837,DATA!B:B,DATA!L:L,""))</f>
        <v/>
      </c>
      <c r="X837" s="78" t="str">
        <f t="array" ref="X837">IF(F837="","",_xlfn.XLOOKUP(F837,DATA!B:B,DATA!L:L,""))</f>
        <v/>
      </c>
    </row>
    <row r="838">
      <c r="A838" s="81"/>
      <c r="B838" s="79"/>
      <c r="C838" s="90"/>
      <c r="D838" s="82"/>
      <c r="E838" s="89"/>
      <c r="F838" s="83"/>
      <c r="G838" s="78"/>
      <c r="H838" s="64" t="str">
        <f t="array" ref="H838">_xlfn.XLOOKUP(G838,DATA!D:D,DATA!E:E,"")</f>
        <v/>
      </c>
      <c r="I838" s="84"/>
      <c r="J838" s="23"/>
      <c r="K838" s="23"/>
      <c r="L838" s="66" t="str">
        <f t="shared" si="1"/>
        <v/>
      </c>
      <c r="M838" s="77"/>
      <c r="N838" s="78"/>
      <c r="O838" s="66" t="str">
        <f>IF(M838="","",
 IF(M838="عدم پاسخ","بدون پاسخ",
 IF(L838="","اطلاعات ناقص",
 IF(L838&lt;=DATA!$M$1,"رعایت شده","رعایت نشده"))))</f>
        <v/>
      </c>
      <c r="P838" s="79"/>
      <c r="Q838" s="77"/>
      <c r="R838" s="79"/>
      <c r="S838" s="79"/>
      <c r="T838" s="78"/>
      <c r="U838" s="80"/>
      <c r="V838" s="78"/>
      <c r="W838" s="77" t="str">
        <f t="array" ref="W838">IF(D838="","",_xlfn.XLOOKUP(D838,DATA!B:B,DATA!L:L,""))</f>
        <v/>
      </c>
      <c r="X838" s="78" t="str">
        <f t="array" ref="X838">IF(F838="","",_xlfn.XLOOKUP(F838,DATA!B:B,DATA!L:L,""))</f>
        <v/>
      </c>
    </row>
    <row r="839">
      <c r="A839" s="81"/>
      <c r="B839" s="79"/>
      <c r="C839" s="90"/>
      <c r="D839" s="82"/>
      <c r="E839" s="89"/>
      <c r="F839" s="83"/>
      <c r="G839" s="78"/>
      <c r="H839" s="64" t="str">
        <f t="array" ref="H839">_xlfn.XLOOKUP(G839,DATA!D:D,DATA!E:E,"")</f>
        <v/>
      </c>
      <c r="I839" s="84"/>
      <c r="J839" s="23"/>
      <c r="K839" s="23"/>
      <c r="L839" s="66" t="str">
        <f t="shared" si="1"/>
        <v/>
      </c>
      <c r="M839" s="77"/>
      <c r="N839" s="78"/>
      <c r="O839" s="66" t="str">
        <f>IF(M839="","",
 IF(M839="عدم پاسخ","بدون پاسخ",
 IF(L839="","اطلاعات ناقص",
 IF(L839&lt;=DATA!$M$1,"رعایت شده","رعایت نشده"))))</f>
        <v/>
      </c>
      <c r="P839" s="79"/>
      <c r="Q839" s="77"/>
      <c r="R839" s="79"/>
      <c r="S839" s="79"/>
      <c r="T839" s="78"/>
      <c r="U839" s="80"/>
      <c r="V839" s="78"/>
      <c r="W839" s="77" t="str">
        <f t="array" ref="W839">IF(D839="","",_xlfn.XLOOKUP(D839,DATA!B:B,DATA!L:L,""))</f>
        <v/>
      </c>
      <c r="X839" s="78" t="str">
        <f t="array" ref="X839">IF(F839="","",_xlfn.XLOOKUP(F839,DATA!B:B,DATA!L:L,""))</f>
        <v/>
      </c>
    </row>
    <row r="840">
      <c r="A840" s="81"/>
      <c r="B840" s="79"/>
      <c r="C840" s="90"/>
      <c r="D840" s="82"/>
      <c r="E840" s="89"/>
      <c r="F840" s="83"/>
      <c r="G840" s="78"/>
      <c r="H840" s="64" t="str">
        <f t="array" ref="H840">_xlfn.XLOOKUP(G840,DATA!D:D,DATA!E:E,"")</f>
        <v/>
      </c>
      <c r="I840" s="84"/>
      <c r="J840" s="23"/>
      <c r="K840" s="23"/>
      <c r="L840" s="66" t="str">
        <f t="shared" si="1"/>
        <v/>
      </c>
      <c r="M840" s="77"/>
      <c r="N840" s="78"/>
      <c r="O840" s="66" t="str">
        <f>IF(M840="","",
 IF(M840="عدم پاسخ","بدون پاسخ",
 IF(L840="","اطلاعات ناقص",
 IF(L840&lt;=DATA!$M$1,"رعایت شده","رعایت نشده"))))</f>
        <v/>
      </c>
      <c r="P840" s="79"/>
      <c r="Q840" s="77"/>
      <c r="R840" s="79"/>
      <c r="S840" s="79"/>
      <c r="T840" s="78"/>
      <c r="U840" s="80"/>
      <c r="V840" s="78"/>
      <c r="W840" s="77" t="str">
        <f t="array" ref="W840">IF(D840="","",_xlfn.XLOOKUP(D840,DATA!B:B,DATA!L:L,""))</f>
        <v/>
      </c>
      <c r="X840" s="78" t="str">
        <f t="array" ref="X840">IF(F840="","",_xlfn.XLOOKUP(F840,DATA!B:B,DATA!L:L,""))</f>
        <v/>
      </c>
    </row>
    <row r="841">
      <c r="A841" s="81"/>
      <c r="B841" s="79"/>
      <c r="C841" s="90"/>
      <c r="D841" s="82"/>
      <c r="E841" s="89"/>
      <c r="F841" s="83"/>
      <c r="G841" s="78"/>
      <c r="H841" s="64" t="str">
        <f t="array" ref="H841">_xlfn.XLOOKUP(G841,DATA!D:D,DATA!E:E,"")</f>
        <v/>
      </c>
      <c r="I841" s="84"/>
      <c r="J841" s="23"/>
      <c r="K841" s="23"/>
      <c r="L841" s="66" t="str">
        <f t="shared" si="1"/>
        <v/>
      </c>
      <c r="M841" s="77"/>
      <c r="N841" s="78"/>
      <c r="O841" s="66" t="str">
        <f>IF(M841="","",
 IF(M841="عدم پاسخ","بدون پاسخ",
 IF(L841="","اطلاعات ناقص",
 IF(L841&lt;=DATA!$M$1,"رعایت شده","رعایت نشده"))))</f>
        <v/>
      </c>
      <c r="P841" s="79"/>
      <c r="Q841" s="77"/>
      <c r="R841" s="79"/>
      <c r="S841" s="79"/>
      <c r="T841" s="78"/>
      <c r="U841" s="80"/>
      <c r="V841" s="78"/>
      <c r="W841" s="77" t="str">
        <f t="array" ref="W841">IF(D841="","",_xlfn.XLOOKUP(D841,DATA!B:B,DATA!L:L,""))</f>
        <v/>
      </c>
      <c r="X841" s="78" t="str">
        <f t="array" ref="X841">IF(F841="","",_xlfn.XLOOKUP(F841,DATA!B:B,DATA!L:L,""))</f>
        <v/>
      </c>
    </row>
    <row r="842">
      <c r="A842" s="81"/>
      <c r="B842" s="79"/>
      <c r="C842" s="90"/>
      <c r="D842" s="82"/>
      <c r="E842" s="89"/>
      <c r="F842" s="83"/>
      <c r="G842" s="78"/>
      <c r="H842" s="64" t="str">
        <f t="array" ref="H842">_xlfn.XLOOKUP(G842,DATA!D:D,DATA!E:E,"")</f>
        <v/>
      </c>
      <c r="I842" s="84"/>
      <c r="J842" s="23"/>
      <c r="K842" s="23"/>
      <c r="L842" s="66" t="str">
        <f t="shared" si="1"/>
        <v/>
      </c>
      <c r="M842" s="77"/>
      <c r="N842" s="78"/>
      <c r="O842" s="66" t="str">
        <f>IF(M842="","",
 IF(M842="عدم پاسخ","بدون پاسخ",
 IF(L842="","اطلاعات ناقص",
 IF(L842&lt;=DATA!$M$1,"رعایت شده","رعایت نشده"))))</f>
        <v/>
      </c>
      <c r="P842" s="79"/>
      <c r="Q842" s="77"/>
      <c r="R842" s="79"/>
      <c r="S842" s="79"/>
      <c r="T842" s="78"/>
      <c r="U842" s="80"/>
      <c r="V842" s="78"/>
      <c r="W842" s="77" t="str">
        <f t="array" ref="W842">IF(D842="","",_xlfn.XLOOKUP(D842,DATA!B:B,DATA!L:L,""))</f>
        <v/>
      </c>
      <c r="X842" s="78" t="str">
        <f t="array" ref="X842">IF(F842="","",_xlfn.XLOOKUP(F842,DATA!B:B,DATA!L:L,""))</f>
        <v/>
      </c>
    </row>
    <row r="843">
      <c r="A843" s="81"/>
      <c r="B843" s="79"/>
      <c r="C843" s="90"/>
      <c r="D843" s="82"/>
      <c r="E843" s="89"/>
      <c r="F843" s="83"/>
      <c r="G843" s="78"/>
      <c r="H843" s="64" t="str">
        <f t="array" ref="H843">_xlfn.XLOOKUP(G843,DATA!D:D,DATA!E:E,"")</f>
        <v/>
      </c>
      <c r="I843" s="84"/>
      <c r="J843" s="23"/>
      <c r="K843" s="23"/>
      <c r="L843" s="66" t="str">
        <f t="shared" si="1"/>
        <v/>
      </c>
      <c r="M843" s="77"/>
      <c r="N843" s="78"/>
      <c r="O843" s="66" t="str">
        <f>IF(M843="","",
 IF(M843="عدم پاسخ","بدون پاسخ",
 IF(L843="","اطلاعات ناقص",
 IF(L843&lt;=DATA!$M$1,"رعایت شده","رعایت نشده"))))</f>
        <v/>
      </c>
      <c r="P843" s="79"/>
      <c r="Q843" s="77"/>
      <c r="R843" s="79"/>
      <c r="S843" s="79"/>
      <c r="T843" s="78"/>
      <c r="U843" s="80"/>
      <c r="V843" s="78"/>
      <c r="W843" s="77" t="str">
        <f t="array" ref="W843">IF(D843="","",_xlfn.XLOOKUP(D843,DATA!B:B,DATA!L:L,""))</f>
        <v/>
      </c>
      <c r="X843" s="78" t="str">
        <f t="array" ref="X843">IF(F843="","",_xlfn.XLOOKUP(F843,DATA!B:B,DATA!L:L,""))</f>
        <v/>
      </c>
    </row>
    <row r="844">
      <c r="A844" s="81"/>
      <c r="B844" s="79"/>
      <c r="C844" s="90"/>
      <c r="D844" s="82"/>
      <c r="E844" s="89"/>
      <c r="F844" s="83"/>
      <c r="G844" s="78"/>
      <c r="H844" s="64" t="str">
        <f t="array" ref="H844">_xlfn.XLOOKUP(G844,DATA!D:D,DATA!E:E,"")</f>
        <v/>
      </c>
      <c r="I844" s="84"/>
      <c r="J844" s="23"/>
      <c r="K844" s="23"/>
      <c r="L844" s="66" t="str">
        <f t="shared" si="1"/>
        <v/>
      </c>
      <c r="M844" s="77"/>
      <c r="N844" s="78"/>
      <c r="O844" s="66" t="str">
        <f>IF(M844="","",
 IF(M844="عدم پاسخ","بدون پاسخ",
 IF(L844="","اطلاعات ناقص",
 IF(L844&lt;=DATA!$M$1,"رعایت شده","رعایت نشده"))))</f>
        <v/>
      </c>
      <c r="P844" s="79"/>
      <c r="Q844" s="77"/>
      <c r="R844" s="79"/>
      <c r="S844" s="79"/>
      <c r="T844" s="78"/>
      <c r="U844" s="80"/>
      <c r="V844" s="78"/>
      <c r="W844" s="77" t="str">
        <f t="array" ref="W844">IF(D844="","",_xlfn.XLOOKUP(D844,DATA!B:B,DATA!L:L,""))</f>
        <v/>
      </c>
      <c r="X844" s="78" t="str">
        <f t="array" ref="X844">IF(F844="","",_xlfn.XLOOKUP(F844,DATA!B:B,DATA!L:L,""))</f>
        <v/>
      </c>
    </row>
    <row r="845">
      <c r="A845" s="81"/>
      <c r="B845" s="79"/>
      <c r="C845" s="90"/>
      <c r="D845" s="82"/>
      <c r="E845" s="89"/>
      <c r="F845" s="83"/>
      <c r="G845" s="78"/>
      <c r="H845" s="64" t="str">
        <f t="array" ref="H845">_xlfn.XLOOKUP(G845,DATA!D:D,DATA!E:E,"")</f>
        <v/>
      </c>
      <c r="I845" s="84"/>
      <c r="J845" s="23"/>
      <c r="K845" s="23"/>
      <c r="L845" s="66" t="str">
        <f t="shared" si="1"/>
        <v/>
      </c>
      <c r="M845" s="77"/>
      <c r="N845" s="78"/>
      <c r="O845" s="66" t="str">
        <f>IF(M845="","",
 IF(M845="عدم پاسخ","بدون پاسخ",
 IF(L845="","اطلاعات ناقص",
 IF(L845&lt;=DATA!$M$1,"رعایت شده","رعایت نشده"))))</f>
        <v/>
      </c>
      <c r="P845" s="79"/>
      <c r="Q845" s="77"/>
      <c r="R845" s="79"/>
      <c r="S845" s="79"/>
      <c r="T845" s="78"/>
      <c r="U845" s="80"/>
      <c r="V845" s="78"/>
      <c r="W845" s="77" t="str">
        <f t="array" ref="W845">IF(D845="","",_xlfn.XLOOKUP(D845,DATA!B:B,DATA!L:L,""))</f>
        <v/>
      </c>
      <c r="X845" s="78" t="str">
        <f t="array" ref="X845">IF(F845="","",_xlfn.XLOOKUP(F845,DATA!B:B,DATA!L:L,""))</f>
        <v/>
      </c>
    </row>
    <row r="846">
      <c r="A846" s="81"/>
      <c r="B846" s="79"/>
      <c r="C846" s="90"/>
      <c r="D846" s="82"/>
      <c r="E846" s="89"/>
      <c r="F846" s="83"/>
      <c r="G846" s="78"/>
      <c r="H846" s="64" t="str">
        <f t="array" ref="H846">_xlfn.XLOOKUP(G846,DATA!D:D,DATA!E:E,"")</f>
        <v/>
      </c>
      <c r="I846" s="84"/>
      <c r="J846" s="23"/>
      <c r="K846" s="23"/>
      <c r="L846" s="66" t="str">
        <f t="shared" si="1"/>
        <v/>
      </c>
      <c r="M846" s="77"/>
      <c r="N846" s="78"/>
      <c r="O846" s="66" t="str">
        <f>IF(M846="","",
 IF(M846="عدم پاسخ","بدون پاسخ",
 IF(L846="","اطلاعات ناقص",
 IF(L846&lt;=DATA!$M$1,"رعایت شده","رعایت نشده"))))</f>
        <v/>
      </c>
      <c r="P846" s="79"/>
      <c r="Q846" s="77"/>
      <c r="R846" s="79"/>
      <c r="S846" s="79"/>
      <c r="T846" s="78"/>
      <c r="U846" s="80"/>
      <c r="V846" s="78"/>
      <c r="W846" s="77" t="str">
        <f t="array" ref="W846">IF(D846="","",_xlfn.XLOOKUP(D846,DATA!B:B,DATA!L:L,""))</f>
        <v/>
      </c>
      <c r="X846" s="78" t="str">
        <f t="array" ref="X846">IF(F846="","",_xlfn.XLOOKUP(F846,DATA!B:B,DATA!L:L,""))</f>
        <v/>
      </c>
    </row>
    <row r="847">
      <c r="A847" s="81"/>
      <c r="B847" s="79"/>
      <c r="C847" s="90"/>
      <c r="D847" s="82"/>
      <c r="E847" s="89"/>
      <c r="F847" s="83"/>
      <c r="G847" s="78"/>
      <c r="H847" s="64" t="str">
        <f t="array" ref="H847">_xlfn.XLOOKUP(G847,DATA!D:D,DATA!E:E,"")</f>
        <v/>
      </c>
      <c r="I847" s="84"/>
      <c r="J847" s="23"/>
      <c r="K847" s="23"/>
      <c r="L847" s="66" t="str">
        <f t="shared" si="1"/>
        <v/>
      </c>
      <c r="M847" s="77"/>
      <c r="N847" s="78"/>
      <c r="O847" s="66" t="str">
        <f>IF(M847="","",
 IF(M847="عدم پاسخ","بدون پاسخ",
 IF(L847="","اطلاعات ناقص",
 IF(L847&lt;=DATA!$M$1,"رعایت شده","رعایت نشده"))))</f>
        <v/>
      </c>
      <c r="P847" s="79"/>
      <c r="Q847" s="77"/>
      <c r="R847" s="79"/>
      <c r="S847" s="79"/>
      <c r="T847" s="78"/>
      <c r="U847" s="80"/>
      <c r="V847" s="78"/>
      <c r="W847" s="77" t="str">
        <f t="array" ref="W847">IF(D847="","",_xlfn.XLOOKUP(D847,DATA!B:B,DATA!L:L,""))</f>
        <v/>
      </c>
      <c r="X847" s="78" t="str">
        <f t="array" ref="X847">IF(F847="","",_xlfn.XLOOKUP(F847,DATA!B:B,DATA!L:L,""))</f>
        <v/>
      </c>
    </row>
    <row r="848">
      <c r="A848" s="81"/>
      <c r="B848" s="79"/>
      <c r="C848" s="90"/>
      <c r="D848" s="82"/>
      <c r="E848" s="89"/>
      <c r="F848" s="83"/>
      <c r="G848" s="78"/>
      <c r="H848" s="64" t="str">
        <f t="array" ref="H848">_xlfn.XLOOKUP(G848,DATA!D:D,DATA!E:E,"")</f>
        <v/>
      </c>
      <c r="I848" s="84"/>
      <c r="J848" s="23"/>
      <c r="K848" s="23"/>
      <c r="L848" s="66" t="str">
        <f t="shared" si="1"/>
        <v/>
      </c>
      <c r="M848" s="77"/>
      <c r="N848" s="78"/>
      <c r="O848" s="66" t="str">
        <f>IF(M848="","",
 IF(M848="عدم پاسخ","بدون پاسخ",
 IF(L848="","اطلاعات ناقص",
 IF(L848&lt;=DATA!$M$1,"رعایت شده","رعایت نشده"))))</f>
        <v/>
      </c>
      <c r="P848" s="79"/>
      <c r="Q848" s="77"/>
      <c r="R848" s="79"/>
      <c r="S848" s="79"/>
      <c r="T848" s="78"/>
      <c r="U848" s="80"/>
      <c r="V848" s="78"/>
      <c r="W848" s="77" t="str">
        <f t="array" ref="W848">IF(D848="","",_xlfn.XLOOKUP(D848,DATA!B:B,DATA!L:L,""))</f>
        <v/>
      </c>
      <c r="X848" s="78" t="str">
        <f t="array" ref="X848">IF(F848="","",_xlfn.XLOOKUP(F848,DATA!B:B,DATA!L:L,""))</f>
        <v/>
      </c>
    </row>
    <row r="849">
      <c r="A849" s="81"/>
      <c r="B849" s="79"/>
      <c r="C849" s="90"/>
      <c r="D849" s="82"/>
      <c r="E849" s="89"/>
      <c r="F849" s="83"/>
      <c r="G849" s="78"/>
      <c r="H849" s="64" t="str">
        <f t="array" ref="H849">_xlfn.XLOOKUP(G849,DATA!D:D,DATA!E:E,"")</f>
        <v/>
      </c>
      <c r="I849" s="84"/>
      <c r="J849" s="23"/>
      <c r="K849" s="23"/>
      <c r="L849" s="66" t="str">
        <f t="shared" si="1"/>
        <v/>
      </c>
      <c r="M849" s="77"/>
      <c r="N849" s="78"/>
      <c r="O849" s="66" t="str">
        <f>IF(M849="","",
 IF(M849="عدم پاسخ","بدون پاسخ",
 IF(L849="","اطلاعات ناقص",
 IF(L849&lt;=DATA!$M$1,"رعایت شده","رعایت نشده"))))</f>
        <v/>
      </c>
      <c r="P849" s="79"/>
      <c r="Q849" s="77"/>
      <c r="R849" s="79"/>
      <c r="S849" s="79"/>
      <c r="T849" s="78"/>
      <c r="U849" s="80"/>
      <c r="V849" s="78"/>
      <c r="W849" s="77" t="str">
        <f t="array" ref="W849">IF(D849="","",_xlfn.XLOOKUP(D849,DATA!B:B,DATA!L:L,""))</f>
        <v/>
      </c>
      <c r="X849" s="78" t="str">
        <f t="array" ref="X849">IF(F849="","",_xlfn.XLOOKUP(F849,DATA!B:B,DATA!L:L,""))</f>
        <v/>
      </c>
    </row>
    <row r="850">
      <c r="A850" s="81"/>
      <c r="B850" s="79"/>
      <c r="C850" s="90"/>
      <c r="D850" s="82"/>
      <c r="E850" s="89"/>
      <c r="F850" s="83"/>
      <c r="G850" s="78"/>
      <c r="H850" s="64" t="str">
        <f t="array" ref="H850">_xlfn.XLOOKUP(G850,DATA!D:D,DATA!E:E,"")</f>
        <v/>
      </c>
      <c r="I850" s="84"/>
      <c r="J850" s="23"/>
      <c r="K850" s="23"/>
      <c r="L850" s="66" t="str">
        <f t="shared" si="1"/>
        <v/>
      </c>
      <c r="M850" s="77"/>
      <c r="N850" s="78"/>
      <c r="O850" s="66" t="str">
        <f>IF(M850="","",
 IF(M850="عدم پاسخ","بدون پاسخ",
 IF(L850="","اطلاعات ناقص",
 IF(L850&lt;=DATA!$M$1,"رعایت شده","رعایت نشده"))))</f>
        <v/>
      </c>
      <c r="P850" s="79"/>
      <c r="Q850" s="77"/>
      <c r="R850" s="79"/>
      <c r="S850" s="79"/>
      <c r="T850" s="78"/>
      <c r="U850" s="80"/>
      <c r="V850" s="78"/>
      <c r="W850" s="77" t="str">
        <f t="array" ref="W850">IF(D850="","",_xlfn.XLOOKUP(D850,DATA!B:B,DATA!L:L,""))</f>
        <v/>
      </c>
      <c r="X850" s="78" t="str">
        <f t="array" ref="X850">IF(F850="","",_xlfn.XLOOKUP(F850,DATA!B:B,DATA!L:L,""))</f>
        <v/>
      </c>
    </row>
    <row r="851">
      <c r="A851" s="81"/>
      <c r="B851" s="79"/>
      <c r="C851" s="90"/>
      <c r="D851" s="82"/>
      <c r="E851" s="89"/>
      <c r="F851" s="83"/>
      <c r="G851" s="78"/>
      <c r="H851" s="64" t="str">
        <f t="array" ref="H851">_xlfn.XLOOKUP(G851,DATA!D:D,DATA!E:E,"")</f>
        <v/>
      </c>
      <c r="I851" s="84"/>
      <c r="J851" s="23"/>
      <c r="K851" s="23"/>
      <c r="L851" s="66" t="str">
        <f t="shared" si="1"/>
        <v/>
      </c>
      <c r="M851" s="77"/>
      <c r="N851" s="78"/>
      <c r="O851" s="66" t="str">
        <f>IF(M851="","",
 IF(M851="عدم پاسخ","بدون پاسخ",
 IF(L851="","اطلاعات ناقص",
 IF(L851&lt;=DATA!$M$1,"رعایت شده","رعایت نشده"))))</f>
        <v/>
      </c>
      <c r="P851" s="79"/>
      <c r="Q851" s="77"/>
      <c r="R851" s="79"/>
      <c r="S851" s="79"/>
      <c r="T851" s="78"/>
      <c r="U851" s="80"/>
      <c r="V851" s="78"/>
      <c r="W851" s="77" t="str">
        <f t="array" ref="W851">IF(D851="","",_xlfn.XLOOKUP(D851,DATA!B:B,DATA!L:L,""))</f>
        <v/>
      </c>
      <c r="X851" s="78" t="str">
        <f t="array" ref="X851">IF(F851="","",_xlfn.XLOOKUP(F851,DATA!B:B,DATA!L:L,""))</f>
        <v/>
      </c>
    </row>
    <row r="852">
      <c r="A852" s="81"/>
      <c r="B852" s="79"/>
      <c r="C852" s="90"/>
      <c r="D852" s="82"/>
      <c r="E852" s="89"/>
      <c r="F852" s="83"/>
      <c r="G852" s="78"/>
      <c r="H852" s="64" t="str">
        <f t="array" ref="H852">_xlfn.XLOOKUP(G852,DATA!D:D,DATA!E:E,"")</f>
        <v/>
      </c>
      <c r="I852" s="84"/>
      <c r="J852" s="23"/>
      <c r="K852" s="23"/>
      <c r="L852" s="66" t="str">
        <f t="shared" si="1"/>
        <v/>
      </c>
      <c r="M852" s="77"/>
      <c r="N852" s="78"/>
      <c r="O852" s="66" t="str">
        <f>IF(M852="","",
 IF(M852="عدم پاسخ","بدون پاسخ",
 IF(L852="","اطلاعات ناقص",
 IF(L852&lt;=DATA!$M$1,"رعایت شده","رعایت نشده"))))</f>
        <v/>
      </c>
      <c r="P852" s="79"/>
      <c r="Q852" s="77"/>
      <c r="R852" s="79"/>
      <c r="S852" s="79"/>
      <c r="T852" s="78"/>
      <c r="U852" s="80"/>
      <c r="V852" s="78"/>
      <c r="W852" s="77" t="str">
        <f t="array" ref="W852">IF(D852="","",_xlfn.XLOOKUP(D852,DATA!B:B,DATA!L:L,""))</f>
        <v/>
      </c>
      <c r="X852" s="78" t="str">
        <f t="array" ref="X852">IF(F852="","",_xlfn.XLOOKUP(F852,DATA!B:B,DATA!L:L,""))</f>
        <v/>
      </c>
    </row>
    <row r="853">
      <c r="A853" s="81"/>
      <c r="B853" s="79"/>
      <c r="C853" s="90"/>
      <c r="D853" s="82"/>
      <c r="E853" s="89"/>
      <c r="F853" s="83"/>
      <c r="G853" s="78"/>
      <c r="H853" s="64" t="str">
        <f t="array" ref="H853">_xlfn.XLOOKUP(G853,DATA!D:D,DATA!E:E,"")</f>
        <v/>
      </c>
      <c r="I853" s="84"/>
      <c r="J853" s="23"/>
      <c r="K853" s="23"/>
      <c r="L853" s="66" t="str">
        <f t="shared" si="1"/>
        <v/>
      </c>
      <c r="M853" s="77"/>
      <c r="N853" s="78"/>
      <c r="O853" s="66" t="str">
        <f>IF(M853="","",
 IF(M853="عدم پاسخ","بدون پاسخ",
 IF(L853="","اطلاعات ناقص",
 IF(L853&lt;=DATA!$M$1,"رعایت شده","رعایت نشده"))))</f>
        <v/>
      </c>
      <c r="P853" s="79"/>
      <c r="Q853" s="77"/>
      <c r="R853" s="79"/>
      <c r="S853" s="79"/>
      <c r="T853" s="78"/>
      <c r="U853" s="80"/>
      <c r="V853" s="78"/>
      <c r="W853" s="77" t="str">
        <f t="array" ref="W853">IF(D853="","",_xlfn.XLOOKUP(D853,DATA!B:B,DATA!L:L,""))</f>
        <v/>
      </c>
      <c r="X853" s="78" t="str">
        <f t="array" ref="X853">IF(F853="","",_xlfn.XLOOKUP(F853,DATA!B:B,DATA!L:L,""))</f>
        <v/>
      </c>
    </row>
    <row r="854">
      <c r="A854" s="81"/>
      <c r="B854" s="79"/>
      <c r="C854" s="90"/>
      <c r="D854" s="82"/>
      <c r="E854" s="89"/>
      <c r="F854" s="83"/>
      <c r="G854" s="78"/>
      <c r="H854" s="64" t="str">
        <f t="array" ref="H854">_xlfn.XLOOKUP(G854,DATA!D:D,DATA!E:E,"")</f>
        <v/>
      </c>
      <c r="I854" s="84"/>
      <c r="J854" s="23"/>
      <c r="K854" s="23"/>
      <c r="L854" s="66" t="str">
        <f t="shared" si="1"/>
        <v/>
      </c>
      <c r="M854" s="77"/>
      <c r="N854" s="78"/>
      <c r="O854" s="66" t="str">
        <f>IF(M854="","",
 IF(M854="عدم پاسخ","بدون پاسخ",
 IF(L854="","اطلاعات ناقص",
 IF(L854&lt;=DATA!$M$1,"رعایت شده","رعایت نشده"))))</f>
        <v/>
      </c>
      <c r="P854" s="79"/>
      <c r="Q854" s="77"/>
      <c r="R854" s="79"/>
      <c r="S854" s="79"/>
      <c r="T854" s="78"/>
      <c r="U854" s="80"/>
      <c r="V854" s="78"/>
      <c r="W854" s="77" t="str">
        <f t="array" ref="W854">IF(D854="","",_xlfn.XLOOKUP(D854,DATA!B:B,DATA!L:L,""))</f>
        <v/>
      </c>
      <c r="X854" s="78" t="str">
        <f t="array" ref="X854">IF(F854="","",_xlfn.XLOOKUP(F854,DATA!B:B,DATA!L:L,""))</f>
        <v/>
      </c>
    </row>
    <row r="855">
      <c r="A855" s="81"/>
      <c r="B855" s="79"/>
      <c r="C855" s="90"/>
      <c r="D855" s="82"/>
      <c r="E855" s="89"/>
      <c r="F855" s="83"/>
      <c r="G855" s="78"/>
      <c r="H855" s="64" t="str">
        <f t="array" ref="H855">_xlfn.XLOOKUP(G855,DATA!D:D,DATA!E:E,"")</f>
        <v/>
      </c>
      <c r="I855" s="84"/>
      <c r="J855" s="23"/>
      <c r="K855" s="23"/>
      <c r="L855" s="66" t="str">
        <f t="shared" si="1"/>
        <v/>
      </c>
      <c r="M855" s="77"/>
      <c r="N855" s="78"/>
      <c r="O855" s="66" t="str">
        <f>IF(M855="","",
 IF(M855="عدم پاسخ","بدون پاسخ",
 IF(L855="","اطلاعات ناقص",
 IF(L855&lt;=DATA!$M$1,"رعایت شده","رعایت نشده"))))</f>
        <v/>
      </c>
      <c r="P855" s="79"/>
      <c r="Q855" s="77"/>
      <c r="R855" s="79"/>
      <c r="S855" s="79"/>
      <c r="T855" s="78"/>
      <c r="U855" s="80"/>
      <c r="V855" s="78"/>
      <c r="W855" s="77" t="str">
        <f t="array" ref="W855">IF(D855="","",_xlfn.XLOOKUP(D855,DATA!B:B,DATA!L:L,""))</f>
        <v/>
      </c>
      <c r="X855" s="78" t="str">
        <f t="array" ref="X855">IF(F855="","",_xlfn.XLOOKUP(F855,DATA!B:B,DATA!L:L,""))</f>
        <v/>
      </c>
    </row>
    <row r="856">
      <c r="A856" s="81"/>
      <c r="B856" s="79"/>
      <c r="C856" s="90"/>
      <c r="D856" s="82"/>
      <c r="E856" s="89"/>
      <c r="F856" s="83"/>
      <c r="G856" s="78"/>
      <c r="H856" s="64" t="str">
        <f t="array" ref="H856">_xlfn.XLOOKUP(G856,DATA!D:D,DATA!E:E,"")</f>
        <v/>
      </c>
      <c r="I856" s="84"/>
      <c r="J856" s="23"/>
      <c r="K856" s="23"/>
      <c r="L856" s="66" t="str">
        <f t="shared" si="1"/>
        <v/>
      </c>
      <c r="M856" s="77"/>
      <c r="N856" s="78"/>
      <c r="O856" s="66" t="str">
        <f>IF(M856="","",
 IF(M856="عدم پاسخ","بدون پاسخ",
 IF(L856="","اطلاعات ناقص",
 IF(L856&lt;=DATA!$M$1,"رعایت شده","رعایت نشده"))))</f>
        <v/>
      </c>
      <c r="P856" s="79"/>
      <c r="Q856" s="77"/>
      <c r="R856" s="79"/>
      <c r="S856" s="79"/>
      <c r="T856" s="78"/>
      <c r="U856" s="80"/>
      <c r="V856" s="78"/>
      <c r="W856" s="77" t="str">
        <f t="array" ref="W856">IF(D856="","",_xlfn.XLOOKUP(D856,DATA!B:B,DATA!L:L,""))</f>
        <v/>
      </c>
      <c r="X856" s="78" t="str">
        <f t="array" ref="X856">IF(F856="","",_xlfn.XLOOKUP(F856,DATA!B:B,DATA!L:L,""))</f>
        <v/>
      </c>
    </row>
    <row r="857">
      <c r="A857" s="81"/>
      <c r="B857" s="79"/>
      <c r="C857" s="90"/>
      <c r="D857" s="82"/>
      <c r="E857" s="89"/>
      <c r="F857" s="83"/>
      <c r="G857" s="78"/>
      <c r="H857" s="64" t="str">
        <f t="array" ref="H857">_xlfn.XLOOKUP(G857,DATA!D:D,DATA!E:E,"")</f>
        <v/>
      </c>
      <c r="I857" s="84"/>
      <c r="J857" s="23"/>
      <c r="K857" s="23"/>
      <c r="L857" s="66" t="str">
        <f t="shared" si="1"/>
        <v/>
      </c>
      <c r="M857" s="77"/>
      <c r="N857" s="78"/>
      <c r="O857" s="66" t="str">
        <f>IF(M857="","",
 IF(M857="عدم پاسخ","بدون پاسخ",
 IF(L857="","اطلاعات ناقص",
 IF(L857&lt;=DATA!$M$1,"رعایت شده","رعایت نشده"))))</f>
        <v/>
      </c>
      <c r="P857" s="79"/>
      <c r="Q857" s="77"/>
      <c r="R857" s="79"/>
      <c r="S857" s="79"/>
      <c r="T857" s="78"/>
      <c r="U857" s="80"/>
      <c r="V857" s="78"/>
      <c r="W857" s="77" t="str">
        <f t="array" ref="W857">IF(D857="","",_xlfn.XLOOKUP(D857,DATA!B:B,DATA!L:L,""))</f>
        <v/>
      </c>
      <c r="X857" s="78" t="str">
        <f t="array" ref="X857">IF(F857="","",_xlfn.XLOOKUP(F857,DATA!B:B,DATA!L:L,""))</f>
        <v/>
      </c>
    </row>
    <row r="858">
      <c r="A858" s="81"/>
      <c r="B858" s="79"/>
      <c r="C858" s="90"/>
      <c r="D858" s="82"/>
      <c r="E858" s="89"/>
      <c r="F858" s="83"/>
      <c r="G858" s="78"/>
      <c r="H858" s="64" t="str">
        <f t="array" ref="H858">_xlfn.XLOOKUP(G858,DATA!D:D,DATA!E:E,"")</f>
        <v/>
      </c>
      <c r="I858" s="84"/>
      <c r="J858" s="23"/>
      <c r="K858" s="23"/>
      <c r="L858" s="66" t="str">
        <f t="shared" si="1"/>
        <v/>
      </c>
      <c r="M858" s="77"/>
      <c r="N858" s="78"/>
      <c r="O858" s="66" t="str">
        <f>IF(M858="","",
 IF(M858="عدم پاسخ","بدون پاسخ",
 IF(L858="","اطلاعات ناقص",
 IF(L858&lt;=DATA!$M$1,"رعایت شده","رعایت نشده"))))</f>
        <v/>
      </c>
      <c r="P858" s="79"/>
      <c r="Q858" s="77"/>
      <c r="R858" s="79"/>
      <c r="S858" s="79"/>
      <c r="T858" s="78"/>
      <c r="U858" s="80"/>
      <c r="V858" s="78"/>
      <c r="W858" s="77" t="str">
        <f t="array" ref="W858">IF(D858="","",_xlfn.XLOOKUP(D858,DATA!B:B,DATA!L:L,""))</f>
        <v/>
      </c>
      <c r="X858" s="78" t="str">
        <f t="array" ref="X858">IF(F858="","",_xlfn.XLOOKUP(F858,DATA!B:B,DATA!L:L,""))</f>
        <v/>
      </c>
    </row>
    <row r="859">
      <c r="A859" s="81"/>
      <c r="B859" s="79"/>
      <c r="C859" s="90"/>
      <c r="D859" s="82"/>
      <c r="E859" s="89"/>
      <c r="F859" s="83"/>
      <c r="G859" s="78"/>
      <c r="H859" s="64" t="str">
        <f t="array" ref="H859">_xlfn.XLOOKUP(G859,DATA!D:D,DATA!E:E,"")</f>
        <v/>
      </c>
      <c r="I859" s="84"/>
      <c r="J859" s="23"/>
      <c r="K859" s="23"/>
      <c r="L859" s="66" t="str">
        <f t="shared" si="1"/>
        <v/>
      </c>
      <c r="M859" s="77"/>
      <c r="N859" s="78"/>
      <c r="O859" s="66" t="str">
        <f>IF(M859="","",
 IF(M859="عدم پاسخ","بدون پاسخ",
 IF(L859="","اطلاعات ناقص",
 IF(L859&lt;=DATA!$M$1,"رعایت شده","رعایت نشده"))))</f>
        <v/>
      </c>
      <c r="P859" s="79"/>
      <c r="Q859" s="77"/>
      <c r="R859" s="79"/>
      <c r="S859" s="79"/>
      <c r="T859" s="78"/>
      <c r="U859" s="80"/>
      <c r="V859" s="78"/>
      <c r="W859" s="77" t="str">
        <f t="array" ref="W859">IF(D859="","",_xlfn.XLOOKUP(D859,DATA!B:B,DATA!L:L,""))</f>
        <v/>
      </c>
      <c r="X859" s="78" t="str">
        <f t="array" ref="X859">IF(F859="","",_xlfn.XLOOKUP(F859,DATA!B:B,DATA!L:L,""))</f>
        <v/>
      </c>
    </row>
    <row r="860">
      <c r="A860" s="81"/>
      <c r="B860" s="79"/>
      <c r="C860" s="90"/>
      <c r="D860" s="82"/>
      <c r="E860" s="89"/>
      <c r="F860" s="83"/>
      <c r="G860" s="78"/>
      <c r="H860" s="64" t="str">
        <f t="array" ref="H860">_xlfn.XLOOKUP(G860,DATA!D:D,DATA!E:E,"")</f>
        <v/>
      </c>
      <c r="I860" s="84"/>
      <c r="J860" s="23"/>
      <c r="K860" s="23"/>
      <c r="L860" s="66" t="str">
        <f t="shared" si="1"/>
        <v/>
      </c>
      <c r="M860" s="77"/>
      <c r="N860" s="78"/>
      <c r="O860" s="66" t="str">
        <f>IF(M860="","",
 IF(M860="عدم پاسخ","بدون پاسخ",
 IF(L860="","اطلاعات ناقص",
 IF(L860&lt;=DATA!$M$1,"رعایت شده","رعایت نشده"))))</f>
        <v/>
      </c>
      <c r="P860" s="79"/>
      <c r="Q860" s="77"/>
      <c r="R860" s="79"/>
      <c r="S860" s="79"/>
      <c r="T860" s="78"/>
      <c r="U860" s="80"/>
      <c r="V860" s="78"/>
      <c r="W860" s="77" t="str">
        <f t="array" ref="W860">IF(D860="","",_xlfn.XLOOKUP(D860,DATA!B:B,DATA!L:L,""))</f>
        <v/>
      </c>
      <c r="X860" s="78" t="str">
        <f t="array" ref="X860">IF(F860="","",_xlfn.XLOOKUP(F860,DATA!B:B,DATA!L:L,""))</f>
        <v/>
      </c>
    </row>
    <row r="861">
      <c r="A861" s="81"/>
      <c r="B861" s="79"/>
      <c r="C861" s="90"/>
      <c r="D861" s="82"/>
      <c r="E861" s="89"/>
      <c r="F861" s="83"/>
      <c r="G861" s="78"/>
      <c r="H861" s="64" t="str">
        <f t="array" ref="H861">_xlfn.XLOOKUP(G861,DATA!D:D,DATA!E:E,"")</f>
        <v/>
      </c>
      <c r="I861" s="84"/>
      <c r="J861" s="23"/>
      <c r="K861" s="23"/>
      <c r="L861" s="66" t="str">
        <f t="shared" si="1"/>
        <v/>
      </c>
      <c r="M861" s="77"/>
      <c r="N861" s="78"/>
      <c r="O861" s="66" t="str">
        <f>IF(M861="","",
 IF(M861="عدم پاسخ","بدون پاسخ",
 IF(L861="","اطلاعات ناقص",
 IF(L861&lt;=DATA!$M$1,"رعایت شده","رعایت نشده"))))</f>
        <v/>
      </c>
      <c r="P861" s="79"/>
      <c r="Q861" s="77"/>
      <c r="R861" s="79"/>
      <c r="S861" s="79"/>
      <c r="T861" s="78"/>
      <c r="U861" s="80"/>
      <c r="V861" s="78"/>
      <c r="W861" s="77" t="str">
        <f t="array" ref="W861">IF(D861="","",_xlfn.XLOOKUP(D861,DATA!B:B,DATA!L:L,""))</f>
        <v/>
      </c>
      <c r="X861" s="78" t="str">
        <f t="array" ref="X861">IF(F861="","",_xlfn.XLOOKUP(F861,DATA!B:B,DATA!L:L,""))</f>
        <v/>
      </c>
    </row>
    <row r="862">
      <c r="A862" s="81"/>
      <c r="B862" s="79"/>
      <c r="C862" s="90"/>
      <c r="D862" s="82"/>
      <c r="E862" s="89"/>
      <c r="F862" s="83"/>
      <c r="G862" s="78"/>
      <c r="H862" s="64" t="str">
        <f t="array" ref="H862">_xlfn.XLOOKUP(G862,DATA!D:D,DATA!E:E,"")</f>
        <v/>
      </c>
      <c r="I862" s="84"/>
      <c r="J862" s="23"/>
      <c r="K862" s="23"/>
      <c r="L862" s="66" t="str">
        <f t="shared" si="1"/>
        <v/>
      </c>
      <c r="M862" s="77"/>
      <c r="N862" s="78"/>
      <c r="O862" s="66" t="str">
        <f>IF(M862="","",
 IF(M862="عدم پاسخ","بدون پاسخ",
 IF(L862="","اطلاعات ناقص",
 IF(L862&lt;=DATA!$M$1,"رعایت شده","رعایت نشده"))))</f>
        <v/>
      </c>
      <c r="P862" s="79"/>
      <c r="Q862" s="77"/>
      <c r="R862" s="79"/>
      <c r="S862" s="79"/>
      <c r="T862" s="78"/>
      <c r="U862" s="80"/>
      <c r="V862" s="78"/>
      <c r="W862" s="77" t="str">
        <f t="array" ref="W862">IF(D862="","",_xlfn.XLOOKUP(D862,DATA!B:B,DATA!L:L,""))</f>
        <v/>
      </c>
      <c r="X862" s="78" t="str">
        <f t="array" ref="X862">IF(F862="","",_xlfn.XLOOKUP(F862,DATA!B:B,DATA!L:L,""))</f>
        <v/>
      </c>
    </row>
    <row r="863">
      <c r="A863" s="81"/>
      <c r="B863" s="79"/>
      <c r="C863" s="90"/>
      <c r="D863" s="82"/>
      <c r="E863" s="89"/>
      <c r="F863" s="83"/>
      <c r="G863" s="78"/>
      <c r="H863" s="64" t="str">
        <f t="array" ref="H863">_xlfn.XLOOKUP(G863,DATA!D:D,DATA!E:E,"")</f>
        <v/>
      </c>
      <c r="I863" s="84"/>
      <c r="J863" s="23"/>
      <c r="K863" s="23"/>
      <c r="L863" s="66" t="str">
        <f t="shared" si="1"/>
        <v/>
      </c>
      <c r="M863" s="77"/>
      <c r="N863" s="78"/>
      <c r="O863" s="66" t="str">
        <f>IF(M863="","",
 IF(M863="عدم پاسخ","بدون پاسخ",
 IF(L863="","اطلاعات ناقص",
 IF(L863&lt;=DATA!$M$1,"رعایت شده","رعایت نشده"))))</f>
        <v/>
      </c>
      <c r="P863" s="79"/>
      <c r="Q863" s="77"/>
      <c r="R863" s="79"/>
      <c r="S863" s="79"/>
      <c r="T863" s="78"/>
      <c r="U863" s="80"/>
      <c r="V863" s="78"/>
      <c r="W863" s="77" t="str">
        <f t="array" ref="W863">IF(D863="","",_xlfn.XLOOKUP(D863,DATA!B:B,DATA!L:L,""))</f>
        <v/>
      </c>
      <c r="X863" s="78" t="str">
        <f t="array" ref="X863">IF(F863="","",_xlfn.XLOOKUP(F863,DATA!B:B,DATA!L:L,""))</f>
        <v/>
      </c>
    </row>
    <row r="864">
      <c r="A864" s="81"/>
      <c r="B864" s="79"/>
      <c r="C864" s="90"/>
      <c r="D864" s="82"/>
      <c r="E864" s="89"/>
      <c r="F864" s="83"/>
      <c r="G864" s="78"/>
      <c r="H864" s="64" t="str">
        <f t="array" ref="H864">_xlfn.XLOOKUP(G864,DATA!D:D,DATA!E:E,"")</f>
        <v/>
      </c>
      <c r="I864" s="84"/>
      <c r="J864" s="23"/>
      <c r="K864" s="23"/>
      <c r="L864" s="66" t="str">
        <f t="shared" si="1"/>
        <v/>
      </c>
      <c r="M864" s="77"/>
      <c r="N864" s="78"/>
      <c r="O864" s="66" t="str">
        <f>IF(M864="","",
 IF(M864="عدم پاسخ","بدون پاسخ",
 IF(L864="","اطلاعات ناقص",
 IF(L864&lt;=DATA!$M$1,"رعایت شده","رعایت نشده"))))</f>
        <v/>
      </c>
      <c r="P864" s="79"/>
      <c r="Q864" s="77"/>
      <c r="R864" s="79"/>
      <c r="S864" s="79"/>
      <c r="T864" s="78"/>
      <c r="U864" s="80"/>
      <c r="V864" s="78"/>
      <c r="W864" s="77" t="str">
        <f t="array" ref="W864">IF(D864="","",_xlfn.XLOOKUP(D864,DATA!B:B,DATA!L:L,""))</f>
        <v/>
      </c>
      <c r="X864" s="78" t="str">
        <f t="array" ref="X864">IF(F864="","",_xlfn.XLOOKUP(F864,DATA!B:B,DATA!L:L,""))</f>
        <v/>
      </c>
    </row>
    <row r="865">
      <c r="A865" s="81"/>
      <c r="B865" s="79"/>
      <c r="C865" s="90"/>
      <c r="D865" s="82"/>
      <c r="E865" s="89"/>
      <c r="F865" s="83"/>
      <c r="G865" s="78"/>
      <c r="H865" s="64" t="str">
        <f t="array" ref="H865">_xlfn.XLOOKUP(G865,DATA!D:D,DATA!E:E,"")</f>
        <v/>
      </c>
      <c r="I865" s="84"/>
      <c r="J865" s="23"/>
      <c r="K865" s="23"/>
      <c r="L865" s="66" t="str">
        <f t="shared" si="1"/>
        <v/>
      </c>
      <c r="M865" s="77"/>
      <c r="N865" s="78"/>
      <c r="O865" s="66" t="str">
        <f>IF(M865="","",
 IF(M865="عدم پاسخ","بدون پاسخ",
 IF(L865="","اطلاعات ناقص",
 IF(L865&lt;=DATA!$M$1,"رعایت شده","رعایت نشده"))))</f>
        <v/>
      </c>
      <c r="P865" s="79"/>
      <c r="Q865" s="77"/>
      <c r="R865" s="79"/>
      <c r="S865" s="79"/>
      <c r="T865" s="78"/>
      <c r="U865" s="80"/>
      <c r="V865" s="78"/>
      <c r="W865" s="77" t="str">
        <f t="array" ref="W865">IF(D865="","",_xlfn.XLOOKUP(D865,DATA!B:B,DATA!L:L,""))</f>
        <v/>
      </c>
      <c r="X865" s="78" t="str">
        <f t="array" ref="X865">IF(F865="","",_xlfn.XLOOKUP(F865,DATA!B:B,DATA!L:L,""))</f>
        <v/>
      </c>
    </row>
    <row r="866">
      <c r="A866" s="81"/>
      <c r="B866" s="79"/>
      <c r="C866" s="90"/>
      <c r="D866" s="82"/>
      <c r="E866" s="89"/>
      <c r="F866" s="83"/>
      <c r="G866" s="78"/>
      <c r="H866" s="64" t="str">
        <f t="array" ref="H866">_xlfn.XLOOKUP(G866,DATA!D:D,DATA!E:E,"")</f>
        <v/>
      </c>
      <c r="I866" s="84"/>
      <c r="J866" s="23"/>
      <c r="K866" s="23"/>
      <c r="L866" s="66" t="str">
        <f t="shared" si="1"/>
        <v/>
      </c>
      <c r="M866" s="77"/>
      <c r="N866" s="78"/>
      <c r="O866" s="66" t="str">
        <f>IF(M866="","",
 IF(M866="عدم پاسخ","بدون پاسخ",
 IF(L866="","اطلاعات ناقص",
 IF(L866&lt;=DATA!$M$1,"رعایت شده","رعایت نشده"))))</f>
        <v/>
      </c>
      <c r="P866" s="79"/>
      <c r="Q866" s="77"/>
      <c r="R866" s="79"/>
      <c r="S866" s="79"/>
      <c r="T866" s="78"/>
      <c r="U866" s="80"/>
      <c r="V866" s="78"/>
      <c r="W866" s="77" t="str">
        <f t="array" ref="W866">IF(D866="","",_xlfn.XLOOKUP(D866,DATA!B:B,DATA!L:L,""))</f>
        <v/>
      </c>
      <c r="X866" s="78" t="str">
        <f t="array" ref="X866">IF(F866="","",_xlfn.XLOOKUP(F866,DATA!B:B,DATA!L:L,""))</f>
        <v/>
      </c>
    </row>
    <row r="867">
      <c r="A867" s="81"/>
      <c r="B867" s="79"/>
      <c r="C867" s="90"/>
      <c r="D867" s="82"/>
      <c r="E867" s="89"/>
      <c r="F867" s="83"/>
      <c r="G867" s="78"/>
      <c r="H867" s="64" t="str">
        <f t="array" ref="H867">_xlfn.XLOOKUP(G867,DATA!D:D,DATA!E:E,"")</f>
        <v/>
      </c>
      <c r="I867" s="84"/>
      <c r="J867" s="23"/>
      <c r="K867" s="23"/>
      <c r="L867" s="66" t="str">
        <f t="shared" si="1"/>
        <v/>
      </c>
      <c r="M867" s="77"/>
      <c r="N867" s="78"/>
      <c r="O867" s="66" t="str">
        <f>IF(M867="","",
 IF(M867="عدم پاسخ","بدون پاسخ",
 IF(L867="","اطلاعات ناقص",
 IF(L867&lt;=DATA!$M$1,"رعایت شده","رعایت نشده"))))</f>
        <v/>
      </c>
      <c r="P867" s="79"/>
      <c r="Q867" s="77"/>
      <c r="R867" s="79"/>
      <c r="S867" s="79"/>
      <c r="T867" s="78"/>
      <c r="U867" s="80"/>
      <c r="V867" s="78"/>
      <c r="W867" s="77" t="str">
        <f t="array" ref="W867">IF(D867="","",_xlfn.XLOOKUP(D867,DATA!B:B,DATA!L:L,""))</f>
        <v/>
      </c>
      <c r="X867" s="78" t="str">
        <f t="array" ref="X867">IF(F867="","",_xlfn.XLOOKUP(F867,DATA!B:B,DATA!L:L,""))</f>
        <v/>
      </c>
    </row>
    <row r="868">
      <c r="A868" s="81"/>
      <c r="B868" s="79"/>
      <c r="C868" s="90"/>
      <c r="D868" s="82"/>
      <c r="E868" s="89"/>
      <c r="F868" s="83"/>
      <c r="G868" s="78"/>
      <c r="H868" s="64" t="str">
        <f t="array" ref="H868">_xlfn.XLOOKUP(G868,DATA!D:D,DATA!E:E,"")</f>
        <v/>
      </c>
      <c r="I868" s="84"/>
      <c r="J868" s="23"/>
      <c r="K868" s="23"/>
      <c r="L868" s="66" t="str">
        <f t="shared" si="1"/>
        <v/>
      </c>
      <c r="M868" s="77"/>
      <c r="N868" s="78"/>
      <c r="O868" s="66" t="str">
        <f>IF(M868="","",
 IF(M868="عدم پاسخ","بدون پاسخ",
 IF(L868="","اطلاعات ناقص",
 IF(L868&lt;=DATA!$M$1,"رعایت شده","رعایت نشده"))))</f>
        <v/>
      </c>
      <c r="P868" s="79"/>
      <c r="Q868" s="77"/>
      <c r="R868" s="79"/>
      <c r="S868" s="79"/>
      <c r="T868" s="78"/>
      <c r="U868" s="80"/>
      <c r="V868" s="78"/>
      <c r="W868" s="77" t="str">
        <f t="array" ref="W868">IF(D868="","",_xlfn.XLOOKUP(D868,DATA!B:B,DATA!L:L,""))</f>
        <v/>
      </c>
      <c r="X868" s="78" t="str">
        <f t="array" ref="X868">IF(F868="","",_xlfn.XLOOKUP(F868,DATA!B:B,DATA!L:L,""))</f>
        <v/>
      </c>
    </row>
    <row r="869">
      <c r="A869" s="81"/>
      <c r="B869" s="79"/>
      <c r="C869" s="90"/>
      <c r="D869" s="82"/>
      <c r="E869" s="89"/>
      <c r="F869" s="83"/>
      <c r="G869" s="78"/>
      <c r="H869" s="64" t="str">
        <f t="array" ref="H869">_xlfn.XLOOKUP(G869,DATA!D:D,DATA!E:E,"")</f>
        <v/>
      </c>
      <c r="I869" s="84"/>
      <c r="J869" s="23"/>
      <c r="K869" s="23"/>
      <c r="L869" s="66" t="str">
        <f t="shared" si="1"/>
        <v/>
      </c>
      <c r="M869" s="77"/>
      <c r="N869" s="78"/>
      <c r="O869" s="66" t="str">
        <f>IF(M869="","",
 IF(M869="عدم پاسخ","بدون پاسخ",
 IF(L869="","اطلاعات ناقص",
 IF(L869&lt;=DATA!$M$1,"رعایت شده","رعایت نشده"))))</f>
        <v/>
      </c>
      <c r="P869" s="79"/>
      <c r="Q869" s="77"/>
      <c r="R869" s="79"/>
      <c r="S869" s="79"/>
      <c r="T869" s="78"/>
      <c r="U869" s="80"/>
      <c r="V869" s="78"/>
      <c r="W869" s="77" t="str">
        <f t="array" ref="W869">IF(D869="","",_xlfn.XLOOKUP(D869,DATA!B:B,DATA!L:L,""))</f>
        <v/>
      </c>
      <c r="X869" s="78" t="str">
        <f t="array" ref="X869">IF(F869="","",_xlfn.XLOOKUP(F869,DATA!B:B,DATA!L:L,""))</f>
        <v/>
      </c>
    </row>
    <row r="870">
      <c r="A870" s="81"/>
      <c r="B870" s="79"/>
      <c r="C870" s="90"/>
      <c r="D870" s="82"/>
      <c r="E870" s="89"/>
      <c r="F870" s="83"/>
      <c r="G870" s="78"/>
      <c r="H870" s="64" t="str">
        <f t="array" ref="H870">_xlfn.XLOOKUP(G870,DATA!D:D,DATA!E:E,"")</f>
        <v/>
      </c>
      <c r="I870" s="84"/>
      <c r="J870" s="23"/>
      <c r="K870" s="23"/>
      <c r="L870" s="66" t="str">
        <f t="shared" si="1"/>
        <v/>
      </c>
      <c r="M870" s="77"/>
      <c r="N870" s="78"/>
      <c r="O870" s="66" t="str">
        <f>IF(M870="","",
 IF(M870="عدم پاسخ","بدون پاسخ",
 IF(L870="","اطلاعات ناقص",
 IF(L870&lt;=DATA!$M$1,"رعایت شده","رعایت نشده"))))</f>
        <v/>
      </c>
      <c r="P870" s="79"/>
      <c r="Q870" s="77"/>
      <c r="R870" s="79"/>
      <c r="S870" s="79"/>
      <c r="T870" s="78"/>
      <c r="U870" s="80"/>
      <c r="V870" s="78"/>
      <c r="W870" s="77" t="str">
        <f t="array" ref="W870">IF(D870="","",_xlfn.XLOOKUP(D870,DATA!B:B,DATA!L:L,""))</f>
        <v/>
      </c>
      <c r="X870" s="78" t="str">
        <f t="array" ref="X870">IF(F870="","",_xlfn.XLOOKUP(F870,DATA!B:B,DATA!L:L,""))</f>
        <v/>
      </c>
    </row>
    <row r="871">
      <c r="A871" s="81"/>
      <c r="B871" s="79"/>
      <c r="C871" s="90"/>
      <c r="D871" s="82"/>
      <c r="E871" s="89"/>
      <c r="F871" s="83"/>
      <c r="G871" s="78"/>
      <c r="H871" s="64" t="str">
        <f t="array" ref="H871">_xlfn.XLOOKUP(G871,DATA!D:D,DATA!E:E,"")</f>
        <v/>
      </c>
      <c r="I871" s="84"/>
      <c r="J871" s="23"/>
      <c r="K871" s="23"/>
      <c r="L871" s="66" t="str">
        <f t="shared" si="1"/>
        <v/>
      </c>
      <c r="M871" s="77"/>
      <c r="N871" s="78"/>
      <c r="O871" s="66" t="str">
        <f>IF(M871="","",
 IF(M871="عدم پاسخ","بدون پاسخ",
 IF(L871="","اطلاعات ناقص",
 IF(L871&lt;=DATA!$M$1,"رعایت شده","رعایت نشده"))))</f>
        <v/>
      </c>
      <c r="P871" s="79"/>
      <c r="Q871" s="77"/>
      <c r="R871" s="79"/>
      <c r="S871" s="79"/>
      <c r="T871" s="78"/>
      <c r="U871" s="80"/>
      <c r="V871" s="78"/>
      <c r="W871" s="77" t="str">
        <f t="array" ref="W871">IF(D871="","",_xlfn.XLOOKUP(D871,DATA!B:B,DATA!L:L,""))</f>
        <v/>
      </c>
      <c r="X871" s="78" t="str">
        <f t="array" ref="X871">IF(F871="","",_xlfn.XLOOKUP(F871,DATA!B:B,DATA!L:L,""))</f>
        <v/>
      </c>
    </row>
    <row r="872">
      <c r="A872" s="81"/>
      <c r="B872" s="79"/>
      <c r="C872" s="90"/>
      <c r="D872" s="82"/>
      <c r="E872" s="89"/>
      <c r="F872" s="83"/>
      <c r="G872" s="78"/>
      <c r="H872" s="64" t="str">
        <f t="array" ref="H872">_xlfn.XLOOKUP(G872,DATA!D:D,DATA!E:E,"")</f>
        <v/>
      </c>
      <c r="I872" s="84"/>
      <c r="J872" s="23"/>
      <c r="K872" s="23"/>
      <c r="L872" s="66" t="str">
        <f t="shared" si="1"/>
        <v/>
      </c>
      <c r="M872" s="77"/>
      <c r="N872" s="78"/>
      <c r="O872" s="66" t="str">
        <f>IF(M872="","",
 IF(M872="عدم پاسخ","بدون پاسخ",
 IF(L872="","اطلاعات ناقص",
 IF(L872&lt;=DATA!$M$1,"رعایت شده","رعایت نشده"))))</f>
        <v/>
      </c>
      <c r="P872" s="79"/>
      <c r="Q872" s="77"/>
      <c r="R872" s="79"/>
      <c r="S872" s="79"/>
      <c r="T872" s="78"/>
      <c r="U872" s="80"/>
      <c r="V872" s="78"/>
      <c r="W872" s="77" t="str">
        <f t="array" ref="W872">IF(D872="","",_xlfn.XLOOKUP(D872,DATA!B:B,DATA!L:L,""))</f>
        <v/>
      </c>
      <c r="X872" s="78" t="str">
        <f t="array" ref="X872">IF(F872="","",_xlfn.XLOOKUP(F872,DATA!B:B,DATA!L:L,""))</f>
        <v/>
      </c>
    </row>
    <row r="873">
      <c r="A873" s="81"/>
      <c r="B873" s="79"/>
      <c r="C873" s="90"/>
      <c r="D873" s="82"/>
      <c r="E873" s="89"/>
      <c r="F873" s="83"/>
      <c r="G873" s="78"/>
      <c r="H873" s="64" t="str">
        <f t="array" ref="H873">_xlfn.XLOOKUP(G873,DATA!D:D,DATA!E:E,"")</f>
        <v/>
      </c>
      <c r="I873" s="84"/>
      <c r="J873" s="23"/>
      <c r="K873" s="23"/>
      <c r="L873" s="66" t="str">
        <f t="shared" si="1"/>
        <v/>
      </c>
      <c r="M873" s="77"/>
      <c r="N873" s="78"/>
      <c r="O873" s="66" t="str">
        <f>IF(M873="","",
 IF(M873="عدم پاسخ","بدون پاسخ",
 IF(L873="","اطلاعات ناقص",
 IF(L873&lt;=DATA!$M$1,"رعایت شده","رعایت نشده"))))</f>
        <v/>
      </c>
      <c r="P873" s="79"/>
      <c r="Q873" s="77"/>
      <c r="R873" s="79"/>
      <c r="S873" s="79"/>
      <c r="T873" s="78"/>
      <c r="U873" s="80"/>
      <c r="V873" s="78"/>
      <c r="W873" s="77" t="str">
        <f t="array" ref="W873">IF(D873="","",_xlfn.XLOOKUP(D873,DATA!B:B,DATA!L:L,""))</f>
        <v/>
      </c>
      <c r="X873" s="78" t="str">
        <f t="array" ref="X873">IF(F873="","",_xlfn.XLOOKUP(F873,DATA!B:B,DATA!L:L,""))</f>
        <v/>
      </c>
    </row>
    <row r="874">
      <c r="A874" s="81"/>
      <c r="B874" s="79"/>
      <c r="C874" s="90"/>
      <c r="D874" s="82"/>
      <c r="E874" s="89"/>
      <c r="F874" s="83"/>
      <c r="G874" s="78"/>
      <c r="H874" s="64" t="str">
        <f t="array" ref="H874">_xlfn.XLOOKUP(G874,DATA!D:D,DATA!E:E,"")</f>
        <v/>
      </c>
      <c r="I874" s="84"/>
      <c r="J874" s="23"/>
      <c r="K874" s="23"/>
      <c r="L874" s="66" t="str">
        <f t="shared" si="1"/>
        <v/>
      </c>
      <c r="M874" s="77"/>
      <c r="N874" s="78"/>
      <c r="O874" s="66" t="str">
        <f>IF(M874="","",
 IF(M874="عدم پاسخ","بدون پاسخ",
 IF(L874="","اطلاعات ناقص",
 IF(L874&lt;=DATA!$M$1,"رعایت شده","رعایت نشده"))))</f>
        <v/>
      </c>
      <c r="P874" s="79"/>
      <c r="Q874" s="77"/>
      <c r="R874" s="79"/>
      <c r="S874" s="79"/>
      <c r="T874" s="78"/>
      <c r="U874" s="80"/>
      <c r="V874" s="78"/>
      <c r="W874" s="77" t="str">
        <f t="array" ref="W874">IF(D874="","",_xlfn.XLOOKUP(D874,DATA!B:B,DATA!L:L,""))</f>
        <v/>
      </c>
      <c r="X874" s="78" t="str">
        <f t="array" ref="X874">IF(F874="","",_xlfn.XLOOKUP(F874,DATA!B:B,DATA!L:L,""))</f>
        <v/>
      </c>
    </row>
    <row r="875">
      <c r="A875" s="81"/>
      <c r="B875" s="79"/>
      <c r="C875" s="90"/>
      <c r="D875" s="82"/>
      <c r="E875" s="89"/>
      <c r="F875" s="83"/>
      <c r="G875" s="78"/>
      <c r="H875" s="64" t="str">
        <f t="array" ref="H875">_xlfn.XLOOKUP(G875,DATA!D:D,DATA!E:E,"")</f>
        <v/>
      </c>
      <c r="I875" s="84"/>
      <c r="J875" s="23"/>
      <c r="K875" s="23"/>
      <c r="L875" s="66" t="str">
        <f t="shared" si="1"/>
        <v/>
      </c>
      <c r="M875" s="77"/>
      <c r="N875" s="78"/>
      <c r="O875" s="66" t="str">
        <f>IF(M875="","",
 IF(M875="عدم پاسخ","بدون پاسخ",
 IF(L875="","اطلاعات ناقص",
 IF(L875&lt;=DATA!$M$1,"رعایت شده","رعایت نشده"))))</f>
        <v/>
      </c>
      <c r="P875" s="79"/>
      <c r="Q875" s="77"/>
      <c r="R875" s="79"/>
      <c r="S875" s="79"/>
      <c r="T875" s="78"/>
      <c r="U875" s="80"/>
      <c r="V875" s="78"/>
      <c r="W875" s="77" t="str">
        <f t="array" ref="W875">IF(D875="","",_xlfn.XLOOKUP(D875,DATA!B:B,DATA!L:L,""))</f>
        <v/>
      </c>
      <c r="X875" s="78" t="str">
        <f t="array" ref="X875">IF(F875="","",_xlfn.XLOOKUP(F875,DATA!B:B,DATA!L:L,""))</f>
        <v/>
      </c>
    </row>
    <row r="876">
      <c r="A876" s="81"/>
      <c r="B876" s="79"/>
      <c r="C876" s="90"/>
      <c r="D876" s="82"/>
      <c r="E876" s="89"/>
      <c r="F876" s="83"/>
      <c r="G876" s="78"/>
      <c r="H876" s="64" t="str">
        <f t="array" ref="H876">_xlfn.XLOOKUP(G876,DATA!D:D,DATA!E:E,"")</f>
        <v/>
      </c>
      <c r="I876" s="84"/>
      <c r="J876" s="23"/>
      <c r="K876" s="23"/>
      <c r="L876" s="66" t="str">
        <f t="shared" si="1"/>
        <v/>
      </c>
      <c r="M876" s="77"/>
      <c r="N876" s="78"/>
      <c r="O876" s="66" t="str">
        <f>IF(M876="","",
 IF(M876="عدم پاسخ","بدون پاسخ",
 IF(L876="","اطلاعات ناقص",
 IF(L876&lt;=DATA!$M$1,"رعایت شده","رعایت نشده"))))</f>
        <v/>
      </c>
      <c r="P876" s="79"/>
      <c r="Q876" s="77"/>
      <c r="R876" s="79"/>
      <c r="S876" s="79"/>
      <c r="T876" s="78"/>
      <c r="U876" s="80"/>
      <c r="V876" s="78"/>
      <c r="W876" s="77" t="str">
        <f t="array" ref="W876">IF(D876="","",_xlfn.XLOOKUP(D876,DATA!B:B,DATA!L:L,""))</f>
        <v/>
      </c>
      <c r="X876" s="78" t="str">
        <f t="array" ref="X876">IF(F876="","",_xlfn.XLOOKUP(F876,DATA!B:B,DATA!L:L,""))</f>
        <v/>
      </c>
    </row>
    <row r="877">
      <c r="A877" s="81"/>
      <c r="B877" s="79"/>
      <c r="C877" s="90"/>
      <c r="D877" s="82"/>
      <c r="E877" s="89"/>
      <c r="F877" s="83"/>
      <c r="G877" s="78"/>
      <c r="H877" s="64" t="str">
        <f t="array" ref="H877">_xlfn.XLOOKUP(G877,DATA!D:D,DATA!E:E,"")</f>
        <v/>
      </c>
      <c r="I877" s="84"/>
      <c r="J877" s="23"/>
      <c r="K877" s="23"/>
      <c r="L877" s="66" t="str">
        <f t="shared" si="1"/>
        <v/>
      </c>
      <c r="M877" s="77"/>
      <c r="N877" s="78"/>
      <c r="O877" s="66" t="str">
        <f>IF(M877="","",
 IF(M877="عدم پاسخ","بدون پاسخ",
 IF(L877="","اطلاعات ناقص",
 IF(L877&lt;=DATA!$M$1,"رعایت شده","رعایت نشده"))))</f>
        <v/>
      </c>
      <c r="P877" s="79"/>
      <c r="Q877" s="77"/>
      <c r="R877" s="79"/>
      <c r="S877" s="79"/>
      <c r="T877" s="78"/>
      <c r="U877" s="80"/>
      <c r="V877" s="78"/>
      <c r="W877" s="77" t="str">
        <f t="array" ref="W877">IF(D877="","",_xlfn.XLOOKUP(D877,DATA!B:B,DATA!L:L,""))</f>
        <v/>
      </c>
      <c r="X877" s="78" t="str">
        <f t="array" ref="X877">IF(F877="","",_xlfn.XLOOKUP(F877,DATA!B:B,DATA!L:L,""))</f>
        <v/>
      </c>
    </row>
    <row r="878">
      <c r="A878" s="81"/>
      <c r="B878" s="79"/>
      <c r="C878" s="90"/>
      <c r="D878" s="82"/>
      <c r="E878" s="89"/>
      <c r="F878" s="83"/>
      <c r="G878" s="78"/>
      <c r="H878" s="64" t="str">
        <f t="array" ref="H878">_xlfn.XLOOKUP(G878,DATA!D:D,DATA!E:E,"")</f>
        <v/>
      </c>
      <c r="I878" s="84"/>
      <c r="J878" s="23"/>
      <c r="K878" s="23"/>
      <c r="L878" s="66" t="str">
        <f t="shared" si="1"/>
        <v/>
      </c>
      <c r="M878" s="77"/>
      <c r="N878" s="78"/>
      <c r="O878" s="66" t="str">
        <f>IF(M878="","",
 IF(M878="عدم پاسخ","بدون پاسخ",
 IF(L878="","اطلاعات ناقص",
 IF(L878&lt;=DATA!$M$1,"رعایت شده","رعایت نشده"))))</f>
        <v/>
      </c>
      <c r="P878" s="79"/>
      <c r="Q878" s="77"/>
      <c r="R878" s="79"/>
      <c r="S878" s="79"/>
      <c r="T878" s="78"/>
      <c r="U878" s="80"/>
      <c r="V878" s="78"/>
      <c r="W878" s="77" t="str">
        <f t="array" ref="W878">IF(D878="","",_xlfn.XLOOKUP(D878,DATA!B:B,DATA!L:L,""))</f>
        <v/>
      </c>
      <c r="X878" s="78" t="str">
        <f t="array" ref="X878">IF(F878="","",_xlfn.XLOOKUP(F878,DATA!B:B,DATA!L:L,""))</f>
        <v/>
      </c>
    </row>
    <row r="879">
      <c r="A879" s="81"/>
      <c r="B879" s="79"/>
      <c r="C879" s="90"/>
      <c r="D879" s="82"/>
      <c r="E879" s="89"/>
      <c r="F879" s="83"/>
      <c r="G879" s="78"/>
      <c r="H879" s="64" t="str">
        <f t="array" ref="H879">_xlfn.XLOOKUP(G879,DATA!D:D,DATA!E:E,"")</f>
        <v/>
      </c>
      <c r="I879" s="84"/>
      <c r="J879" s="23"/>
      <c r="K879" s="23"/>
      <c r="L879" s="66" t="str">
        <f t="shared" si="1"/>
        <v/>
      </c>
      <c r="M879" s="77"/>
      <c r="N879" s="78"/>
      <c r="O879" s="66" t="str">
        <f>IF(M879="","",
 IF(M879="عدم پاسخ","بدون پاسخ",
 IF(L879="","اطلاعات ناقص",
 IF(L879&lt;=DATA!$M$1,"رعایت شده","رعایت نشده"))))</f>
        <v/>
      </c>
      <c r="P879" s="79"/>
      <c r="Q879" s="77"/>
      <c r="R879" s="79"/>
      <c r="S879" s="79"/>
      <c r="T879" s="78"/>
      <c r="U879" s="80"/>
      <c r="V879" s="78"/>
      <c r="W879" s="77" t="str">
        <f t="array" ref="W879">IF(D879="","",_xlfn.XLOOKUP(D879,DATA!B:B,DATA!L:L,""))</f>
        <v/>
      </c>
      <c r="X879" s="78" t="str">
        <f t="array" ref="X879">IF(F879="","",_xlfn.XLOOKUP(F879,DATA!B:B,DATA!L:L,""))</f>
        <v/>
      </c>
    </row>
    <row r="880">
      <c r="A880" s="81"/>
      <c r="B880" s="79"/>
      <c r="C880" s="90"/>
      <c r="D880" s="82"/>
      <c r="E880" s="89"/>
      <c r="F880" s="83"/>
      <c r="G880" s="78"/>
      <c r="H880" s="64" t="str">
        <f t="array" ref="H880">_xlfn.XLOOKUP(G880,DATA!D:D,DATA!E:E,"")</f>
        <v/>
      </c>
      <c r="I880" s="84"/>
      <c r="J880" s="23"/>
      <c r="K880" s="23"/>
      <c r="L880" s="66" t="str">
        <f t="shared" si="1"/>
        <v/>
      </c>
      <c r="M880" s="77"/>
      <c r="N880" s="78"/>
      <c r="O880" s="66" t="str">
        <f>IF(M880="","",
 IF(M880="عدم پاسخ","بدون پاسخ",
 IF(L880="","اطلاعات ناقص",
 IF(L880&lt;=DATA!$M$1,"رعایت شده","رعایت نشده"))))</f>
        <v/>
      </c>
      <c r="P880" s="79"/>
      <c r="Q880" s="77"/>
      <c r="R880" s="79"/>
      <c r="S880" s="79"/>
      <c r="T880" s="78"/>
      <c r="U880" s="80"/>
      <c r="V880" s="78"/>
      <c r="W880" s="77" t="str">
        <f t="array" ref="W880">IF(D880="","",_xlfn.XLOOKUP(D880,DATA!B:B,DATA!L:L,""))</f>
        <v/>
      </c>
      <c r="X880" s="78" t="str">
        <f t="array" ref="X880">IF(F880="","",_xlfn.XLOOKUP(F880,DATA!B:B,DATA!L:L,""))</f>
        <v/>
      </c>
    </row>
    <row r="881">
      <c r="A881" s="81"/>
      <c r="B881" s="79"/>
      <c r="C881" s="90"/>
      <c r="D881" s="82"/>
      <c r="E881" s="89"/>
      <c r="F881" s="83"/>
      <c r="G881" s="78"/>
      <c r="H881" s="64" t="str">
        <f t="array" ref="H881">_xlfn.XLOOKUP(G881,DATA!D:D,DATA!E:E,"")</f>
        <v/>
      </c>
      <c r="I881" s="84"/>
      <c r="J881" s="23"/>
      <c r="K881" s="23"/>
      <c r="L881" s="66" t="str">
        <f t="shared" si="1"/>
        <v/>
      </c>
      <c r="M881" s="77"/>
      <c r="N881" s="78"/>
      <c r="O881" s="66" t="str">
        <f>IF(M881="","",
 IF(M881="عدم پاسخ","بدون پاسخ",
 IF(L881="","اطلاعات ناقص",
 IF(L881&lt;=DATA!$M$1,"رعایت شده","رعایت نشده"))))</f>
        <v/>
      </c>
      <c r="P881" s="79"/>
      <c r="Q881" s="77"/>
      <c r="R881" s="79"/>
      <c r="S881" s="79"/>
      <c r="T881" s="78"/>
      <c r="U881" s="80"/>
      <c r="V881" s="78"/>
      <c r="W881" s="77" t="str">
        <f t="array" ref="W881">IF(D881="","",_xlfn.XLOOKUP(D881,DATA!B:B,DATA!L:L,""))</f>
        <v/>
      </c>
      <c r="X881" s="78" t="str">
        <f t="array" ref="X881">IF(F881="","",_xlfn.XLOOKUP(F881,DATA!B:B,DATA!L:L,""))</f>
        <v/>
      </c>
    </row>
    <row r="882">
      <c r="A882" s="81"/>
      <c r="B882" s="79"/>
      <c r="C882" s="90"/>
      <c r="D882" s="82"/>
      <c r="E882" s="89"/>
      <c r="F882" s="83"/>
      <c r="G882" s="78"/>
      <c r="H882" s="64" t="str">
        <f t="array" ref="H882">_xlfn.XLOOKUP(G882,DATA!D:D,DATA!E:E,"")</f>
        <v/>
      </c>
      <c r="I882" s="84"/>
      <c r="J882" s="23"/>
      <c r="K882" s="23"/>
      <c r="L882" s="66" t="str">
        <f t="shared" si="1"/>
        <v/>
      </c>
      <c r="M882" s="77"/>
      <c r="N882" s="78"/>
      <c r="O882" s="66" t="str">
        <f>IF(M882="","",
 IF(M882="عدم پاسخ","بدون پاسخ",
 IF(L882="","اطلاعات ناقص",
 IF(L882&lt;=DATA!$M$1,"رعایت شده","رعایت نشده"))))</f>
        <v/>
      </c>
      <c r="P882" s="79"/>
      <c r="Q882" s="77"/>
      <c r="R882" s="79"/>
      <c r="S882" s="79"/>
      <c r="T882" s="78"/>
      <c r="U882" s="80"/>
      <c r="V882" s="78"/>
      <c r="W882" s="77" t="str">
        <f t="array" ref="W882">IF(D882="","",_xlfn.XLOOKUP(D882,DATA!B:B,DATA!L:L,""))</f>
        <v/>
      </c>
      <c r="X882" s="78" t="str">
        <f t="array" ref="X882">IF(F882="","",_xlfn.XLOOKUP(F882,DATA!B:B,DATA!L:L,""))</f>
        <v/>
      </c>
    </row>
    <row r="883">
      <c r="A883" s="81"/>
      <c r="B883" s="79"/>
      <c r="C883" s="90"/>
      <c r="D883" s="82"/>
      <c r="E883" s="89"/>
      <c r="F883" s="83"/>
      <c r="G883" s="78"/>
      <c r="H883" s="64" t="str">
        <f t="array" ref="H883">_xlfn.XLOOKUP(G883,DATA!D:D,DATA!E:E,"")</f>
        <v/>
      </c>
      <c r="I883" s="84"/>
      <c r="J883" s="23"/>
      <c r="K883" s="23"/>
      <c r="L883" s="66" t="str">
        <f t="shared" si="1"/>
        <v/>
      </c>
      <c r="M883" s="77"/>
      <c r="N883" s="78"/>
      <c r="O883" s="66" t="str">
        <f>IF(M883="","",
 IF(M883="عدم پاسخ","بدون پاسخ",
 IF(L883="","اطلاعات ناقص",
 IF(L883&lt;=DATA!$M$1,"رعایت شده","رعایت نشده"))))</f>
        <v/>
      </c>
      <c r="P883" s="79"/>
      <c r="Q883" s="77"/>
      <c r="R883" s="79"/>
      <c r="S883" s="79"/>
      <c r="T883" s="78"/>
      <c r="U883" s="80"/>
      <c r="V883" s="78"/>
      <c r="W883" s="77" t="str">
        <f t="array" ref="W883">IF(D883="","",_xlfn.XLOOKUP(D883,DATA!B:B,DATA!L:L,""))</f>
        <v/>
      </c>
      <c r="X883" s="78" t="str">
        <f t="array" ref="X883">IF(F883="","",_xlfn.XLOOKUP(F883,DATA!B:B,DATA!L:L,""))</f>
        <v/>
      </c>
    </row>
    <row r="884">
      <c r="A884" s="81"/>
      <c r="B884" s="79"/>
      <c r="C884" s="90"/>
      <c r="D884" s="82"/>
      <c r="E884" s="89"/>
      <c r="F884" s="83"/>
      <c r="G884" s="78"/>
      <c r="H884" s="64" t="str">
        <f t="array" ref="H884">_xlfn.XLOOKUP(G884,DATA!D:D,DATA!E:E,"")</f>
        <v/>
      </c>
      <c r="I884" s="84"/>
      <c r="J884" s="23"/>
      <c r="K884" s="23"/>
      <c r="L884" s="66" t="str">
        <f t="shared" si="1"/>
        <v/>
      </c>
      <c r="M884" s="77"/>
      <c r="N884" s="78"/>
      <c r="O884" s="66" t="str">
        <f>IF(M884="","",
 IF(M884="عدم پاسخ","بدون پاسخ",
 IF(L884="","اطلاعات ناقص",
 IF(L884&lt;=DATA!$M$1,"رعایت شده","رعایت نشده"))))</f>
        <v/>
      </c>
      <c r="P884" s="79"/>
      <c r="Q884" s="77"/>
      <c r="R884" s="79"/>
      <c r="S884" s="79"/>
      <c r="T884" s="78"/>
      <c r="U884" s="80"/>
      <c r="V884" s="78"/>
      <c r="W884" s="77" t="str">
        <f t="array" ref="W884">IF(D884="","",_xlfn.XLOOKUP(D884,DATA!B:B,DATA!L:L,""))</f>
        <v/>
      </c>
      <c r="X884" s="78" t="str">
        <f t="array" ref="X884">IF(F884="","",_xlfn.XLOOKUP(F884,DATA!B:B,DATA!L:L,""))</f>
        <v/>
      </c>
    </row>
    <row r="885">
      <c r="A885" s="81"/>
      <c r="B885" s="79"/>
      <c r="C885" s="90"/>
      <c r="D885" s="82"/>
      <c r="E885" s="89"/>
      <c r="F885" s="83"/>
      <c r="G885" s="78"/>
      <c r="H885" s="64" t="str">
        <f t="array" ref="H885">_xlfn.XLOOKUP(G885,DATA!D:D,DATA!E:E,"")</f>
        <v/>
      </c>
      <c r="I885" s="84"/>
      <c r="J885" s="23"/>
      <c r="K885" s="23"/>
      <c r="L885" s="66" t="str">
        <f t="shared" si="1"/>
        <v/>
      </c>
      <c r="M885" s="77"/>
      <c r="N885" s="78"/>
      <c r="O885" s="66" t="str">
        <f>IF(M885="","",
 IF(M885="عدم پاسخ","بدون پاسخ",
 IF(L885="","اطلاعات ناقص",
 IF(L885&lt;=DATA!$M$1,"رعایت شده","رعایت نشده"))))</f>
        <v/>
      </c>
      <c r="P885" s="79"/>
      <c r="Q885" s="77"/>
      <c r="R885" s="79"/>
      <c r="S885" s="79"/>
      <c r="T885" s="78"/>
      <c r="U885" s="80"/>
      <c r="V885" s="78"/>
      <c r="W885" s="77" t="str">
        <f t="array" ref="W885">IF(D885="","",_xlfn.XLOOKUP(D885,DATA!B:B,DATA!L:L,""))</f>
        <v/>
      </c>
      <c r="X885" s="78" t="str">
        <f t="array" ref="X885">IF(F885="","",_xlfn.XLOOKUP(F885,DATA!B:B,DATA!L:L,""))</f>
        <v/>
      </c>
    </row>
    <row r="886">
      <c r="A886" s="81"/>
      <c r="B886" s="79"/>
      <c r="C886" s="90"/>
      <c r="D886" s="82"/>
      <c r="E886" s="89"/>
      <c r="F886" s="83"/>
      <c r="G886" s="78"/>
      <c r="H886" s="64" t="str">
        <f t="array" ref="H886">_xlfn.XLOOKUP(G886,DATA!D:D,DATA!E:E,"")</f>
        <v/>
      </c>
      <c r="I886" s="84"/>
      <c r="J886" s="23"/>
      <c r="K886" s="23"/>
      <c r="L886" s="66" t="str">
        <f t="shared" si="1"/>
        <v/>
      </c>
      <c r="M886" s="77"/>
      <c r="N886" s="78"/>
      <c r="O886" s="66" t="str">
        <f>IF(M886="","",
 IF(M886="عدم پاسخ","بدون پاسخ",
 IF(L886="","اطلاعات ناقص",
 IF(L886&lt;=DATA!$M$1,"رعایت شده","رعایت نشده"))))</f>
        <v/>
      </c>
      <c r="P886" s="79"/>
      <c r="Q886" s="77"/>
      <c r="R886" s="79"/>
      <c r="S886" s="79"/>
      <c r="T886" s="78"/>
      <c r="U886" s="80"/>
      <c r="V886" s="78"/>
      <c r="W886" s="77" t="str">
        <f t="array" ref="W886">IF(D886="","",_xlfn.XLOOKUP(D886,DATA!B:B,DATA!L:L,""))</f>
        <v/>
      </c>
      <c r="X886" s="78" t="str">
        <f t="array" ref="X886">IF(F886="","",_xlfn.XLOOKUP(F886,DATA!B:B,DATA!L:L,""))</f>
        <v/>
      </c>
    </row>
    <row r="887">
      <c r="A887" s="81"/>
      <c r="B887" s="79"/>
      <c r="C887" s="90"/>
      <c r="D887" s="82"/>
      <c r="E887" s="89"/>
      <c r="F887" s="83"/>
      <c r="G887" s="78"/>
      <c r="H887" s="64" t="str">
        <f t="array" ref="H887">_xlfn.XLOOKUP(G887,DATA!D:D,DATA!E:E,"")</f>
        <v/>
      </c>
      <c r="I887" s="84"/>
      <c r="J887" s="23"/>
      <c r="K887" s="23"/>
      <c r="L887" s="66" t="str">
        <f t="shared" si="1"/>
        <v/>
      </c>
      <c r="M887" s="77"/>
      <c r="N887" s="78"/>
      <c r="O887" s="66" t="str">
        <f>IF(M887="","",
 IF(M887="عدم پاسخ","بدون پاسخ",
 IF(L887="","اطلاعات ناقص",
 IF(L887&lt;=DATA!$M$1,"رعایت شده","رعایت نشده"))))</f>
        <v/>
      </c>
      <c r="P887" s="79"/>
      <c r="Q887" s="77"/>
      <c r="R887" s="79"/>
      <c r="S887" s="79"/>
      <c r="T887" s="78"/>
      <c r="U887" s="80"/>
      <c r="V887" s="78"/>
      <c r="W887" s="77" t="str">
        <f t="array" ref="W887">IF(D887="","",_xlfn.XLOOKUP(D887,DATA!B:B,DATA!L:L,""))</f>
        <v/>
      </c>
      <c r="X887" s="78" t="str">
        <f t="array" ref="X887">IF(F887="","",_xlfn.XLOOKUP(F887,DATA!B:B,DATA!L:L,""))</f>
        <v/>
      </c>
    </row>
    <row r="888">
      <c r="A888" s="81"/>
      <c r="B888" s="79"/>
      <c r="C888" s="90"/>
      <c r="D888" s="82"/>
      <c r="E888" s="89"/>
      <c r="F888" s="83"/>
      <c r="G888" s="78"/>
      <c r="H888" s="64" t="str">
        <f t="array" ref="H888">_xlfn.XLOOKUP(G888,DATA!D:D,DATA!E:E,"")</f>
        <v/>
      </c>
      <c r="I888" s="84"/>
      <c r="J888" s="23"/>
      <c r="K888" s="23"/>
      <c r="L888" s="66" t="str">
        <f t="shared" si="1"/>
        <v/>
      </c>
      <c r="M888" s="77"/>
      <c r="N888" s="78"/>
      <c r="O888" s="66" t="str">
        <f>IF(M888="","",
 IF(M888="عدم پاسخ","بدون پاسخ",
 IF(L888="","اطلاعات ناقص",
 IF(L888&lt;=DATA!$M$1,"رعایت شده","رعایت نشده"))))</f>
        <v/>
      </c>
      <c r="P888" s="79"/>
      <c r="Q888" s="77"/>
      <c r="R888" s="79"/>
      <c r="S888" s="79"/>
      <c r="T888" s="78"/>
      <c r="U888" s="80"/>
      <c r="V888" s="78"/>
      <c r="W888" s="77" t="str">
        <f t="array" ref="W888">IF(D888="","",_xlfn.XLOOKUP(D888,DATA!B:B,DATA!L:L,""))</f>
        <v/>
      </c>
      <c r="X888" s="78" t="str">
        <f t="array" ref="X888">IF(F888="","",_xlfn.XLOOKUP(F888,DATA!B:B,DATA!L:L,""))</f>
        <v/>
      </c>
    </row>
    <row r="889">
      <c r="A889" s="81"/>
      <c r="B889" s="79"/>
      <c r="C889" s="90"/>
      <c r="D889" s="82"/>
      <c r="E889" s="89"/>
      <c r="F889" s="83"/>
      <c r="G889" s="78"/>
      <c r="H889" s="64" t="str">
        <f t="array" ref="H889">_xlfn.XLOOKUP(G889,DATA!D:D,DATA!E:E,"")</f>
        <v/>
      </c>
      <c r="I889" s="84"/>
      <c r="J889" s="23"/>
      <c r="K889" s="23"/>
      <c r="L889" s="66" t="str">
        <f t="shared" si="1"/>
        <v/>
      </c>
      <c r="M889" s="77"/>
      <c r="N889" s="78"/>
      <c r="O889" s="66" t="str">
        <f>IF(M889="","",
 IF(M889="عدم پاسخ","بدون پاسخ",
 IF(L889="","اطلاعات ناقص",
 IF(L889&lt;=DATA!$M$1,"رعایت شده","رعایت نشده"))))</f>
        <v/>
      </c>
      <c r="P889" s="79"/>
      <c r="Q889" s="77"/>
      <c r="R889" s="79"/>
      <c r="S889" s="79"/>
      <c r="T889" s="78"/>
      <c r="U889" s="80"/>
      <c r="V889" s="78"/>
      <c r="W889" s="77" t="str">
        <f t="array" ref="W889">IF(D889="","",_xlfn.XLOOKUP(D889,DATA!B:B,DATA!L:L,""))</f>
        <v/>
      </c>
      <c r="X889" s="78" t="str">
        <f t="array" ref="X889">IF(F889="","",_xlfn.XLOOKUP(F889,DATA!B:B,DATA!L:L,""))</f>
        <v/>
      </c>
    </row>
    <row r="890">
      <c r="A890" s="81"/>
      <c r="B890" s="79"/>
      <c r="C890" s="90"/>
      <c r="D890" s="82"/>
      <c r="E890" s="89"/>
      <c r="F890" s="83"/>
      <c r="G890" s="78"/>
      <c r="H890" s="64" t="str">
        <f t="array" ref="H890">_xlfn.XLOOKUP(G890,DATA!D:D,DATA!E:E,"")</f>
        <v/>
      </c>
      <c r="I890" s="84"/>
      <c r="J890" s="23"/>
      <c r="K890" s="23"/>
      <c r="L890" s="66" t="str">
        <f t="shared" si="1"/>
        <v/>
      </c>
      <c r="M890" s="77"/>
      <c r="N890" s="78"/>
      <c r="O890" s="66" t="str">
        <f>IF(M890="","",
 IF(M890="عدم پاسخ","بدون پاسخ",
 IF(L890="","اطلاعات ناقص",
 IF(L890&lt;=DATA!$M$1,"رعایت شده","رعایت نشده"))))</f>
        <v/>
      </c>
      <c r="P890" s="79"/>
      <c r="Q890" s="77"/>
      <c r="R890" s="79"/>
      <c r="S890" s="79"/>
      <c r="T890" s="78"/>
      <c r="U890" s="80"/>
      <c r="V890" s="78"/>
      <c r="W890" s="77" t="str">
        <f t="array" ref="W890">IF(D890="","",_xlfn.XLOOKUP(D890,DATA!B:B,DATA!L:L,""))</f>
        <v/>
      </c>
      <c r="X890" s="78" t="str">
        <f t="array" ref="X890">IF(F890="","",_xlfn.XLOOKUP(F890,DATA!B:B,DATA!L:L,""))</f>
        <v/>
      </c>
    </row>
    <row r="891">
      <c r="A891" s="81"/>
      <c r="B891" s="79"/>
      <c r="C891" s="90"/>
      <c r="D891" s="82"/>
      <c r="E891" s="89"/>
      <c r="F891" s="83"/>
      <c r="G891" s="78"/>
      <c r="H891" s="64" t="str">
        <f t="array" ref="H891">_xlfn.XLOOKUP(G891,DATA!D:D,DATA!E:E,"")</f>
        <v/>
      </c>
      <c r="I891" s="84"/>
      <c r="J891" s="23"/>
      <c r="K891" s="23"/>
      <c r="L891" s="66" t="str">
        <f t="shared" si="1"/>
        <v/>
      </c>
      <c r="M891" s="77"/>
      <c r="N891" s="78"/>
      <c r="O891" s="66" t="str">
        <f>IF(M891="","",
 IF(M891="عدم پاسخ","بدون پاسخ",
 IF(L891="","اطلاعات ناقص",
 IF(L891&lt;=DATA!$M$1,"رعایت شده","رعایت نشده"))))</f>
        <v/>
      </c>
      <c r="P891" s="79"/>
      <c r="Q891" s="77"/>
      <c r="R891" s="79"/>
      <c r="S891" s="79"/>
      <c r="T891" s="78"/>
      <c r="U891" s="80"/>
      <c r="V891" s="78"/>
      <c r="W891" s="77" t="str">
        <f t="array" ref="W891">IF(D891="","",_xlfn.XLOOKUP(D891,DATA!B:B,DATA!L:L,""))</f>
        <v/>
      </c>
      <c r="X891" s="78" t="str">
        <f t="array" ref="X891">IF(F891="","",_xlfn.XLOOKUP(F891,DATA!B:B,DATA!L:L,""))</f>
        <v/>
      </c>
    </row>
    <row r="892">
      <c r="A892" s="81"/>
      <c r="B892" s="79"/>
      <c r="C892" s="90"/>
      <c r="D892" s="82"/>
      <c r="E892" s="89"/>
      <c r="F892" s="83"/>
      <c r="G892" s="78"/>
      <c r="H892" s="64" t="str">
        <f t="array" ref="H892">_xlfn.XLOOKUP(G892,DATA!D:D,DATA!E:E,"")</f>
        <v/>
      </c>
      <c r="I892" s="84"/>
      <c r="J892" s="23"/>
      <c r="K892" s="23"/>
      <c r="L892" s="66" t="str">
        <f t="shared" si="1"/>
        <v/>
      </c>
      <c r="M892" s="77"/>
      <c r="N892" s="78"/>
      <c r="O892" s="66" t="str">
        <f>IF(M892="","",
 IF(M892="عدم پاسخ","بدون پاسخ",
 IF(L892="","اطلاعات ناقص",
 IF(L892&lt;=DATA!$M$1,"رعایت شده","رعایت نشده"))))</f>
        <v/>
      </c>
      <c r="P892" s="79"/>
      <c r="Q892" s="77"/>
      <c r="R892" s="79"/>
      <c r="S892" s="79"/>
      <c r="T892" s="78"/>
      <c r="U892" s="80"/>
      <c r="V892" s="78"/>
      <c r="W892" s="77" t="str">
        <f t="array" ref="W892">IF(D892="","",_xlfn.XLOOKUP(D892,DATA!B:B,DATA!L:L,""))</f>
        <v/>
      </c>
      <c r="X892" s="78" t="str">
        <f t="array" ref="X892">IF(F892="","",_xlfn.XLOOKUP(F892,DATA!B:B,DATA!L:L,""))</f>
        <v/>
      </c>
    </row>
    <row r="893">
      <c r="A893" s="81"/>
      <c r="B893" s="79"/>
      <c r="C893" s="90"/>
      <c r="D893" s="82"/>
      <c r="E893" s="89"/>
      <c r="F893" s="83"/>
      <c r="G893" s="78"/>
      <c r="H893" s="64" t="str">
        <f t="array" ref="H893">_xlfn.XLOOKUP(G893,DATA!D:D,DATA!E:E,"")</f>
        <v/>
      </c>
      <c r="I893" s="84"/>
      <c r="J893" s="23"/>
      <c r="K893" s="23"/>
      <c r="L893" s="66" t="str">
        <f t="shared" si="1"/>
        <v/>
      </c>
      <c r="M893" s="77"/>
      <c r="N893" s="78"/>
      <c r="O893" s="66" t="str">
        <f>IF(M893="","",
 IF(M893="عدم پاسخ","بدون پاسخ",
 IF(L893="","اطلاعات ناقص",
 IF(L893&lt;=DATA!$M$1,"رعایت شده","رعایت نشده"))))</f>
        <v/>
      </c>
      <c r="P893" s="79"/>
      <c r="Q893" s="77"/>
      <c r="R893" s="79"/>
      <c r="S893" s="79"/>
      <c r="T893" s="78"/>
      <c r="U893" s="80"/>
      <c r="V893" s="78"/>
      <c r="W893" s="77" t="str">
        <f t="array" ref="W893">IF(D893="","",_xlfn.XLOOKUP(D893,DATA!B:B,DATA!L:L,""))</f>
        <v/>
      </c>
      <c r="X893" s="78" t="str">
        <f t="array" ref="X893">IF(F893="","",_xlfn.XLOOKUP(F893,DATA!B:B,DATA!L:L,""))</f>
        <v/>
      </c>
    </row>
    <row r="894">
      <c r="A894" s="81"/>
      <c r="B894" s="79"/>
      <c r="C894" s="90"/>
      <c r="D894" s="82"/>
      <c r="E894" s="89"/>
      <c r="F894" s="83"/>
      <c r="G894" s="78"/>
      <c r="H894" s="64" t="str">
        <f t="array" ref="H894">_xlfn.XLOOKUP(G894,DATA!D:D,DATA!E:E,"")</f>
        <v/>
      </c>
      <c r="I894" s="84"/>
      <c r="J894" s="23"/>
      <c r="K894" s="23"/>
      <c r="L894" s="66" t="str">
        <f t="shared" si="1"/>
        <v/>
      </c>
      <c r="M894" s="77"/>
      <c r="N894" s="78"/>
      <c r="O894" s="66" t="str">
        <f>IF(M894="","",
 IF(M894="عدم پاسخ","بدون پاسخ",
 IF(L894="","اطلاعات ناقص",
 IF(L894&lt;=DATA!$M$1,"رعایت شده","رعایت نشده"))))</f>
        <v/>
      </c>
      <c r="P894" s="79"/>
      <c r="Q894" s="77"/>
      <c r="R894" s="79"/>
      <c r="S894" s="79"/>
      <c r="T894" s="78"/>
      <c r="U894" s="80"/>
      <c r="V894" s="78"/>
      <c r="W894" s="77" t="str">
        <f t="array" ref="W894">IF(D894="","",_xlfn.XLOOKUP(D894,DATA!B:B,DATA!L:L,""))</f>
        <v/>
      </c>
      <c r="X894" s="78" t="str">
        <f t="array" ref="X894">IF(F894="","",_xlfn.XLOOKUP(F894,DATA!B:B,DATA!L:L,""))</f>
        <v/>
      </c>
    </row>
    <row r="895">
      <c r="A895" s="81"/>
      <c r="B895" s="79"/>
      <c r="C895" s="90"/>
      <c r="D895" s="82"/>
      <c r="E895" s="89"/>
      <c r="F895" s="83"/>
      <c r="G895" s="78"/>
      <c r="H895" s="64" t="str">
        <f t="array" ref="H895">_xlfn.XLOOKUP(G895,DATA!D:D,DATA!E:E,"")</f>
        <v/>
      </c>
      <c r="I895" s="84"/>
      <c r="J895" s="23"/>
      <c r="K895" s="23"/>
      <c r="L895" s="66" t="str">
        <f t="shared" si="1"/>
        <v/>
      </c>
      <c r="M895" s="77"/>
      <c r="N895" s="78"/>
      <c r="O895" s="66" t="str">
        <f>IF(M895="","",
 IF(M895="عدم پاسخ","بدون پاسخ",
 IF(L895="","اطلاعات ناقص",
 IF(L895&lt;=DATA!$M$1,"رعایت شده","رعایت نشده"))))</f>
        <v/>
      </c>
      <c r="P895" s="79"/>
      <c r="Q895" s="77"/>
      <c r="R895" s="79"/>
      <c r="S895" s="79"/>
      <c r="T895" s="78"/>
      <c r="U895" s="80"/>
      <c r="V895" s="78"/>
      <c r="W895" s="77" t="str">
        <f t="array" ref="W895">IF(D895="","",_xlfn.XLOOKUP(D895,DATA!B:B,DATA!L:L,""))</f>
        <v/>
      </c>
      <c r="X895" s="78" t="str">
        <f t="array" ref="X895">IF(F895="","",_xlfn.XLOOKUP(F895,DATA!B:B,DATA!L:L,""))</f>
        <v/>
      </c>
    </row>
    <row r="896">
      <c r="A896" s="81"/>
      <c r="B896" s="79"/>
      <c r="C896" s="90"/>
      <c r="D896" s="82"/>
      <c r="E896" s="89"/>
      <c r="F896" s="83"/>
      <c r="G896" s="78"/>
      <c r="H896" s="64" t="str">
        <f t="array" ref="H896">_xlfn.XLOOKUP(G896,DATA!D:D,DATA!E:E,"")</f>
        <v/>
      </c>
      <c r="I896" s="84"/>
      <c r="J896" s="23"/>
      <c r="K896" s="23"/>
      <c r="L896" s="66" t="str">
        <f t="shared" si="1"/>
        <v/>
      </c>
      <c r="M896" s="77"/>
      <c r="N896" s="78"/>
      <c r="O896" s="66" t="str">
        <f>IF(M896="","",
 IF(M896="عدم پاسخ","بدون پاسخ",
 IF(L896="","اطلاعات ناقص",
 IF(L896&lt;=DATA!$M$1,"رعایت شده","رعایت نشده"))))</f>
        <v/>
      </c>
      <c r="P896" s="79"/>
      <c r="Q896" s="77"/>
      <c r="R896" s="79"/>
      <c r="S896" s="79"/>
      <c r="T896" s="78"/>
      <c r="U896" s="80"/>
      <c r="V896" s="78"/>
      <c r="W896" s="77" t="str">
        <f t="array" ref="W896">IF(D896="","",_xlfn.XLOOKUP(D896,DATA!B:B,DATA!L:L,""))</f>
        <v/>
      </c>
      <c r="X896" s="78" t="str">
        <f t="array" ref="X896">IF(F896="","",_xlfn.XLOOKUP(F896,DATA!B:B,DATA!L:L,""))</f>
        <v/>
      </c>
    </row>
    <row r="897">
      <c r="A897" s="81"/>
      <c r="B897" s="79"/>
      <c r="C897" s="90"/>
      <c r="D897" s="82"/>
      <c r="E897" s="89"/>
      <c r="F897" s="83"/>
      <c r="G897" s="78"/>
      <c r="H897" s="64" t="str">
        <f t="array" ref="H897">_xlfn.XLOOKUP(G897,DATA!D:D,DATA!E:E,"")</f>
        <v/>
      </c>
      <c r="I897" s="84"/>
      <c r="J897" s="23"/>
      <c r="K897" s="23"/>
      <c r="L897" s="66" t="str">
        <f t="shared" si="1"/>
        <v/>
      </c>
      <c r="M897" s="77"/>
      <c r="N897" s="78"/>
      <c r="O897" s="66" t="str">
        <f>IF(M897="","",
 IF(M897="عدم پاسخ","بدون پاسخ",
 IF(L897="","اطلاعات ناقص",
 IF(L897&lt;=DATA!$M$1,"رعایت شده","رعایت نشده"))))</f>
        <v/>
      </c>
      <c r="P897" s="79"/>
      <c r="Q897" s="77"/>
      <c r="R897" s="79"/>
      <c r="S897" s="79"/>
      <c r="T897" s="78"/>
      <c r="U897" s="80"/>
      <c r="V897" s="78"/>
      <c r="W897" s="77" t="str">
        <f t="array" ref="W897">IF(D897="","",_xlfn.XLOOKUP(D897,DATA!B:B,DATA!L:L,""))</f>
        <v/>
      </c>
      <c r="X897" s="78" t="str">
        <f t="array" ref="X897">IF(F897="","",_xlfn.XLOOKUP(F897,DATA!B:B,DATA!L:L,""))</f>
        <v/>
      </c>
    </row>
    <row r="898">
      <c r="A898" s="81"/>
      <c r="B898" s="79"/>
      <c r="C898" s="90"/>
      <c r="D898" s="82"/>
      <c r="E898" s="89"/>
      <c r="F898" s="83"/>
      <c r="G898" s="78"/>
      <c r="H898" s="64" t="str">
        <f t="array" ref="H898">_xlfn.XLOOKUP(G898,DATA!D:D,DATA!E:E,"")</f>
        <v/>
      </c>
      <c r="I898" s="84"/>
      <c r="J898" s="23"/>
      <c r="K898" s="23"/>
      <c r="L898" s="66" t="str">
        <f t="shared" si="1"/>
        <v/>
      </c>
      <c r="M898" s="77"/>
      <c r="N898" s="78"/>
      <c r="O898" s="66" t="str">
        <f>IF(M898="","",
 IF(M898="عدم پاسخ","بدون پاسخ",
 IF(L898="","اطلاعات ناقص",
 IF(L898&lt;=DATA!$M$1,"رعایت شده","رعایت نشده"))))</f>
        <v/>
      </c>
      <c r="P898" s="79"/>
      <c r="Q898" s="77"/>
      <c r="R898" s="79"/>
      <c r="S898" s="79"/>
      <c r="T898" s="78"/>
      <c r="U898" s="80"/>
      <c r="V898" s="78"/>
      <c r="W898" s="77" t="str">
        <f t="array" ref="W898">IF(D898="","",_xlfn.XLOOKUP(D898,DATA!B:B,DATA!L:L,""))</f>
        <v/>
      </c>
      <c r="X898" s="78" t="str">
        <f t="array" ref="X898">IF(F898="","",_xlfn.XLOOKUP(F898,DATA!B:B,DATA!L:L,""))</f>
        <v/>
      </c>
    </row>
    <row r="899">
      <c r="A899" s="81"/>
      <c r="B899" s="79"/>
      <c r="C899" s="90"/>
      <c r="D899" s="82"/>
      <c r="E899" s="89"/>
      <c r="F899" s="83"/>
      <c r="G899" s="78"/>
      <c r="H899" s="64" t="str">
        <f t="array" ref="H899">_xlfn.XLOOKUP(G899,DATA!D:D,DATA!E:E,"")</f>
        <v/>
      </c>
      <c r="I899" s="84"/>
      <c r="J899" s="23"/>
      <c r="K899" s="23"/>
      <c r="L899" s="66" t="str">
        <f t="shared" si="1"/>
        <v/>
      </c>
      <c r="M899" s="77"/>
      <c r="N899" s="78"/>
      <c r="O899" s="66" t="str">
        <f>IF(M899="","",
 IF(M899="عدم پاسخ","بدون پاسخ",
 IF(L899="","اطلاعات ناقص",
 IF(L899&lt;=DATA!$M$1,"رعایت شده","رعایت نشده"))))</f>
        <v/>
      </c>
      <c r="P899" s="79"/>
      <c r="Q899" s="77"/>
      <c r="R899" s="79"/>
      <c r="S899" s="79"/>
      <c r="T899" s="78"/>
      <c r="U899" s="80"/>
      <c r="V899" s="78"/>
      <c r="W899" s="77" t="str">
        <f t="array" ref="W899">IF(D899="","",_xlfn.XLOOKUP(D899,DATA!B:B,DATA!L:L,""))</f>
        <v/>
      </c>
      <c r="X899" s="78" t="str">
        <f t="array" ref="X899">IF(F899="","",_xlfn.XLOOKUP(F899,DATA!B:B,DATA!L:L,""))</f>
        <v/>
      </c>
    </row>
    <row r="900">
      <c r="A900" s="81"/>
      <c r="B900" s="79"/>
      <c r="C900" s="90"/>
      <c r="D900" s="82"/>
      <c r="E900" s="89"/>
      <c r="F900" s="83"/>
      <c r="G900" s="78"/>
      <c r="H900" s="64" t="str">
        <f t="array" ref="H900">_xlfn.XLOOKUP(G900,DATA!D:D,DATA!E:E,"")</f>
        <v/>
      </c>
      <c r="I900" s="84"/>
      <c r="J900" s="23"/>
      <c r="K900" s="23"/>
      <c r="L900" s="66" t="str">
        <f t="shared" si="1"/>
        <v/>
      </c>
      <c r="M900" s="77"/>
      <c r="N900" s="78"/>
      <c r="O900" s="66" t="str">
        <f>IF(M900="","",
 IF(M900="عدم پاسخ","بدون پاسخ",
 IF(L900="","اطلاعات ناقص",
 IF(L900&lt;=DATA!$M$1,"رعایت شده","رعایت نشده"))))</f>
        <v/>
      </c>
      <c r="P900" s="79"/>
      <c r="Q900" s="77"/>
      <c r="R900" s="79"/>
      <c r="S900" s="79"/>
      <c r="T900" s="78"/>
      <c r="U900" s="80"/>
      <c r="V900" s="78"/>
      <c r="W900" s="77" t="str">
        <f t="array" ref="W900">IF(D900="","",_xlfn.XLOOKUP(D900,DATA!B:B,DATA!L:L,""))</f>
        <v/>
      </c>
      <c r="X900" s="78" t="str">
        <f t="array" ref="X900">IF(F900="","",_xlfn.XLOOKUP(F900,DATA!B:B,DATA!L:L,""))</f>
        <v/>
      </c>
    </row>
    <row r="901">
      <c r="A901" s="81"/>
      <c r="B901" s="79"/>
      <c r="C901" s="90"/>
      <c r="D901" s="82"/>
      <c r="E901" s="89"/>
      <c r="F901" s="83"/>
      <c r="G901" s="78"/>
      <c r="H901" s="64" t="str">
        <f t="array" ref="H901">_xlfn.XLOOKUP(G901,DATA!D:D,DATA!E:E,"")</f>
        <v/>
      </c>
      <c r="I901" s="84"/>
      <c r="J901" s="23"/>
      <c r="K901" s="23"/>
      <c r="L901" s="66" t="str">
        <f t="shared" si="1"/>
        <v/>
      </c>
      <c r="M901" s="77"/>
      <c r="N901" s="78"/>
      <c r="O901" s="66" t="str">
        <f>IF(M901="","",
 IF(M901="عدم پاسخ","بدون پاسخ",
 IF(L901="","اطلاعات ناقص",
 IF(L901&lt;=DATA!$M$1,"رعایت شده","رعایت نشده"))))</f>
        <v/>
      </c>
      <c r="P901" s="79"/>
      <c r="Q901" s="77"/>
      <c r="R901" s="79"/>
      <c r="S901" s="79"/>
      <c r="T901" s="78"/>
      <c r="U901" s="80"/>
      <c r="V901" s="78"/>
      <c r="W901" s="77" t="str">
        <f t="array" ref="W901">IF(D901="","",_xlfn.XLOOKUP(D901,DATA!B:B,DATA!L:L,""))</f>
        <v/>
      </c>
      <c r="X901" s="78" t="str">
        <f t="array" ref="X901">IF(F901="","",_xlfn.XLOOKUP(F901,DATA!B:B,DATA!L:L,""))</f>
        <v/>
      </c>
    </row>
    <row r="902">
      <c r="A902" s="81"/>
      <c r="B902" s="79"/>
      <c r="C902" s="90"/>
      <c r="D902" s="82"/>
      <c r="E902" s="89"/>
      <c r="F902" s="83"/>
      <c r="G902" s="78"/>
      <c r="H902" s="64" t="str">
        <f t="array" ref="H902">_xlfn.XLOOKUP(G902,DATA!D:D,DATA!E:E,"")</f>
        <v/>
      </c>
      <c r="I902" s="84"/>
      <c r="J902" s="23"/>
      <c r="K902" s="23"/>
      <c r="L902" s="66" t="str">
        <f t="shared" si="1"/>
        <v/>
      </c>
      <c r="M902" s="77"/>
      <c r="N902" s="78"/>
      <c r="O902" s="66" t="str">
        <f>IF(M902="","",
 IF(M902="عدم پاسخ","بدون پاسخ",
 IF(L902="","اطلاعات ناقص",
 IF(L902&lt;=DATA!$M$1,"رعایت شده","رعایت نشده"))))</f>
        <v/>
      </c>
      <c r="P902" s="79"/>
      <c r="Q902" s="77"/>
      <c r="R902" s="79"/>
      <c r="S902" s="79"/>
      <c r="T902" s="78"/>
      <c r="U902" s="80"/>
      <c r="V902" s="78"/>
      <c r="W902" s="77" t="str">
        <f t="array" ref="W902">IF(D902="","",_xlfn.XLOOKUP(D902,DATA!B:B,DATA!L:L,""))</f>
        <v/>
      </c>
      <c r="X902" s="78" t="str">
        <f t="array" ref="X902">IF(F902="","",_xlfn.XLOOKUP(F902,DATA!B:B,DATA!L:L,""))</f>
        <v/>
      </c>
    </row>
    <row r="903">
      <c r="A903" s="81"/>
      <c r="B903" s="79"/>
      <c r="C903" s="90"/>
      <c r="D903" s="82"/>
      <c r="E903" s="89"/>
      <c r="F903" s="83"/>
      <c r="G903" s="78"/>
      <c r="H903" s="64" t="str">
        <f t="array" ref="H903">_xlfn.XLOOKUP(G903,DATA!D:D,DATA!E:E,"")</f>
        <v/>
      </c>
      <c r="I903" s="84"/>
      <c r="J903" s="23"/>
      <c r="K903" s="23"/>
      <c r="L903" s="66" t="str">
        <f t="shared" si="1"/>
        <v/>
      </c>
      <c r="M903" s="77"/>
      <c r="N903" s="78"/>
      <c r="O903" s="66" t="str">
        <f>IF(M903="","",
 IF(M903="عدم پاسخ","بدون پاسخ",
 IF(L903="","اطلاعات ناقص",
 IF(L903&lt;=DATA!$M$1,"رعایت شده","رعایت نشده"))))</f>
        <v/>
      </c>
      <c r="P903" s="79"/>
      <c r="Q903" s="77"/>
      <c r="R903" s="79"/>
      <c r="S903" s="79"/>
      <c r="T903" s="78"/>
      <c r="U903" s="80"/>
      <c r="V903" s="78"/>
      <c r="W903" s="77" t="str">
        <f t="array" ref="W903">IF(D903="","",_xlfn.XLOOKUP(D903,DATA!B:B,DATA!L:L,""))</f>
        <v/>
      </c>
      <c r="X903" s="78" t="str">
        <f t="array" ref="X903">IF(F903="","",_xlfn.XLOOKUP(F903,DATA!B:B,DATA!L:L,""))</f>
        <v/>
      </c>
    </row>
    <row r="904">
      <c r="A904" s="81"/>
      <c r="B904" s="79"/>
      <c r="C904" s="90"/>
      <c r="D904" s="82"/>
      <c r="E904" s="89"/>
      <c r="F904" s="83"/>
      <c r="G904" s="78"/>
      <c r="H904" s="64" t="str">
        <f t="array" ref="H904">_xlfn.XLOOKUP(G904,DATA!D:D,DATA!E:E,"")</f>
        <v/>
      </c>
      <c r="I904" s="84"/>
      <c r="J904" s="23"/>
      <c r="K904" s="23"/>
      <c r="L904" s="66" t="str">
        <f t="shared" si="1"/>
        <v/>
      </c>
      <c r="M904" s="77"/>
      <c r="N904" s="78"/>
      <c r="O904" s="66" t="str">
        <f>IF(M904="","",
 IF(M904="عدم پاسخ","بدون پاسخ",
 IF(L904="","اطلاعات ناقص",
 IF(L904&lt;=DATA!$M$1,"رعایت شده","رعایت نشده"))))</f>
        <v/>
      </c>
      <c r="P904" s="79"/>
      <c r="Q904" s="77"/>
      <c r="R904" s="79"/>
      <c r="S904" s="79"/>
      <c r="T904" s="78"/>
      <c r="U904" s="80"/>
      <c r="V904" s="78"/>
      <c r="W904" s="77" t="str">
        <f t="array" ref="W904">IF(D904="","",_xlfn.XLOOKUP(D904,DATA!B:B,DATA!L:L,""))</f>
        <v/>
      </c>
      <c r="X904" s="78" t="str">
        <f t="array" ref="X904">IF(F904="","",_xlfn.XLOOKUP(F904,DATA!B:B,DATA!L:L,""))</f>
        <v/>
      </c>
    </row>
    <row r="905">
      <c r="A905" s="81"/>
      <c r="B905" s="79"/>
      <c r="C905" s="90"/>
      <c r="D905" s="82"/>
      <c r="E905" s="89"/>
      <c r="F905" s="83"/>
      <c r="G905" s="78"/>
      <c r="H905" s="64" t="str">
        <f t="array" ref="H905">_xlfn.XLOOKUP(G905,DATA!D:D,DATA!E:E,"")</f>
        <v/>
      </c>
      <c r="I905" s="84"/>
      <c r="J905" s="23"/>
      <c r="K905" s="23"/>
      <c r="L905" s="66" t="str">
        <f t="shared" si="1"/>
        <v/>
      </c>
      <c r="M905" s="77"/>
      <c r="N905" s="78"/>
      <c r="O905" s="66" t="str">
        <f>IF(M905="","",
 IF(M905="عدم پاسخ","بدون پاسخ",
 IF(L905="","اطلاعات ناقص",
 IF(L905&lt;=DATA!$M$1,"رعایت شده","رعایت نشده"))))</f>
        <v/>
      </c>
      <c r="P905" s="79"/>
      <c r="Q905" s="77"/>
      <c r="R905" s="79"/>
      <c r="S905" s="79"/>
      <c r="T905" s="78"/>
      <c r="U905" s="80"/>
      <c r="V905" s="78"/>
      <c r="W905" s="77" t="str">
        <f t="array" ref="W905">IF(D905="","",_xlfn.XLOOKUP(D905,DATA!B:B,DATA!L:L,""))</f>
        <v/>
      </c>
      <c r="X905" s="78" t="str">
        <f t="array" ref="X905">IF(F905="","",_xlfn.XLOOKUP(F905,DATA!B:B,DATA!L:L,""))</f>
        <v/>
      </c>
    </row>
    <row r="906">
      <c r="A906" s="81"/>
      <c r="B906" s="79"/>
      <c r="C906" s="90"/>
      <c r="D906" s="82"/>
      <c r="E906" s="89"/>
      <c r="F906" s="83"/>
      <c r="G906" s="78"/>
      <c r="H906" s="64" t="str">
        <f t="array" ref="H906">_xlfn.XLOOKUP(G906,DATA!D:D,DATA!E:E,"")</f>
        <v/>
      </c>
      <c r="I906" s="84"/>
      <c r="J906" s="23"/>
      <c r="K906" s="23"/>
      <c r="L906" s="66" t="str">
        <f t="shared" si="1"/>
        <v/>
      </c>
      <c r="M906" s="77"/>
      <c r="N906" s="78"/>
      <c r="O906" s="66" t="str">
        <f>IF(M906="","",
 IF(M906="عدم پاسخ","بدون پاسخ",
 IF(L906="","اطلاعات ناقص",
 IF(L906&lt;=DATA!$M$1,"رعایت شده","رعایت نشده"))))</f>
        <v/>
      </c>
      <c r="P906" s="79"/>
      <c r="Q906" s="77"/>
      <c r="R906" s="79"/>
      <c r="S906" s="79"/>
      <c r="T906" s="78"/>
      <c r="U906" s="80"/>
      <c r="V906" s="78"/>
      <c r="W906" s="77" t="str">
        <f t="array" ref="W906">IF(D906="","",_xlfn.XLOOKUP(D906,DATA!B:B,DATA!L:L,""))</f>
        <v/>
      </c>
      <c r="X906" s="78" t="str">
        <f t="array" ref="X906">IF(F906="","",_xlfn.XLOOKUP(F906,DATA!B:B,DATA!L:L,""))</f>
        <v/>
      </c>
    </row>
    <row r="907">
      <c r="A907" s="81"/>
      <c r="B907" s="79"/>
      <c r="C907" s="90"/>
      <c r="D907" s="82"/>
      <c r="E907" s="89"/>
      <c r="F907" s="83"/>
      <c r="G907" s="78"/>
      <c r="H907" s="64" t="str">
        <f t="array" ref="H907">_xlfn.XLOOKUP(G907,DATA!D:D,DATA!E:E,"")</f>
        <v/>
      </c>
      <c r="I907" s="84"/>
      <c r="J907" s="23"/>
      <c r="K907" s="23"/>
      <c r="L907" s="66" t="str">
        <f t="shared" si="1"/>
        <v/>
      </c>
      <c r="M907" s="77"/>
      <c r="N907" s="78"/>
      <c r="O907" s="66" t="str">
        <f>IF(M907="","",
 IF(M907="عدم پاسخ","بدون پاسخ",
 IF(L907="","اطلاعات ناقص",
 IF(L907&lt;=DATA!$M$1,"رعایت شده","رعایت نشده"))))</f>
        <v/>
      </c>
      <c r="P907" s="79"/>
      <c r="Q907" s="77"/>
      <c r="R907" s="79"/>
      <c r="S907" s="79"/>
      <c r="T907" s="78"/>
      <c r="U907" s="80"/>
      <c r="V907" s="78"/>
      <c r="W907" s="77" t="str">
        <f t="array" ref="W907">IF(D907="","",_xlfn.XLOOKUP(D907,DATA!B:B,DATA!L:L,""))</f>
        <v/>
      </c>
      <c r="X907" s="78" t="str">
        <f t="array" ref="X907">IF(F907="","",_xlfn.XLOOKUP(F907,DATA!B:B,DATA!L:L,""))</f>
        <v/>
      </c>
    </row>
    <row r="908">
      <c r="A908" s="81"/>
      <c r="B908" s="79"/>
      <c r="C908" s="90"/>
      <c r="D908" s="82"/>
      <c r="E908" s="89"/>
      <c r="F908" s="83"/>
      <c r="G908" s="78"/>
      <c r="H908" s="64" t="str">
        <f t="array" ref="H908">_xlfn.XLOOKUP(G908,DATA!D:D,DATA!E:E,"")</f>
        <v/>
      </c>
      <c r="I908" s="84"/>
      <c r="J908" s="23"/>
      <c r="K908" s="23"/>
      <c r="L908" s="66" t="str">
        <f t="shared" si="1"/>
        <v/>
      </c>
      <c r="M908" s="77"/>
      <c r="N908" s="78"/>
      <c r="O908" s="66" t="str">
        <f>IF(M908="","",
 IF(M908="عدم پاسخ","بدون پاسخ",
 IF(L908="","اطلاعات ناقص",
 IF(L908&lt;=DATA!$M$1,"رعایت شده","رعایت نشده"))))</f>
        <v/>
      </c>
      <c r="P908" s="79"/>
      <c r="Q908" s="77"/>
      <c r="R908" s="79"/>
      <c r="S908" s="79"/>
      <c r="T908" s="78"/>
      <c r="U908" s="80"/>
      <c r="V908" s="78"/>
      <c r="W908" s="77" t="str">
        <f t="array" ref="W908">IF(D908="","",_xlfn.XLOOKUP(D908,DATA!B:B,DATA!L:L,""))</f>
        <v/>
      </c>
      <c r="X908" s="78" t="str">
        <f t="array" ref="X908">IF(F908="","",_xlfn.XLOOKUP(F908,DATA!B:B,DATA!L:L,""))</f>
        <v/>
      </c>
    </row>
    <row r="909">
      <c r="A909" s="81"/>
      <c r="B909" s="79"/>
      <c r="C909" s="90"/>
      <c r="D909" s="82"/>
      <c r="E909" s="89"/>
      <c r="F909" s="83"/>
      <c r="G909" s="78"/>
      <c r="H909" s="64" t="str">
        <f t="array" ref="H909">_xlfn.XLOOKUP(G909,DATA!D:D,DATA!E:E,"")</f>
        <v/>
      </c>
      <c r="I909" s="84"/>
      <c r="J909" s="23"/>
      <c r="K909" s="23"/>
      <c r="L909" s="66" t="str">
        <f t="shared" si="1"/>
        <v/>
      </c>
      <c r="M909" s="77"/>
      <c r="N909" s="78"/>
      <c r="O909" s="66" t="str">
        <f>IF(M909="","",
 IF(M909="عدم پاسخ","بدون پاسخ",
 IF(L909="","اطلاعات ناقص",
 IF(L909&lt;=DATA!$M$1,"رعایت شده","رعایت نشده"))))</f>
        <v/>
      </c>
      <c r="P909" s="79"/>
      <c r="Q909" s="77"/>
      <c r="R909" s="79"/>
      <c r="S909" s="79"/>
      <c r="T909" s="78"/>
      <c r="U909" s="80"/>
      <c r="V909" s="78"/>
      <c r="W909" s="77" t="str">
        <f t="array" ref="W909">IF(D909="","",_xlfn.XLOOKUP(D909,DATA!B:B,DATA!L:L,""))</f>
        <v/>
      </c>
      <c r="X909" s="78" t="str">
        <f t="array" ref="X909">IF(F909="","",_xlfn.XLOOKUP(F909,DATA!B:B,DATA!L:L,""))</f>
        <v/>
      </c>
    </row>
    <row r="910">
      <c r="A910" s="81"/>
      <c r="B910" s="79"/>
      <c r="C910" s="90"/>
      <c r="D910" s="82"/>
      <c r="E910" s="89"/>
      <c r="F910" s="83"/>
      <c r="G910" s="78"/>
      <c r="H910" s="64" t="str">
        <f t="array" ref="H910">_xlfn.XLOOKUP(G910,DATA!D:D,DATA!E:E,"")</f>
        <v/>
      </c>
      <c r="I910" s="84"/>
      <c r="J910" s="23"/>
      <c r="K910" s="23"/>
      <c r="L910" s="66" t="str">
        <f t="shared" si="1"/>
        <v/>
      </c>
      <c r="M910" s="77"/>
      <c r="N910" s="78"/>
      <c r="O910" s="66" t="str">
        <f>IF(M910="","",
 IF(M910="عدم پاسخ","بدون پاسخ",
 IF(L910="","اطلاعات ناقص",
 IF(L910&lt;=DATA!$M$1,"رعایت شده","رعایت نشده"))))</f>
        <v/>
      </c>
      <c r="P910" s="79"/>
      <c r="Q910" s="77"/>
      <c r="R910" s="79"/>
      <c r="S910" s="79"/>
      <c r="T910" s="78"/>
      <c r="U910" s="80"/>
      <c r="V910" s="78"/>
      <c r="W910" s="77" t="str">
        <f t="array" ref="W910">IF(D910="","",_xlfn.XLOOKUP(D910,DATA!B:B,DATA!L:L,""))</f>
        <v/>
      </c>
      <c r="X910" s="78" t="str">
        <f t="array" ref="X910">IF(F910="","",_xlfn.XLOOKUP(F910,DATA!B:B,DATA!L:L,""))</f>
        <v/>
      </c>
    </row>
    <row r="911">
      <c r="A911" s="81"/>
      <c r="B911" s="79"/>
      <c r="C911" s="90"/>
      <c r="D911" s="82"/>
      <c r="E911" s="89"/>
      <c r="F911" s="83"/>
      <c r="G911" s="78"/>
      <c r="H911" s="64" t="str">
        <f t="array" ref="H911">_xlfn.XLOOKUP(G911,DATA!D:D,DATA!E:E,"")</f>
        <v/>
      </c>
      <c r="I911" s="84"/>
      <c r="J911" s="23"/>
      <c r="K911" s="23"/>
      <c r="L911" s="66" t="str">
        <f t="shared" si="1"/>
        <v/>
      </c>
      <c r="M911" s="77"/>
      <c r="N911" s="78"/>
      <c r="O911" s="66" t="str">
        <f>IF(M911="","",
 IF(M911="عدم پاسخ","بدون پاسخ",
 IF(L911="","اطلاعات ناقص",
 IF(L911&lt;=DATA!$M$1,"رعایت شده","رعایت نشده"))))</f>
        <v/>
      </c>
      <c r="P911" s="79"/>
      <c r="Q911" s="77"/>
      <c r="R911" s="79"/>
      <c r="S911" s="79"/>
      <c r="T911" s="78"/>
      <c r="U911" s="80"/>
      <c r="V911" s="78"/>
      <c r="W911" s="77" t="str">
        <f t="array" ref="W911">IF(D911="","",_xlfn.XLOOKUP(D911,DATA!B:B,DATA!L:L,""))</f>
        <v/>
      </c>
      <c r="X911" s="78" t="str">
        <f t="array" ref="X911">IF(F911="","",_xlfn.XLOOKUP(F911,DATA!B:B,DATA!L:L,""))</f>
        <v/>
      </c>
    </row>
    <row r="912">
      <c r="A912" s="81"/>
      <c r="B912" s="79"/>
      <c r="C912" s="90"/>
      <c r="D912" s="82"/>
      <c r="E912" s="89"/>
      <c r="F912" s="83"/>
      <c r="G912" s="78"/>
      <c r="H912" s="64" t="str">
        <f t="array" ref="H912">_xlfn.XLOOKUP(G912,DATA!D:D,DATA!E:E,"")</f>
        <v/>
      </c>
      <c r="I912" s="84"/>
      <c r="J912" s="23"/>
      <c r="K912" s="23"/>
      <c r="L912" s="66" t="str">
        <f t="shared" si="1"/>
        <v/>
      </c>
      <c r="M912" s="77"/>
      <c r="N912" s="78"/>
      <c r="O912" s="66" t="str">
        <f>IF(M912="","",
 IF(M912="عدم پاسخ","بدون پاسخ",
 IF(L912="","اطلاعات ناقص",
 IF(L912&lt;=DATA!$M$1,"رعایت شده","رعایت نشده"))))</f>
        <v/>
      </c>
      <c r="P912" s="79"/>
      <c r="Q912" s="77"/>
      <c r="R912" s="79"/>
      <c r="S912" s="79"/>
      <c r="T912" s="78"/>
      <c r="U912" s="80"/>
      <c r="V912" s="78"/>
      <c r="W912" s="77" t="str">
        <f t="array" ref="W912">IF(D912="","",_xlfn.XLOOKUP(D912,DATA!B:B,DATA!L:L,""))</f>
        <v/>
      </c>
      <c r="X912" s="78" t="str">
        <f t="array" ref="X912">IF(F912="","",_xlfn.XLOOKUP(F912,DATA!B:B,DATA!L:L,""))</f>
        <v/>
      </c>
    </row>
    <row r="913">
      <c r="A913" s="81"/>
      <c r="B913" s="79"/>
      <c r="C913" s="90"/>
      <c r="D913" s="82"/>
      <c r="E913" s="89"/>
      <c r="F913" s="83"/>
      <c r="G913" s="78"/>
      <c r="H913" s="64" t="str">
        <f t="array" ref="H913">_xlfn.XLOOKUP(G913,DATA!D:D,DATA!E:E,"")</f>
        <v/>
      </c>
      <c r="I913" s="84"/>
      <c r="J913" s="23"/>
      <c r="K913" s="23"/>
      <c r="L913" s="66" t="str">
        <f t="shared" si="1"/>
        <v/>
      </c>
      <c r="M913" s="77"/>
      <c r="N913" s="78"/>
      <c r="O913" s="66" t="str">
        <f>IF(M913="","",
 IF(M913="عدم پاسخ","بدون پاسخ",
 IF(L913="","اطلاعات ناقص",
 IF(L913&lt;=DATA!$M$1,"رعایت شده","رعایت نشده"))))</f>
        <v/>
      </c>
      <c r="P913" s="79"/>
      <c r="Q913" s="77"/>
      <c r="R913" s="79"/>
      <c r="S913" s="79"/>
      <c r="T913" s="78"/>
      <c r="U913" s="80"/>
      <c r="V913" s="78"/>
      <c r="W913" s="77" t="str">
        <f t="array" ref="W913">IF(D913="","",_xlfn.XLOOKUP(D913,DATA!B:B,DATA!L:L,""))</f>
        <v/>
      </c>
      <c r="X913" s="78" t="str">
        <f t="array" ref="X913">IF(F913="","",_xlfn.XLOOKUP(F913,DATA!B:B,DATA!L:L,""))</f>
        <v/>
      </c>
    </row>
    <row r="914">
      <c r="A914" s="81"/>
      <c r="B914" s="79"/>
      <c r="C914" s="90"/>
      <c r="D914" s="82"/>
      <c r="E914" s="89"/>
      <c r="F914" s="83"/>
      <c r="G914" s="78"/>
      <c r="H914" s="64" t="str">
        <f t="array" ref="H914">_xlfn.XLOOKUP(G914,DATA!D:D,DATA!E:E,"")</f>
        <v/>
      </c>
      <c r="I914" s="84"/>
      <c r="J914" s="23"/>
      <c r="K914" s="23"/>
      <c r="L914" s="66" t="str">
        <f t="shared" si="1"/>
        <v/>
      </c>
      <c r="M914" s="77"/>
      <c r="N914" s="78"/>
      <c r="O914" s="66" t="str">
        <f>IF(M914="","",
 IF(M914="عدم پاسخ","بدون پاسخ",
 IF(L914="","اطلاعات ناقص",
 IF(L914&lt;=DATA!$M$1,"رعایت شده","رعایت نشده"))))</f>
        <v/>
      </c>
      <c r="P914" s="79"/>
      <c r="Q914" s="77"/>
      <c r="R914" s="79"/>
      <c r="S914" s="79"/>
      <c r="T914" s="78"/>
      <c r="U914" s="80"/>
      <c r="V914" s="78"/>
      <c r="W914" s="77" t="str">
        <f t="array" ref="W914">IF(D914="","",_xlfn.XLOOKUP(D914,DATA!B:B,DATA!L:L,""))</f>
        <v/>
      </c>
      <c r="X914" s="78" t="str">
        <f t="array" ref="X914">IF(F914="","",_xlfn.XLOOKUP(F914,DATA!B:B,DATA!L:L,""))</f>
        <v/>
      </c>
    </row>
    <row r="915">
      <c r="A915" s="81"/>
      <c r="B915" s="79"/>
      <c r="C915" s="90"/>
      <c r="D915" s="82"/>
      <c r="E915" s="89"/>
      <c r="F915" s="83"/>
      <c r="G915" s="78"/>
      <c r="H915" s="64" t="str">
        <f t="array" ref="H915">_xlfn.XLOOKUP(G915,DATA!D:D,DATA!E:E,"")</f>
        <v/>
      </c>
      <c r="I915" s="84"/>
      <c r="J915" s="23"/>
      <c r="K915" s="23"/>
      <c r="L915" s="66" t="str">
        <f t="shared" si="1"/>
        <v/>
      </c>
      <c r="M915" s="77"/>
      <c r="N915" s="78"/>
      <c r="O915" s="66" t="str">
        <f>IF(M915="","",
 IF(M915="عدم پاسخ","بدون پاسخ",
 IF(L915="","اطلاعات ناقص",
 IF(L915&lt;=DATA!$M$1,"رعایت شده","رعایت نشده"))))</f>
        <v/>
      </c>
      <c r="P915" s="79"/>
      <c r="Q915" s="77"/>
      <c r="R915" s="79"/>
      <c r="S915" s="79"/>
      <c r="T915" s="78"/>
      <c r="U915" s="80"/>
      <c r="V915" s="78"/>
      <c r="W915" s="77" t="str">
        <f t="array" ref="W915">IF(D915="","",_xlfn.XLOOKUP(D915,DATA!B:B,DATA!L:L,""))</f>
        <v/>
      </c>
      <c r="X915" s="78" t="str">
        <f t="array" ref="X915">IF(F915="","",_xlfn.XLOOKUP(F915,DATA!B:B,DATA!L:L,""))</f>
        <v/>
      </c>
    </row>
    <row r="916">
      <c r="A916" s="81"/>
      <c r="B916" s="79"/>
      <c r="C916" s="90"/>
      <c r="D916" s="82"/>
      <c r="E916" s="89"/>
      <c r="F916" s="83"/>
      <c r="G916" s="78"/>
      <c r="H916" s="64" t="str">
        <f t="array" ref="H916">_xlfn.XLOOKUP(G916,DATA!D:D,DATA!E:E,"")</f>
        <v/>
      </c>
      <c r="I916" s="84"/>
      <c r="J916" s="23"/>
      <c r="K916" s="23"/>
      <c r="L916" s="66" t="str">
        <f t="shared" si="1"/>
        <v/>
      </c>
      <c r="M916" s="77"/>
      <c r="N916" s="78"/>
      <c r="O916" s="66" t="str">
        <f>IF(M916="","",
 IF(M916="عدم پاسخ","بدون پاسخ",
 IF(L916="","اطلاعات ناقص",
 IF(L916&lt;=DATA!$M$1,"رعایت شده","رعایت نشده"))))</f>
        <v/>
      </c>
      <c r="P916" s="79"/>
      <c r="Q916" s="77"/>
      <c r="R916" s="79"/>
      <c r="S916" s="79"/>
      <c r="T916" s="78"/>
      <c r="U916" s="80"/>
      <c r="V916" s="78"/>
      <c r="W916" s="77" t="str">
        <f t="array" ref="W916">IF(D916="","",_xlfn.XLOOKUP(D916,DATA!B:B,DATA!L:L,""))</f>
        <v/>
      </c>
      <c r="X916" s="78" t="str">
        <f t="array" ref="X916">IF(F916="","",_xlfn.XLOOKUP(F916,DATA!B:B,DATA!L:L,""))</f>
        <v/>
      </c>
    </row>
    <row r="917">
      <c r="A917" s="81"/>
      <c r="B917" s="79"/>
      <c r="C917" s="90"/>
      <c r="D917" s="82"/>
      <c r="E917" s="89"/>
      <c r="F917" s="83"/>
      <c r="G917" s="78"/>
      <c r="H917" s="64" t="str">
        <f t="array" ref="H917">_xlfn.XLOOKUP(G917,DATA!D:D,DATA!E:E,"")</f>
        <v/>
      </c>
      <c r="I917" s="84"/>
      <c r="J917" s="23"/>
      <c r="K917" s="23"/>
      <c r="L917" s="66" t="str">
        <f t="shared" si="1"/>
        <v/>
      </c>
      <c r="M917" s="77"/>
      <c r="N917" s="78"/>
      <c r="O917" s="66" t="str">
        <f>IF(M917="","",
 IF(M917="عدم پاسخ","بدون پاسخ",
 IF(L917="","اطلاعات ناقص",
 IF(L917&lt;=DATA!$M$1,"رعایت شده","رعایت نشده"))))</f>
        <v/>
      </c>
      <c r="P917" s="79"/>
      <c r="Q917" s="77"/>
      <c r="R917" s="79"/>
      <c r="S917" s="79"/>
      <c r="T917" s="78"/>
      <c r="U917" s="80"/>
      <c r="V917" s="78"/>
      <c r="W917" s="77" t="str">
        <f t="array" ref="W917">IF(D917="","",_xlfn.XLOOKUP(D917,DATA!B:B,DATA!L:L,""))</f>
        <v/>
      </c>
      <c r="X917" s="78" t="str">
        <f t="array" ref="X917">IF(F917="","",_xlfn.XLOOKUP(F917,DATA!B:B,DATA!L:L,""))</f>
        <v/>
      </c>
    </row>
    <row r="918">
      <c r="A918" s="81"/>
      <c r="B918" s="79"/>
      <c r="C918" s="90"/>
      <c r="D918" s="82"/>
      <c r="E918" s="89"/>
      <c r="F918" s="83"/>
      <c r="G918" s="78"/>
      <c r="H918" s="64" t="str">
        <f t="array" ref="H918">_xlfn.XLOOKUP(G918,DATA!D:D,DATA!E:E,"")</f>
        <v/>
      </c>
      <c r="I918" s="84"/>
      <c r="J918" s="23"/>
      <c r="K918" s="23"/>
      <c r="L918" s="66" t="str">
        <f t="shared" si="1"/>
        <v/>
      </c>
      <c r="M918" s="77"/>
      <c r="N918" s="78"/>
      <c r="O918" s="66" t="str">
        <f>IF(M918="","",
 IF(M918="عدم پاسخ","بدون پاسخ",
 IF(L918="","اطلاعات ناقص",
 IF(L918&lt;=DATA!$M$1,"رعایت شده","رعایت نشده"))))</f>
        <v/>
      </c>
      <c r="P918" s="79"/>
      <c r="Q918" s="77"/>
      <c r="R918" s="79"/>
      <c r="S918" s="79"/>
      <c r="T918" s="78"/>
      <c r="U918" s="80"/>
      <c r="V918" s="78"/>
      <c r="W918" s="77" t="str">
        <f t="array" ref="W918">IF(D918="","",_xlfn.XLOOKUP(D918,DATA!B:B,DATA!L:L,""))</f>
        <v/>
      </c>
      <c r="X918" s="78" t="str">
        <f t="array" ref="X918">IF(F918="","",_xlfn.XLOOKUP(F918,DATA!B:B,DATA!L:L,""))</f>
        <v/>
      </c>
    </row>
    <row r="919">
      <c r="A919" s="81"/>
      <c r="B919" s="79"/>
      <c r="C919" s="90"/>
      <c r="D919" s="82"/>
      <c r="E919" s="89"/>
      <c r="F919" s="83"/>
      <c r="G919" s="78"/>
      <c r="H919" s="64" t="str">
        <f t="array" ref="H919">_xlfn.XLOOKUP(G919,DATA!D:D,DATA!E:E,"")</f>
        <v/>
      </c>
      <c r="I919" s="84"/>
      <c r="J919" s="23"/>
      <c r="K919" s="23"/>
      <c r="L919" s="66" t="str">
        <f t="shared" si="1"/>
        <v/>
      </c>
      <c r="M919" s="77"/>
      <c r="N919" s="78"/>
      <c r="O919" s="66" t="str">
        <f>IF(M919="","",
 IF(M919="عدم پاسخ","بدون پاسخ",
 IF(L919="","اطلاعات ناقص",
 IF(L919&lt;=DATA!$M$1,"رعایت شده","رعایت نشده"))))</f>
        <v/>
      </c>
      <c r="P919" s="79"/>
      <c r="Q919" s="77"/>
      <c r="R919" s="79"/>
      <c r="S919" s="79"/>
      <c r="T919" s="78"/>
      <c r="U919" s="80"/>
      <c r="V919" s="78"/>
      <c r="W919" s="77" t="str">
        <f t="array" ref="W919">IF(D919="","",_xlfn.XLOOKUP(D919,DATA!B:B,DATA!L:L,""))</f>
        <v/>
      </c>
      <c r="X919" s="78" t="str">
        <f t="array" ref="X919">IF(F919="","",_xlfn.XLOOKUP(F919,DATA!B:B,DATA!L:L,""))</f>
        <v/>
      </c>
    </row>
    <row r="920">
      <c r="A920" s="81"/>
      <c r="B920" s="79"/>
      <c r="C920" s="90"/>
      <c r="D920" s="82"/>
      <c r="E920" s="89"/>
      <c r="F920" s="83"/>
      <c r="G920" s="78"/>
      <c r="H920" s="64" t="str">
        <f t="array" ref="H920">_xlfn.XLOOKUP(G920,DATA!D:D,DATA!E:E,"")</f>
        <v/>
      </c>
      <c r="I920" s="84"/>
      <c r="J920" s="23"/>
      <c r="K920" s="23"/>
      <c r="L920" s="66" t="str">
        <f t="shared" si="1"/>
        <v/>
      </c>
      <c r="M920" s="77"/>
      <c r="N920" s="78"/>
      <c r="O920" s="66" t="str">
        <f>IF(M920="","",
 IF(M920="عدم پاسخ","بدون پاسخ",
 IF(L920="","اطلاعات ناقص",
 IF(L920&lt;=DATA!$M$1,"رعایت شده","رعایت نشده"))))</f>
        <v/>
      </c>
      <c r="P920" s="79"/>
      <c r="Q920" s="77"/>
      <c r="R920" s="79"/>
      <c r="S920" s="79"/>
      <c r="T920" s="78"/>
      <c r="U920" s="80"/>
      <c r="V920" s="78"/>
      <c r="W920" s="77" t="str">
        <f t="array" ref="W920">IF(D920="","",_xlfn.XLOOKUP(D920,DATA!B:B,DATA!L:L,""))</f>
        <v/>
      </c>
      <c r="X920" s="78" t="str">
        <f t="array" ref="X920">IF(F920="","",_xlfn.XLOOKUP(F920,DATA!B:B,DATA!L:L,""))</f>
        <v/>
      </c>
    </row>
    <row r="921">
      <c r="A921" s="81"/>
      <c r="B921" s="79"/>
      <c r="C921" s="90"/>
      <c r="D921" s="82"/>
      <c r="E921" s="89"/>
      <c r="F921" s="83"/>
      <c r="G921" s="78"/>
      <c r="H921" s="64" t="str">
        <f t="array" ref="H921">_xlfn.XLOOKUP(G921,DATA!D:D,DATA!E:E,"")</f>
        <v/>
      </c>
      <c r="I921" s="84"/>
      <c r="J921" s="23"/>
      <c r="K921" s="23"/>
      <c r="L921" s="66" t="str">
        <f t="shared" si="1"/>
        <v/>
      </c>
      <c r="M921" s="77"/>
      <c r="N921" s="78"/>
      <c r="O921" s="66" t="str">
        <f>IF(M921="","",
 IF(M921="عدم پاسخ","بدون پاسخ",
 IF(L921="","اطلاعات ناقص",
 IF(L921&lt;=DATA!$M$1,"رعایت شده","رعایت نشده"))))</f>
        <v/>
      </c>
      <c r="P921" s="79"/>
      <c r="Q921" s="77"/>
      <c r="R921" s="79"/>
      <c r="S921" s="79"/>
      <c r="T921" s="78"/>
      <c r="U921" s="80"/>
      <c r="V921" s="78"/>
      <c r="W921" s="77" t="str">
        <f t="array" ref="W921">IF(D921="","",_xlfn.XLOOKUP(D921,DATA!B:B,DATA!L:L,""))</f>
        <v/>
      </c>
      <c r="X921" s="78" t="str">
        <f t="array" ref="X921">IF(F921="","",_xlfn.XLOOKUP(F921,DATA!B:B,DATA!L:L,""))</f>
        <v/>
      </c>
    </row>
    <row r="922">
      <c r="A922" s="81"/>
      <c r="B922" s="79"/>
      <c r="C922" s="90"/>
      <c r="D922" s="82"/>
      <c r="E922" s="89"/>
      <c r="F922" s="83"/>
      <c r="G922" s="78"/>
      <c r="H922" s="64" t="str">
        <f t="array" ref="H922">_xlfn.XLOOKUP(G922,DATA!D:D,DATA!E:E,"")</f>
        <v/>
      </c>
      <c r="I922" s="84"/>
      <c r="J922" s="23"/>
      <c r="K922" s="23"/>
      <c r="L922" s="66" t="str">
        <f t="shared" si="1"/>
        <v/>
      </c>
      <c r="M922" s="77"/>
      <c r="N922" s="78"/>
      <c r="O922" s="66" t="str">
        <f>IF(M922="","",
 IF(M922="عدم پاسخ","بدون پاسخ",
 IF(L922="","اطلاعات ناقص",
 IF(L922&lt;=DATA!$M$1,"رعایت شده","رعایت نشده"))))</f>
        <v/>
      </c>
      <c r="P922" s="79"/>
      <c r="Q922" s="77"/>
      <c r="R922" s="79"/>
      <c r="S922" s="79"/>
      <c r="T922" s="78"/>
      <c r="U922" s="80"/>
      <c r="V922" s="78"/>
      <c r="W922" s="77" t="str">
        <f t="array" ref="W922">IF(D922="","",_xlfn.XLOOKUP(D922,DATA!B:B,DATA!L:L,""))</f>
        <v/>
      </c>
      <c r="X922" s="78" t="str">
        <f t="array" ref="X922">IF(F922="","",_xlfn.XLOOKUP(F922,DATA!B:B,DATA!L:L,""))</f>
        <v/>
      </c>
    </row>
    <row r="923">
      <c r="A923" s="81"/>
      <c r="B923" s="79"/>
      <c r="C923" s="90"/>
      <c r="D923" s="82"/>
      <c r="E923" s="89"/>
      <c r="F923" s="83"/>
      <c r="G923" s="78"/>
      <c r="H923" s="64" t="str">
        <f t="array" ref="H923">_xlfn.XLOOKUP(G923,DATA!D:D,DATA!E:E,"")</f>
        <v/>
      </c>
      <c r="I923" s="84"/>
      <c r="J923" s="23"/>
      <c r="K923" s="23"/>
      <c r="L923" s="66" t="str">
        <f t="shared" si="1"/>
        <v/>
      </c>
      <c r="M923" s="77"/>
      <c r="N923" s="78"/>
      <c r="O923" s="66" t="str">
        <f>IF(M923="","",
 IF(M923="عدم پاسخ","بدون پاسخ",
 IF(L923="","اطلاعات ناقص",
 IF(L923&lt;=DATA!$M$1,"رعایت شده","رعایت نشده"))))</f>
        <v/>
      </c>
      <c r="P923" s="79"/>
      <c r="Q923" s="77"/>
      <c r="R923" s="79"/>
      <c r="S923" s="79"/>
      <c r="T923" s="78"/>
      <c r="U923" s="80"/>
      <c r="V923" s="78"/>
      <c r="W923" s="77" t="str">
        <f t="array" ref="W923">IF(D923="","",_xlfn.XLOOKUP(D923,DATA!B:B,DATA!L:L,""))</f>
        <v/>
      </c>
      <c r="X923" s="78" t="str">
        <f t="array" ref="X923">IF(F923="","",_xlfn.XLOOKUP(F923,DATA!B:B,DATA!L:L,""))</f>
        <v/>
      </c>
    </row>
    <row r="924">
      <c r="A924" s="81"/>
      <c r="B924" s="79"/>
      <c r="C924" s="90"/>
      <c r="D924" s="82"/>
      <c r="E924" s="89"/>
      <c r="F924" s="83"/>
      <c r="G924" s="78"/>
      <c r="H924" s="64" t="str">
        <f t="array" ref="H924">_xlfn.XLOOKUP(G924,DATA!D:D,DATA!E:E,"")</f>
        <v/>
      </c>
      <c r="I924" s="84"/>
      <c r="J924" s="23"/>
      <c r="K924" s="23"/>
      <c r="L924" s="66" t="str">
        <f t="shared" si="1"/>
        <v/>
      </c>
      <c r="M924" s="77"/>
      <c r="N924" s="78"/>
      <c r="O924" s="66" t="str">
        <f>IF(M924="","",
 IF(M924="عدم پاسخ","بدون پاسخ",
 IF(L924="","اطلاعات ناقص",
 IF(L924&lt;=DATA!$M$1,"رعایت شده","رعایت نشده"))))</f>
        <v/>
      </c>
      <c r="P924" s="79"/>
      <c r="Q924" s="77"/>
      <c r="R924" s="79"/>
      <c r="S924" s="79"/>
      <c r="T924" s="78"/>
      <c r="U924" s="80"/>
      <c r="V924" s="78"/>
      <c r="W924" s="77" t="str">
        <f t="array" ref="W924">IF(D924="","",_xlfn.XLOOKUP(D924,DATA!B:B,DATA!L:L,""))</f>
        <v/>
      </c>
      <c r="X924" s="78" t="str">
        <f t="array" ref="X924">IF(F924="","",_xlfn.XLOOKUP(F924,DATA!B:B,DATA!L:L,""))</f>
        <v/>
      </c>
    </row>
    <row r="925">
      <c r="A925" s="81"/>
      <c r="B925" s="79"/>
      <c r="C925" s="90"/>
      <c r="D925" s="82"/>
      <c r="E925" s="89"/>
      <c r="F925" s="83"/>
      <c r="G925" s="78"/>
      <c r="H925" s="64" t="str">
        <f t="array" ref="H925">_xlfn.XLOOKUP(G925,DATA!D:D,DATA!E:E,"")</f>
        <v/>
      </c>
      <c r="I925" s="84"/>
      <c r="J925" s="23"/>
      <c r="K925" s="23"/>
      <c r="L925" s="66" t="str">
        <f t="shared" si="1"/>
        <v/>
      </c>
      <c r="M925" s="77"/>
      <c r="N925" s="78"/>
      <c r="O925" s="66" t="str">
        <f>IF(M925="","",
 IF(M925="عدم پاسخ","بدون پاسخ",
 IF(L925="","اطلاعات ناقص",
 IF(L925&lt;=DATA!$M$1,"رعایت شده","رعایت نشده"))))</f>
        <v/>
      </c>
      <c r="P925" s="79"/>
      <c r="Q925" s="77"/>
      <c r="R925" s="79"/>
      <c r="S925" s="79"/>
      <c r="T925" s="78"/>
      <c r="U925" s="80"/>
      <c r="V925" s="78"/>
      <c r="W925" s="77" t="str">
        <f t="array" ref="W925">IF(D925="","",_xlfn.XLOOKUP(D925,DATA!B:B,DATA!L:L,""))</f>
        <v/>
      </c>
      <c r="X925" s="78" t="str">
        <f t="array" ref="X925">IF(F925="","",_xlfn.XLOOKUP(F925,DATA!B:B,DATA!L:L,""))</f>
        <v/>
      </c>
    </row>
    <row r="926">
      <c r="A926" s="81"/>
      <c r="B926" s="79"/>
      <c r="C926" s="90"/>
      <c r="D926" s="82"/>
      <c r="E926" s="89"/>
      <c r="F926" s="83"/>
      <c r="G926" s="78"/>
      <c r="H926" s="64" t="str">
        <f t="array" ref="H926">_xlfn.XLOOKUP(G926,DATA!D:D,DATA!E:E,"")</f>
        <v/>
      </c>
      <c r="I926" s="84"/>
      <c r="J926" s="23"/>
      <c r="K926" s="23"/>
      <c r="L926" s="66" t="str">
        <f t="shared" si="1"/>
        <v/>
      </c>
      <c r="M926" s="77"/>
      <c r="N926" s="78"/>
      <c r="O926" s="66" t="str">
        <f>IF(M926="","",
 IF(M926="عدم پاسخ","بدون پاسخ",
 IF(L926="","اطلاعات ناقص",
 IF(L926&lt;=DATA!$M$1,"رعایت شده","رعایت نشده"))))</f>
        <v/>
      </c>
      <c r="P926" s="79"/>
      <c r="Q926" s="77"/>
      <c r="R926" s="79"/>
      <c r="S926" s="79"/>
      <c r="T926" s="78"/>
      <c r="U926" s="80"/>
      <c r="V926" s="78"/>
      <c r="W926" s="77" t="str">
        <f t="array" ref="W926">IF(D926="","",_xlfn.XLOOKUP(D926,DATA!B:B,DATA!L:L,""))</f>
        <v/>
      </c>
      <c r="X926" s="78" t="str">
        <f t="array" ref="X926">IF(F926="","",_xlfn.XLOOKUP(F926,DATA!B:B,DATA!L:L,""))</f>
        <v/>
      </c>
    </row>
    <row r="927">
      <c r="A927" s="81"/>
      <c r="B927" s="79"/>
      <c r="C927" s="90"/>
      <c r="D927" s="82"/>
      <c r="E927" s="89"/>
      <c r="F927" s="83"/>
      <c r="G927" s="78"/>
      <c r="H927" s="64" t="str">
        <f t="array" ref="H927">_xlfn.XLOOKUP(G927,DATA!D:D,DATA!E:E,"")</f>
        <v/>
      </c>
      <c r="I927" s="84"/>
      <c r="J927" s="23"/>
      <c r="K927" s="23"/>
      <c r="L927" s="66" t="str">
        <f t="shared" si="1"/>
        <v/>
      </c>
      <c r="M927" s="77"/>
      <c r="N927" s="78"/>
      <c r="O927" s="66" t="str">
        <f>IF(M927="","",
 IF(M927="عدم پاسخ","بدون پاسخ",
 IF(L927="","اطلاعات ناقص",
 IF(L927&lt;=DATA!$M$1,"رعایت شده","رعایت نشده"))))</f>
        <v/>
      </c>
      <c r="P927" s="79"/>
      <c r="Q927" s="77"/>
      <c r="R927" s="79"/>
      <c r="S927" s="79"/>
      <c r="T927" s="78"/>
      <c r="U927" s="80"/>
      <c r="V927" s="78"/>
      <c r="W927" s="77" t="str">
        <f t="array" ref="W927">IF(D927="","",_xlfn.XLOOKUP(D927,DATA!B:B,DATA!L:L,""))</f>
        <v/>
      </c>
      <c r="X927" s="78" t="str">
        <f t="array" ref="X927">IF(F927="","",_xlfn.XLOOKUP(F927,DATA!B:B,DATA!L:L,""))</f>
        <v/>
      </c>
    </row>
    <row r="928">
      <c r="A928" s="81"/>
      <c r="B928" s="79"/>
      <c r="C928" s="90"/>
      <c r="D928" s="82"/>
      <c r="E928" s="89"/>
      <c r="F928" s="83"/>
      <c r="G928" s="78"/>
      <c r="H928" s="64" t="str">
        <f t="array" ref="H928">_xlfn.XLOOKUP(G928,DATA!D:D,DATA!E:E,"")</f>
        <v/>
      </c>
      <c r="I928" s="84"/>
      <c r="J928" s="23"/>
      <c r="K928" s="23"/>
      <c r="L928" s="66" t="str">
        <f t="shared" si="1"/>
        <v/>
      </c>
      <c r="M928" s="77"/>
      <c r="N928" s="78"/>
      <c r="O928" s="66" t="str">
        <f>IF(M928="","",
 IF(M928="عدم پاسخ","بدون پاسخ",
 IF(L928="","اطلاعات ناقص",
 IF(L928&lt;=DATA!$M$1,"رعایت شده","رعایت نشده"))))</f>
        <v/>
      </c>
      <c r="P928" s="79"/>
      <c r="Q928" s="77"/>
      <c r="R928" s="79"/>
      <c r="S928" s="79"/>
      <c r="T928" s="78"/>
      <c r="U928" s="80"/>
      <c r="V928" s="78"/>
      <c r="W928" s="77" t="str">
        <f t="array" ref="W928">IF(D928="","",_xlfn.XLOOKUP(D928,DATA!B:B,DATA!L:L,""))</f>
        <v/>
      </c>
      <c r="X928" s="78" t="str">
        <f t="array" ref="X928">IF(F928="","",_xlfn.XLOOKUP(F928,DATA!B:B,DATA!L:L,""))</f>
        <v/>
      </c>
    </row>
    <row r="929">
      <c r="A929" s="81"/>
      <c r="B929" s="79"/>
      <c r="C929" s="90"/>
      <c r="D929" s="82"/>
      <c r="E929" s="89"/>
      <c r="F929" s="83"/>
      <c r="G929" s="78"/>
      <c r="H929" s="64" t="str">
        <f t="array" ref="H929">_xlfn.XLOOKUP(G929,DATA!D:D,DATA!E:E,"")</f>
        <v/>
      </c>
      <c r="I929" s="84"/>
      <c r="J929" s="23"/>
      <c r="K929" s="23"/>
      <c r="L929" s="66" t="str">
        <f t="shared" si="1"/>
        <v/>
      </c>
      <c r="M929" s="77"/>
      <c r="N929" s="78"/>
      <c r="O929" s="66" t="str">
        <f>IF(M929="","",
 IF(M929="عدم پاسخ","بدون پاسخ",
 IF(L929="","اطلاعات ناقص",
 IF(L929&lt;=DATA!$M$1,"رعایت شده","رعایت نشده"))))</f>
        <v/>
      </c>
      <c r="P929" s="79"/>
      <c r="Q929" s="77"/>
      <c r="R929" s="79"/>
      <c r="S929" s="79"/>
      <c r="T929" s="78"/>
      <c r="U929" s="80"/>
      <c r="V929" s="78"/>
      <c r="W929" s="77" t="str">
        <f t="array" ref="W929">IF(D929="","",_xlfn.XLOOKUP(D929,DATA!B:B,DATA!L:L,""))</f>
        <v/>
      </c>
      <c r="X929" s="78" t="str">
        <f t="array" ref="X929">IF(F929="","",_xlfn.XLOOKUP(F929,DATA!B:B,DATA!L:L,""))</f>
        <v/>
      </c>
    </row>
    <row r="930">
      <c r="A930" s="81"/>
      <c r="B930" s="79"/>
      <c r="C930" s="90"/>
      <c r="D930" s="82"/>
      <c r="E930" s="89"/>
      <c r="F930" s="83"/>
      <c r="G930" s="78"/>
      <c r="H930" s="64" t="str">
        <f t="array" ref="H930">_xlfn.XLOOKUP(G930,DATA!D:D,DATA!E:E,"")</f>
        <v/>
      </c>
      <c r="I930" s="84"/>
      <c r="J930" s="23"/>
      <c r="K930" s="23"/>
      <c r="L930" s="66" t="str">
        <f t="shared" si="1"/>
        <v/>
      </c>
      <c r="M930" s="77"/>
      <c r="N930" s="78"/>
      <c r="O930" s="66" t="str">
        <f>IF(M930="","",
 IF(M930="عدم پاسخ","بدون پاسخ",
 IF(L930="","اطلاعات ناقص",
 IF(L930&lt;=DATA!$M$1,"رعایت شده","رعایت نشده"))))</f>
        <v/>
      </c>
      <c r="P930" s="79"/>
      <c r="Q930" s="77"/>
      <c r="R930" s="79"/>
      <c r="S930" s="79"/>
      <c r="T930" s="78"/>
      <c r="U930" s="80"/>
      <c r="V930" s="78"/>
      <c r="W930" s="77" t="str">
        <f t="array" ref="W930">IF(D930="","",_xlfn.XLOOKUP(D930,DATA!B:B,DATA!L:L,""))</f>
        <v/>
      </c>
      <c r="X930" s="78" t="str">
        <f t="array" ref="X930">IF(F930="","",_xlfn.XLOOKUP(F930,DATA!B:B,DATA!L:L,""))</f>
        <v/>
      </c>
    </row>
    <row r="931">
      <c r="A931" s="81"/>
      <c r="B931" s="79"/>
      <c r="C931" s="90"/>
      <c r="D931" s="82"/>
      <c r="E931" s="89"/>
      <c r="F931" s="83"/>
      <c r="G931" s="78"/>
      <c r="H931" s="64" t="str">
        <f t="array" ref="H931">_xlfn.XLOOKUP(G931,DATA!D:D,DATA!E:E,"")</f>
        <v/>
      </c>
      <c r="I931" s="84"/>
      <c r="J931" s="23"/>
      <c r="K931" s="23"/>
      <c r="L931" s="66" t="str">
        <f t="shared" si="1"/>
        <v/>
      </c>
      <c r="M931" s="77"/>
      <c r="N931" s="78"/>
      <c r="O931" s="66" t="str">
        <f>IF(M931="","",
 IF(M931="عدم پاسخ","بدون پاسخ",
 IF(L931="","اطلاعات ناقص",
 IF(L931&lt;=DATA!$M$1,"رعایت شده","رعایت نشده"))))</f>
        <v/>
      </c>
      <c r="P931" s="79"/>
      <c r="Q931" s="77"/>
      <c r="R931" s="79"/>
      <c r="S931" s="79"/>
      <c r="T931" s="78"/>
      <c r="U931" s="80"/>
      <c r="V931" s="78"/>
      <c r="W931" s="77" t="str">
        <f t="array" ref="W931">IF(D931="","",_xlfn.XLOOKUP(D931,DATA!B:B,DATA!L:L,""))</f>
        <v/>
      </c>
      <c r="X931" s="78" t="str">
        <f t="array" ref="X931">IF(F931="","",_xlfn.XLOOKUP(F931,DATA!B:B,DATA!L:L,""))</f>
        <v/>
      </c>
    </row>
    <row r="932">
      <c r="A932" s="81"/>
      <c r="B932" s="79"/>
      <c r="C932" s="90"/>
      <c r="D932" s="82"/>
      <c r="E932" s="89"/>
      <c r="F932" s="83"/>
      <c r="G932" s="78"/>
      <c r="H932" s="64" t="str">
        <f t="array" ref="H932">_xlfn.XLOOKUP(G932,DATA!D:D,DATA!E:E,"")</f>
        <v/>
      </c>
      <c r="I932" s="84"/>
      <c r="J932" s="23"/>
      <c r="K932" s="23"/>
      <c r="L932" s="66" t="str">
        <f t="shared" si="1"/>
        <v/>
      </c>
      <c r="M932" s="77"/>
      <c r="N932" s="78"/>
      <c r="O932" s="66" t="str">
        <f>IF(M932="","",
 IF(M932="عدم پاسخ","بدون پاسخ",
 IF(L932="","اطلاعات ناقص",
 IF(L932&lt;=DATA!$M$1,"رعایت شده","رعایت نشده"))))</f>
        <v/>
      </c>
      <c r="P932" s="79"/>
      <c r="Q932" s="77"/>
      <c r="R932" s="79"/>
      <c r="S932" s="79"/>
      <c r="T932" s="78"/>
      <c r="U932" s="80"/>
      <c r="V932" s="78"/>
      <c r="W932" s="77" t="str">
        <f t="array" ref="W932">IF(D932="","",_xlfn.XLOOKUP(D932,DATA!B:B,DATA!L:L,""))</f>
        <v/>
      </c>
      <c r="X932" s="78" t="str">
        <f t="array" ref="X932">IF(F932="","",_xlfn.XLOOKUP(F932,DATA!B:B,DATA!L:L,""))</f>
        <v/>
      </c>
    </row>
    <row r="933">
      <c r="A933" s="81"/>
      <c r="B933" s="79"/>
      <c r="C933" s="90"/>
      <c r="D933" s="82"/>
      <c r="E933" s="89"/>
      <c r="F933" s="83"/>
      <c r="G933" s="78"/>
      <c r="H933" s="64" t="str">
        <f t="array" ref="H933">_xlfn.XLOOKUP(G933,DATA!D:D,DATA!E:E,"")</f>
        <v/>
      </c>
      <c r="I933" s="84"/>
      <c r="J933" s="23"/>
      <c r="K933" s="23"/>
      <c r="L933" s="66" t="str">
        <f t="shared" si="1"/>
        <v/>
      </c>
      <c r="M933" s="77"/>
      <c r="N933" s="78"/>
      <c r="O933" s="66" t="str">
        <f>IF(M933="","",
 IF(M933="عدم پاسخ","بدون پاسخ",
 IF(L933="","اطلاعات ناقص",
 IF(L933&lt;=DATA!$M$1,"رعایت شده","رعایت نشده"))))</f>
        <v/>
      </c>
      <c r="P933" s="79"/>
      <c r="Q933" s="77"/>
      <c r="R933" s="79"/>
      <c r="S933" s="79"/>
      <c r="T933" s="78"/>
      <c r="U933" s="80"/>
      <c r="V933" s="78"/>
      <c r="W933" s="77" t="str">
        <f t="array" ref="W933">IF(D933="","",_xlfn.XLOOKUP(D933,DATA!B:B,DATA!L:L,""))</f>
        <v/>
      </c>
      <c r="X933" s="78" t="str">
        <f t="array" ref="X933">IF(F933="","",_xlfn.XLOOKUP(F933,DATA!B:B,DATA!L:L,""))</f>
        <v/>
      </c>
    </row>
    <row r="934">
      <c r="A934" s="81"/>
      <c r="B934" s="79"/>
      <c r="C934" s="90"/>
      <c r="D934" s="82"/>
      <c r="E934" s="89"/>
      <c r="F934" s="83"/>
      <c r="G934" s="78"/>
      <c r="H934" s="64" t="str">
        <f t="array" ref="H934">_xlfn.XLOOKUP(G934,DATA!D:D,DATA!E:E,"")</f>
        <v/>
      </c>
      <c r="I934" s="84"/>
      <c r="J934" s="23"/>
      <c r="K934" s="23"/>
      <c r="L934" s="66" t="str">
        <f t="shared" si="1"/>
        <v/>
      </c>
      <c r="M934" s="77"/>
      <c r="N934" s="78"/>
      <c r="O934" s="66" t="str">
        <f>IF(M934="","",
 IF(M934="عدم پاسخ","بدون پاسخ",
 IF(L934="","اطلاعات ناقص",
 IF(L934&lt;=DATA!$M$1,"رعایت شده","رعایت نشده"))))</f>
        <v/>
      </c>
      <c r="P934" s="79"/>
      <c r="Q934" s="77"/>
      <c r="R934" s="79"/>
      <c r="S934" s="79"/>
      <c r="T934" s="78"/>
      <c r="U934" s="80"/>
      <c r="V934" s="78"/>
      <c r="W934" s="77" t="str">
        <f t="array" ref="W934">IF(D934="","",_xlfn.XLOOKUP(D934,DATA!B:B,DATA!L:L,""))</f>
        <v/>
      </c>
      <c r="X934" s="78" t="str">
        <f t="array" ref="X934">IF(F934="","",_xlfn.XLOOKUP(F934,DATA!B:B,DATA!L:L,""))</f>
        <v/>
      </c>
    </row>
    <row r="935">
      <c r="A935" s="81"/>
      <c r="B935" s="79"/>
      <c r="C935" s="90"/>
      <c r="D935" s="82"/>
      <c r="E935" s="89"/>
      <c r="F935" s="83"/>
      <c r="G935" s="78"/>
      <c r="H935" s="64" t="str">
        <f t="array" ref="H935">_xlfn.XLOOKUP(G935,DATA!D:D,DATA!E:E,"")</f>
        <v/>
      </c>
      <c r="I935" s="84"/>
      <c r="J935" s="23"/>
      <c r="K935" s="23"/>
      <c r="L935" s="66" t="str">
        <f t="shared" si="1"/>
        <v/>
      </c>
      <c r="M935" s="77"/>
      <c r="N935" s="78"/>
      <c r="O935" s="66" t="str">
        <f>IF(M935="","",
 IF(M935="عدم پاسخ","بدون پاسخ",
 IF(L935="","اطلاعات ناقص",
 IF(L935&lt;=DATA!$M$1,"رعایت شده","رعایت نشده"))))</f>
        <v/>
      </c>
      <c r="P935" s="79"/>
      <c r="Q935" s="77"/>
      <c r="R935" s="79"/>
      <c r="S935" s="79"/>
      <c r="T935" s="78"/>
      <c r="U935" s="80"/>
      <c r="V935" s="78"/>
      <c r="W935" s="77" t="str">
        <f t="array" ref="W935">IF(D935="","",_xlfn.XLOOKUP(D935,DATA!B:B,DATA!L:L,""))</f>
        <v/>
      </c>
      <c r="X935" s="78" t="str">
        <f t="array" ref="X935">IF(F935="","",_xlfn.XLOOKUP(F935,DATA!B:B,DATA!L:L,""))</f>
        <v/>
      </c>
    </row>
    <row r="936">
      <c r="A936" s="81"/>
      <c r="B936" s="79"/>
      <c r="C936" s="90"/>
      <c r="D936" s="82"/>
      <c r="E936" s="89"/>
      <c r="F936" s="83"/>
      <c r="G936" s="78"/>
      <c r="H936" s="64" t="str">
        <f t="array" ref="H936">_xlfn.XLOOKUP(G936,DATA!D:D,DATA!E:E,"")</f>
        <v/>
      </c>
      <c r="I936" s="84"/>
      <c r="J936" s="23"/>
      <c r="K936" s="23"/>
      <c r="L936" s="66" t="str">
        <f t="shared" si="1"/>
        <v/>
      </c>
      <c r="M936" s="77"/>
      <c r="N936" s="78"/>
      <c r="O936" s="66" t="str">
        <f>IF(M936="","",
 IF(M936="عدم پاسخ","بدون پاسخ",
 IF(L936="","اطلاعات ناقص",
 IF(L936&lt;=DATA!$M$1,"رعایت شده","رعایت نشده"))))</f>
        <v/>
      </c>
      <c r="P936" s="79"/>
      <c r="Q936" s="77"/>
      <c r="R936" s="79"/>
      <c r="S936" s="79"/>
      <c r="T936" s="78"/>
      <c r="U936" s="80"/>
      <c r="V936" s="78"/>
      <c r="W936" s="77" t="str">
        <f t="array" ref="W936">IF(D936="","",_xlfn.XLOOKUP(D936,DATA!B:B,DATA!L:L,""))</f>
        <v/>
      </c>
      <c r="X936" s="78" t="str">
        <f t="array" ref="X936">IF(F936="","",_xlfn.XLOOKUP(F936,DATA!B:B,DATA!L:L,""))</f>
        <v/>
      </c>
    </row>
    <row r="937">
      <c r="A937" s="81"/>
      <c r="B937" s="79"/>
      <c r="C937" s="90"/>
      <c r="D937" s="82"/>
      <c r="E937" s="89"/>
      <c r="F937" s="83"/>
      <c r="G937" s="78"/>
      <c r="H937" s="64" t="str">
        <f t="array" ref="H937">_xlfn.XLOOKUP(G937,DATA!D:D,DATA!E:E,"")</f>
        <v/>
      </c>
      <c r="I937" s="84"/>
      <c r="J937" s="23"/>
      <c r="K937" s="23"/>
      <c r="L937" s="66" t="str">
        <f t="shared" si="1"/>
        <v/>
      </c>
      <c r="M937" s="77"/>
      <c r="N937" s="78"/>
      <c r="O937" s="66" t="str">
        <f>IF(M937="","",
 IF(M937="عدم پاسخ","بدون پاسخ",
 IF(L937="","اطلاعات ناقص",
 IF(L937&lt;=DATA!$M$1,"رعایت شده","رعایت نشده"))))</f>
        <v/>
      </c>
      <c r="P937" s="79"/>
      <c r="Q937" s="77"/>
      <c r="R937" s="79"/>
      <c r="S937" s="79"/>
      <c r="T937" s="78"/>
      <c r="U937" s="80"/>
      <c r="V937" s="78"/>
      <c r="W937" s="77" t="str">
        <f t="array" ref="W937">IF(D937="","",_xlfn.XLOOKUP(D937,DATA!B:B,DATA!L:L,""))</f>
        <v/>
      </c>
      <c r="X937" s="78" t="str">
        <f t="array" ref="X937">IF(F937="","",_xlfn.XLOOKUP(F937,DATA!B:B,DATA!L:L,""))</f>
        <v/>
      </c>
    </row>
    <row r="938">
      <c r="A938" s="81"/>
      <c r="B938" s="79"/>
      <c r="C938" s="90"/>
      <c r="D938" s="82"/>
      <c r="E938" s="89"/>
      <c r="F938" s="83"/>
      <c r="G938" s="78"/>
      <c r="H938" s="64" t="str">
        <f t="array" ref="H938">_xlfn.XLOOKUP(G938,DATA!D:D,DATA!E:E,"")</f>
        <v/>
      </c>
      <c r="I938" s="84"/>
      <c r="J938" s="23"/>
      <c r="K938" s="23"/>
      <c r="L938" s="66" t="str">
        <f t="shared" si="1"/>
        <v/>
      </c>
      <c r="M938" s="77"/>
      <c r="N938" s="78"/>
      <c r="O938" s="66" t="str">
        <f>IF(M938="","",
 IF(M938="عدم پاسخ","بدون پاسخ",
 IF(L938="","اطلاعات ناقص",
 IF(L938&lt;=DATA!$M$1,"رعایت شده","رعایت نشده"))))</f>
        <v/>
      </c>
      <c r="P938" s="79"/>
      <c r="Q938" s="77"/>
      <c r="R938" s="79"/>
      <c r="S938" s="79"/>
      <c r="T938" s="78"/>
      <c r="U938" s="80"/>
      <c r="V938" s="78"/>
      <c r="W938" s="77" t="str">
        <f t="array" ref="W938">IF(D938="","",_xlfn.XLOOKUP(D938,DATA!B:B,DATA!L:L,""))</f>
        <v/>
      </c>
      <c r="X938" s="78" t="str">
        <f t="array" ref="X938">IF(F938="","",_xlfn.XLOOKUP(F938,DATA!B:B,DATA!L:L,""))</f>
        <v/>
      </c>
    </row>
    <row r="939">
      <c r="A939" s="81"/>
      <c r="B939" s="79"/>
      <c r="C939" s="90"/>
      <c r="D939" s="82"/>
      <c r="E939" s="89"/>
      <c r="F939" s="83"/>
      <c r="G939" s="78"/>
      <c r="H939" s="64" t="str">
        <f t="array" ref="H939">_xlfn.XLOOKUP(G939,DATA!D:D,DATA!E:E,"")</f>
        <v/>
      </c>
      <c r="I939" s="84"/>
      <c r="J939" s="23"/>
      <c r="K939" s="23"/>
      <c r="L939" s="66" t="str">
        <f t="shared" si="1"/>
        <v/>
      </c>
      <c r="M939" s="77"/>
      <c r="N939" s="78"/>
      <c r="O939" s="66" t="str">
        <f>IF(M939="","",
 IF(M939="عدم پاسخ","بدون پاسخ",
 IF(L939="","اطلاعات ناقص",
 IF(L939&lt;=DATA!$M$1,"رعایت شده","رعایت نشده"))))</f>
        <v/>
      </c>
      <c r="P939" s="79"/>
      <c r="Q939" s="77"/>
      <c r="R939" s="79"/>
      <c r="S939" s="79"/>
      <c r="T939" s="78"/>
      <c r="U939" s="80"/>
      <c r="V939" s="78"/>
      <c r="W939" s="77" t="str">
        <f t="array" ref="W939">IF(D939="","",_xlfn.XLOOKUP(D939,DATA!B:B,DATA!L:L,""))</f>
        <v/>
      </c>
      <c r="X939" s="78" t="str">
        <f t="array" ref="X939">IF(F939="","",_xlfn.XLOOKUP(F939,DATA!B:B,DATA!L:L,""))</f>
        <v/>
      </c>
    </row>
    <row r="940">
      <c r="A940" s="81"/>
      <c r="B940" s="79"/>
      <c r="C940" s="90"/>
      <c r="D940" s="82"/>
      <c r="E940" s="89"/>
      <c r="F940" s="83"/>
      <c r="G940" s="78"/>
      <c r="H940" s="64" t="str">
        <f t="array" ref="H940">_xlfn.XLOOKUP(G940,DATA!D:D,DATA!E:E,"")</f>
        <v/>
      </c>
      <c r="I940" s="84"/>
      <c r="J940" s="23"/>
      <c r="K940" s="23"/>
      <c r="L940" s="66" t="str">
        <f t="shared" si="1"/>
        <v/>
      </c>
      <c r="M940" s="77"/>
      <c r="N940" s="78"/>
      <c r="O940" s="66" t="str">
        <f>IF(M940="","",
 IF(M940="عدم پاسخ","بدون پاسخ",
 IF(L940="","اطلاعات ناقص",
 IF(L940&lt;=DATA!$M$1,"رعایت شده","رعایت نشده"))))</f>
        <v/>
      </c>
      <c r="P940" s="79"/>
      <c r="Q940" s="77"/>
      <c r="R940" s="79"/>
      <c r="S940" s="79"/>
      <c r="T940" s="78"/>
      <c r="U940" s="80"/>
      <c r="V940" s="78"/>
      <c r="W940" s="77" t="str">
        <f t="array" ref="W940">IF(D940="","",_xlfn.XLOOKUP(D940,DATA!B:B,DATA!L:L,""))</f>
        <v/>
      </c>
      <c r="X940" s="78" t="str">
        <f t="array" ref="X940">IF(F940="","",_xlfn.XLOOKUP(F940,DATA!B:B,DATA!L:L,""))</f>
        <v/>
      </c>
    </row>
    <row r="941">
      <c r="A941" s="81"/>
      <c r="B941" s="79"/>
      <c r="C941" s="90"/>
      <c r="D941" s="82"/>
      <c r="E941" s="89"/>
      <c r="F941" s="83"/>
      <c r="G941" s="78"/>
      <c r="H941" s="64" t="str">
        <f t="array" ref="H941">_xlfn.XLOOKUP(G941,DATA!D:D,DATA!E:E,"")</f>
        <v/>
      </c>
      <c r="I941" s="84"/>
      <c r="J941" s="23"/>
      <c r="K941" s="23"/>
      <c r="L941" s="66" t="str">
        <f t="shared" si="1"/>
        <v/>
      </c>
      <c r="M941" s="77"/>
      <c r="N941" s="78"/>
      <c r="O941" s="66" t="str">
        <f>IF(M941="","",
 IF(M941="عدم پاسخ","بدون پاسخ",
 IF(L941="","اطلاعات ناقص",
 IF(L941&lt;=DATA!$M$1,"رعایت شده","رعایت نشده"))))</f>
        <v/>
      </c>
      <c r="P941" s="79"/>
      <c r="Q941" s="77"/>
      <c r="R941" s="79"/>
      <c r="S941" s="79"/>
      <c r="T941" s="78"/>
      <c r="U941" s="80"/>
      <c r="V941" s="78"/>
      <c r="W941" s="77" t="str">
        <f t="array" ref="W941">IF(D941="","",_xlfn.XLOOKUP(D941,DATA!B:B,DATA!L:L,""))</f>
        <v/>
      </c>
      <c r="X941" s="78" t="str">
        <f t="array" ref="X941">IF(F941="","",_xlfn.XLOOKUP(F941,DATA!B:B,DATA!L:L,""))</f>
        <v/>
      </c>
    </row>
    <row r="942">
      <c r="A942" s="81"/>
      <c r="B942" s="79"/>
      <c r="C942" s="90"/>
      <c r="D942" s="82"/>
      <c r="E942" s="89"/>
      <c r="F942" s="83"/>
      <c r="G942" s="78"/>
      <c r="H942" s="64" t="str">
        <f t="array" ref="H942">_xlfn.XLOOKUP(G942,DATA!D:D,DATA!E:E,"")</f>
        <v/>
      </c>
      <c r="I942" s="84"/>
      <c r="J942" s="23"/>
      <c r="K942" s="23"/>
      <c r="L942" s="66" t="str">
        <f t="shared" si="1"/>
        <v/>
      </c>
      <c r="M942" s="77"/>
      <c r="N942" s="78"/>
      <c r="O942" s="66" t="str">
        <f>IF(M942="","",
 IF(M942="عدم پاسخ","بدون پاسخ",
 IF(L942="","اطلاعات ناقص",
 IF(L942&lt;=DATA!$M$1,"رعایت شده","رعایت نشده"))))</f>
        <v/>
      </c>
      <c r="P942" s="79"/>
      <c r="Q942" s="77"/>
      <c r="R942" s="79"/>
      <c r="S942" s="79"/>
      <c r="T942" s="78"/>
      <c r="U942" s="80"/>
      <c r="V942" s="78"/>
      <c r="W942" s="77" t="str">
        <f t="array" ref="W942">IF(D942="","",_xlfn.XLOOKUP(D942,DATA!B:B,DATA!L:L,""))</f>
        <v/>
      </c>
      <c r="X942" s="78" t="str">
        <f t="array" ref="X942">IF(F942="","",_xlfn.XLOOKUP(F942,DATA!B:B,DATA!L:L,""))</f>
        <v/>
      </c>
    </row>
    <row r="943">
      <c r="A943" s="81"/>
      <c r="B943" s="79"/>
      <c r="C943" s="90"/>
      <c r="D943" s="82"/>
      <c r="E943" s="89"/>
      <c r="F943" s="83"/>
      <c r="G943" s="78"/>
      <c r="H943" s="64" t="str">
        <f t="array" ref="H943">_xlfn.XLOOKUP(G943,DATA!D:D,DATA!E:E,"")</f>
        <v/>
      </c>
      <c r="I943" s="84"/>
      <c r="J943" s="23"/>
      <c r="K943" s="23"/>
      <c r="L943" s="66" t="str">
        <f t="shared" si="1"/>
        <v/>
      </c>
      <c r="M943" s="77"/>
      <c r="N943" s="78"/>
      <c r="O943" s="66" t="str">
        <f>IF(M943="","",
 IF(M943="عدم پاسخ","بدون پاسخ",
 IF(L943="","اطلاعات ناقص",
 IF(L943&lt;=DATA!$M$1,"رعایت شده","رعایت نشده"))))</f>
        <v/>
      </c>
      <c r="P943" s="79"/>
      <c r="Q943" s="77"/>
      <c r="R943" s="79"/>
      <c r="S943" s="79"/>
      <c r="T943" s="78"/>
      <c r="U943" s="80"/>
      <c r="V943" s="78"/>
      <c r="W943" s="77" t="str">
        <f t="array" ref="W943">IF(D943="","",_xlfn.XLOOKUP(D943,DATA!B:B,DATA!L:L,""))</f>
        <v/>
      </c>
      <c r="X943" s="78" t="str">
        <f t="array" ref="X943">IF(F943="","",_xlfn.XLOOKUP(F943,DATA!B:B,DATA!L:L,""))</f>
        <v/>
      </c>
    </row>
    <row r="944">
      <c r="A944" s="81"/>
      <c r="B944" s="79"/>
      <c r="C944" s="90"/>
      <c r="D944" s="82"/>
      <c r="E944" s="89"/>
      <c r="F944" s="83"/>
      <c r="G944" s="78"/>
      <c r="H944" s="64" t="str">
        <f t="array" ref="H944">_xlfn.XLOOKUP(G944,DATA!D:D,DATA!E:E,"")</f>
        <v/>
      </c>
      <c r="I944" s="84"/>
      <c r="J944" s="23"/>
      <c r="K944" s="23"/>
      <c r="L944" s="66" t="str">
        <f t="shared" si="1"/>
        <v/>
      </c>
      <c r="M944" s="77"/>
      <c r="N944" s="78"/>
      <c r="O944" s="66" t="str">
        <f>IF(M944="","",
 IF(M944="عدم پاسخ","بدون پاسخ",
 IF(L944="","اطلاعات ناقص",
 IF(L944&lt;=DATA!$M$1,"رعایت شده","رعایت نشده"))))</f>
        <v/>
      </c>
      <c r="P944" s="79"/>
      <c r="Q944" s="77"/>
      <c r="R944" s="79"/>
      <c r="S944" s="79"/>
      <c r="T944" s="78"/>
      <c r="U944" s="80"/>
      <c r="V944" s="78"/>
      <c r="W944" s="77" t="str">
        <f t="array" ref="W944">IF(D944="","",_xlfn.XLOOKUP(D944,DATA!B:B,DATA!L:L,""))</f>
        <v/>
      </c>
      <c r="X944" s="78" t="str">
        <f t="array" ref="X944">IF(F944="","",_xlfn.XLOOKUP(F944,DATA!B:B,DATA!L:L,""))</f>
        <v/>
      </c>
    </row>
    <row r="945">
      <c r="A945" s="81"/>
      <c r="B945" s="79"/>
      <c r="C945" s="90"/>
      <c r="D945" s="82"/>
      <c r="E945" s="89"/>
      <c r="F945" s="83"/>
      <c r="G945" s="78"/>
      <c r="H945" s="64" t="str">
        <f t="array" ref="H945">_xlfn.XLOOKUP(G945,DATA!D:D,DATA!E:E,"")</f>
        <v/>
      </c>
      <c r="I945" s="84"/>
      <c r="J945" s="23"/>
      <c r="K945" s="23"/>
      <c r="L945" s="66" t="str">
        <f t="shared" si="1"/>
        <v/>
      </c>
      <c r="M945" s="77"/>
      <c r="N945" s="78"/>
      <c r="O945" s="66" t="str">
        <f>IF(M945="","",
 IF(M945="عدم پاسخ","بدون پاسخ",
 IF(L945="","اطلاعات ناقص",
 IF(L945&lt;=DATA!$M$1,"رعایت شده","رعایت نشده"))))</f>
        <v/>
      </c>
      <c r="P945" s="79"/>
      <c r="Q945" s="77"/>
      <c r="R945" s="79"/>
      <c r="S945" s="79"/>
      <c r="T945" s="78"/>
      <c r="U945" s="80"/>
      <c r="V945" s="78"/>
      <c r="W945" s="77" t="str">
        <f t="array" ref="W945">IF(D945="","",_xlfn.XLOOKUP(D945,DATA!B:B,DATA!L:L,""))</f>
        <v/>
      </c>
      <c r="X945" s="78" t="str">
        <f t="array" ref="X945">IF(F945="","",_xlfn.XLOOKUP(F945,DATA!B:B,DATA!L:L,""))</f>
        <v/>
      </c>
    </row>
    <row r="946">
      <c r="A946" s="81"/>
      <c r="B946" s="79"/>
      <c r="C946" s="90"/>
      <c r="D946" s="82"/>
      <c r="E946" s="89"/>
      <c r="F946" s="83"/>
      <c r="G946" s="78"/>
      <c r="H946" s="64" t="str">
        <f t="array" ref="H946">_xlfn.XLOOKUP(G946,DATA!D:D,DATA!E:E,"")</f>
        <v/>
      </c>
      <c r="I946" s="84"/>
      <c r="J946" s="23"/>
      <c r="K946" s="23"/>
      <c r="L946" s="66" t="str">
        <f t="shared" si="1"/>
        <v/>
      </c>
      <c r="M946" s="77"/>
      <c r="N946" s="78"/>
      <c r="O946" s="66" t="str">
        <f>IF(M946="","",
 IF(M946="عدم پاسخ","بدون پاسخ",
 IF(L946="","اطلاعات ناقص",
 IF(L946&lt;=DATA!$M$1,"رعایت شده","رعایت نشده"))))</f>
        <v/>
      </c>
      <c r="P946" s="79"/>
      <c r="Q946" s="77"/>
      <c r="R946" s="79"/>
      <c r="S946" s="79"/>
      <c r="T946" s="78"/>
      <c r="U946" s="80"/>
      <c r="V946" s="78"/>
      <c r="W946" s="77" t="str">
        <f t="array" ref="W946">IF(D946="","",_xlfn.XLOOKUP(D946,DATA!B:B,DATA!L:L,""))</f>
        <v/>
      </c>
      <c r="X946" s="78" t="str">
        <f t="array" ref="X946">IF(F946="","",_xlfn.XLOOKUP(F946,DATA!B:B,DATA!L:L,""))</f>
        <v/>
      </c>
    </row>
    <row r="947">
      <c r="A947" s="81"/>
      <c r="B947" s="79"/>
      <c r="C947" s="90"/>
      <c r="D947" s="82"/>
      <c r="E947" s="89"/>
      <c r="F947" s="83"/>
      <c r="G947" s="78"/>
      <c r="H947" s="64" t="str">
        <f t="array" ref="H947">_xlfn.XLOOKUP(G947,DATA!D:D,DATA!E:E,"")</f>
        <v/>
      </c>
      <c r="I947" s="84"/>
      <c r="J947" s="23"/>
      <c r="K947" s="23"/>
      <c r="L947" s="66" t="str">
        <f t="shared" si="1"/>
        <v/>
      </c>
      <c r="M947" s="77"/>
      <c r="N947" s="78"/>
      <c r="O947" s="66" t="str">
        <f>IF(M947="","",
 IF(M947="عدم پاسخ","بدون پاسخ",
 IF(L947="","اطلاعات ناقص",
 IF(L947&lt;=DATA!$M$1,"رعایت شده","رعایت نشده"))))</f>
        <v/>
      </c>
      <c r="P947" s="79"/>
      <c r="Q947" s="77"/>
      <c r="R947" s="79"/>
      <c r="S947" s="79"/>
      <c r="T947" s="78"/>
      <c r="U947" s="80"/>
      <c r="V947" s="78"/>
      <c r="W947" s="77" t="str">
        <f t="array" ref="W947">IF(D947="","",_xlfn.XLOOKUP(D947,DATA!B:B,DATA!L:L,""))</f>
        <v/>
      </c>
      <c r="X947" s="78" t="str">
        <f t="array" ref="X947">IF(F947="","",_xlfn.XLOOKUP(F947,DATA!B:B,DATA!L:L,""))</f>
        <v/>
      </c>
    </row>
    <row r="948">
      <c r="A948" s="81"/>
      <c r="B948" s="79"/>
      <c r="C948" s="90"/>
      <c r="D948" s="82"/>
      <c r="E948" s="89"/>
      <c r="F948" s="83"/>
      <c r="G948" s="78"/>
      <c r="H948" s="64" t="str">
        <f t="array" ref="H948">_xlfn.XLOOKUP(G948,DATA!D:D,DATA!E:E,"")</f>
        <v/>
      </c>
      <c r="I948" s="84"/>
      <c r="J948" s="23"/>
      <c r="K948" s="23"/>
      <c r="L948" s="66" t="str">
        <f t="shared" si="1"/>
        <v/>
      </c>
      <c r="M948" s="77"/>
      <c r="N948" s="78"/>
      <c r="O948" s="66" t="str">
        <f>IF(M948="","",
 IF(M948="عدم پاسخ","بدون پاسخ",
 IF(L948="","اطلاعات ناقص",
 IF(L948&lt;=DATA!$M$1,"رعایت شده","رعایت نشده"))))</f>
        <v/>
      </c>
      <c r="P948" s="79"/>
      <c r="Q948" s="77"/>
      <c r="R948" s="79"/>
      <c r="S948" s="79"/>
      <c r="T948" s="78"/>
      <c r="U948" s="80"/>
      <c r="V948" s="78"/>
      <c r="W948" s="77" t="str">
        <f t="array" ref="W948">IF(D948="","",_xlfn.XLOOKUP(D948,DATA!B:B,DATA!L:L,""))</f>
        <v/>
      </c>
      <c r="X948" s="78" t="str">
        <f t="array" ref="X948">IF(F948="","",_xlfn.XLOOKUP(F948,DATA!B:B,DATA!L:L,""))</f>
        <v/>
      </c>
    </row>
    <row r="949">
      <c r="A949" s="81"/>
      <c r="B949" s="79"/>
      <c r="C949" s="90"/>
      <c r="D949" s="82"/>
      <c r="E949" s="89"/>
      <c r="F949" s="83"/>
      <c r="G949" s="78"/>
      <c r="H949" s="64" t="str">
        <f t="array" ref="H949">_xlfn.XLOOKUP(G949,DATA!D:D,DATA!E:E,"")</f>
        <v/>
      </c>
      <c r="I949" s="84"/>
      <c r="J949" s="23"/>
      <c r="K949" s="23"/>
      <c r="L949" s="66" t="str">
        <f t="shared" si="1"/>
        <v/>
      </c>
      <c r="M949" s="77"/>
      <c r="N949" s="78"/>
      <c r="O949" s="66" t="str">
        <f>IF(M949="","",
 IF(M949="عدم پاسخ","بدون پاسخ",
 IF(L949="","اطلاعات ناقص",
 IF(L949&lt;=DATA!$M$1,"رعایت شده","رعایت نشده"))))</f>
        <v/>
      </c>
      <c r="P949" s="79"/>
      <c r="Q949" s="77"/>
      <c r="R949" s="79"/>
      <c r="S949" s="79"/>
      <c r="T949" s="78"/>
      <c r="U949" s="80"/>
      <c r="V949" s="78"/>
      <c r="W949" s="77" t="str">
        <f t="array" ref="W949">IF(D949="","",_xlfn.XLOOKUP(D949,DATA!B:B,DATA!L:L,""))</f>
        <v/>
      </c>
      <c r="X949" s="78" t="str">
        <f t="array" ref="X949">IF(F949="","",_xlfn.XLOOKUP(F949,DATA!B:B,DATA!L:L,""))</f>
        <v/>
      </c>
    </row>
    <row r="950">
      <c r="A950" s="81"/>
      <c r="B950" s="79"/>
      <c r="C950" s="90"/>
      <c r="D950" s="82"/>
      <c r="E950" s="89"/>
      <c r="F950" s="83"/>
      <c r="G950" s="78"/>
      <c r="H950" s="64" t="str">
        <f t="array" ref="H950">_xlfn.XLOOKUP(G950,DATA!D:D,DATA!E:E,"")</f>
        <v/>
      </c>
      <c r="I950" s="84"/>
      <c r="J950" s="23"/>
      <c r="K950" s="23"/>
      <c r="L950" s="66" t="str">
        <f t="shared" si="1"/>
        <v/>
      </c>
      <c r="M950" s="77"/>
      <c r="N950" s="78"/>
      <c r="O950" s="66" t="str">
        <f>IF(M950="","",
 IF(M950="عدم پاسخ","بدون پاسخ",
 IF(L950="","اطلاعات ناقص",
 IF(L950&lt;=DATA!$M$1,"رعایت شده","رعایت نشده"))))</f>
        <v/>
      </c>
      <c r="P950" s="79"/>
      <c r="Q950" s="77"/>
      <c r="R950" s="79"/>
      <c r="S950" s="79"/>
      <c r="T950" s="78"/>
      <c r="U950" s="80"/>
      <c r="V950" s="78"/>
      <c r="W950" s="77" t="str">
        <f t="array" ref="W950">IF(D950="","",_xlfn.XLOOKUP(D950,DATA!B:B,DATA!L:L,""))</f>
        <v/>
      </c>
      <c r="X950" s="78" t="str">
        <f t="array" ref="X950">IF(F950="","",_xlfn.XLOOKUP(F950,DATA!B:B,DATA!L:L,""))</f>
        <v/>
      </c>
    </row>
    <row r="951">
      <c r="A951" s="81"/>
      <c r="B951" s="79"/>
      <c r="C951" s="90"/>
      <c r="D951" s="82"/>
      <c r="E951" s="89"/>
      <c r="F951" s="83"/>
      <c r="G951" s="78"/>
      <c r="H951" s="64" t="str">
        <f t="array" ref="H951">_xlfn.XLOOKUP(G951,DATA!D:D,DATA!E:E,"")</f>
        <v/>
      </c>
      <c r="I951" s="84"/>
      <c r="J951" s="23"/>
      <c r="K951" s="23"/>
      <c r="L951" s="66" t="str">
        <f t="shared" si="1"/>
        <v/>
      </c>
      <c r="M951" s="77"/>
      <c r="N951" s="78"/>
      <c r="O951" s="66" t="str">
        <f>IF(M951="","",
 IF(M951="عدم پاسخ","بدون پاسخ",
 IF(L951="","اطلاعات ناقص",
 IF(L951&lt;=DATA!$M$1,"رعایت شده","رعایت نشده"))))</f>
        <v/>
      </c>
      <c r="P951" s="79"/>
      <c r="Q951" s="77"/>
      <c r="R951" s="79"/>
      <c r="S951" s="79"/>
      <c r="T951" s="78"/>
      <c r="U951" s="80"/>
      <c r="V951" s="78"/>
      <c r="W951" s="77" t="str">
        <f t="array" ref="W951">IF(D951="","",_xlfn.XLOOKUP(D951,DATA!B:B,DATA!L:L,""))</f>
        <v/>
      </c>
      <c r="X951" s="78" t="str">
        <f t="array" ref="X951">IF(F951="","",_xlfn.XLOOKUP(F951,DATA!B:B,DATA!L:L,""))</f>
        <v/>
      </c>
    </row>
    <row r="952">
      <c r="A952" s="81"/>
      <c r="B952" s="79"/>
      <c r="C952" s="90"/>
      <c r="D952" s="82"/>
      <c r="E952" s="89"/>
      <c r="F952" s="83"/>
      <c r="G952" s="78"/>
      <c r="H952" s="64" t="str">
        <f t="array" ref="H952">_xlfn.XLOOKUP(G952,DATA!D:D,DATA!E:E,"")</f>
        <v/>
      </c>
      <c r="I952" s="84"/>
      <c r="J952" s="23"/>
      <c r="K952" s="23"/>
      <c r="L952" s="66" t="str">
        <f t="shared" si="1"/>
        <v/>
      </c>
      <c r="M952" s="77"/>
      <c r="N952" s="78"/>
      <c r="O952" s="66" t="str">
        <f>IF(M952="","",
 IF(M952="عدم پاسخ","بدون پاسخ",
 IF(L952="","اطلاعات ناقص",
 IF(L952&lt;=DATA!$M$1,"رعایت شده","رعایت نشده"))))</f>
        <v/>
      </c>
      <c r="P952" s="79"/>
      <c r="Q952" s="77"/>
      <c r="R952" s="79"/>
      <c r="S952" s="79"/>
      <c r="T952" s="78"/>
      <c r="U952" s="80"/>
      <c r="V952" s="78"/>
      <c r="W952" s="77" t="str">
        <f t="array" ref="W952">IF(D952="","",_xlfn.XLOOKUP(D952,DATA!B:B,DATA!L:L,""))</f>
        <v/>
      </c>
      <c r="X952" s="78" t="str">
        <f t="array" ref="X952">IF(F952="","",_xlfn.XLOOKUP(F952,DATA!B:B,DATA!L:L,""))</f>
        <v/>
      </c>
    </row>
    <row r="953">
      <c r="A953" s="81"/>
      <c r="B953" s="79"/>
      <c r="C953" s="90"/>
      <c r="D953" s="82"/>
      <c r="E953" s="89"/>
      <c r="F953" s="83"/>
      <c r="G953" s="78"/>
      <c r="H953" s="64" t="str">
        <f t="array" ref="H953">_xlfn.XLOOKUP(G953,DATA!D:D,DATA!E:E,"")</f>
        <v/>
      </c>
      <c r="I953" s="84"/>
      <c r="J953" s="23"/>
      <c r="K953" s="23"/>
      <c r="L953" s="66" t="str">
        <f t="shared" si="1"/>
        <v/>
      </c>
      <c r="M953" s="77"/>
      <c r="N953" s="78"/>
      <c r="O953" s="66" t="str">
        <f>IF(M953="","",
 IF(M953="عدم پاسخ","بدون پاسخ",
 IF(L953="","اطلاعات ناقص",
 IF(L953&lt;=DATA!$M$1,"رعایت شده","رعایت نشده"))))</f>
        <v/>
      </c>
      <c r="P953" s="79"/>
      <c r="Q953" s="77"/>
      <c r="R953" s="79"/>
      <c r="S953" s="79"/>
      <c r="T953" s="78"/>
      <c r="U953" s="80"/>
      <c r="V953" s="78"/>
      <c r="W953" s="77" t="str">
        <f t="array" ref="W953">IF(D953="","",_xlfn.XLOOKUP(D953,DATA!B:B,DATA!L:L,""))</f>
        <v/>
      </c>
      <c r="X953" s="78" t="str">
        <f t="array" ref="X953">IF(F953="","",_xlfn.XLOOKUP(F953,DATA!B:B,DATA!L:L,""))</f>
        <v/>
      </c>
    </row>
    <row r="954">
      <c r="A954" s="81"/>
      <c r="B954" s="79"/>
      <c r="C954" s="90"/>
      <c r="D954" s="82"/>
      <c r="E954" s="89"/>
      <c r="F954" s="83"/>
      <c r="G954" s="78"/>
      <c r="H954" s="64" t="str">
        <f t="array" ref="H954">_xlfn.XLOOKUP(G954,DATA!D:D,DATA!E:E,"")</f>
        <v/>
      </c>
      <c r="I954" s="84"/>
      <c r="J954" s="23"/>
      <c r="K954" s="23"/>
      <c r="L954" s="66" t="str">
        <f t="shared" si="1"/>
        <v/>
      </c>
      <c r="M954" s="77"/>
      <c r="N954" s="78"/>
      <c r="O954" s="66" t="str">
        <f>IF(M954="","",
 IF(M954="عدم پاسخ","بدون پاسخ",
 IF(L954="","اطلاعات ناقص",
 IF(L954&lt;=DATA!$M$1,"رعایت شده","رعایت نشده"))))</f>
        <v/>
      </c>
      <c r="P954" s="79"/>
      <c r="Q954" s="77"/>
      <c r="R954" s="79"/>
      <c r="S954" s="79"/>
      <c r="T954" s="78"/>
      <c r="U954" s="80"/>
      <c r="V954" s="78"/>
      <c r="W954" s="77" t="str">
        <f t="array" ref="W954">IF(D954="","",_xlfn.XLOOKUP(D954,DATA!B:B,DATA!L:L,""))</f>
        <v/>
      </c>
      <c r="X954" s="78" t="str">
        <f t="array" ref="X954">IF(F954="","",_xlfn.XLOOKUP(F954,DATA!B:B,DATA!L:L,""))</f>
        <v/>
      </c>
    </row>
    <row r="955">
      <c r="A955" s="81"/>
      <c r="B955" s="79"/>
      <c r="C955" s="90"/>
      <c r="D955" s="82"/>
      <c r="E955" s="89"/>
      <c r="F955" s="83"/>
      <c r="G955" s="78"/>
      <c r="H955" s="64" t="str">
        <f t="array" ref="H955">_xlfn.XLOOKUP(G955,DATA!D:D,DATA!E:E,"")</f>
        <v/>
      </c>
      <c r="I955" s="84"/>
      <c r="J955" s="23"/>
      <c r="K955" s="23"/>
      <c r="L955" s="66" t="str">
        <f t="shared" si="1"/>
        <v/>
      </c>
      <c r="M955" s="77"/>
      <c r="N955" s="78"/>
      <c r="O955" s="66" t="str">
        <f>IF(M955="","",
 IF(M955="عدم پاسخ","بدون پاسخ",
 IF(L955="","اطلاعات ناقص",
 IF(L955&lt;=DATA!$M$1,"رعایت شده","رعایت نشده"))))</f>
        <v/>
      </c>
      <c r="P955" s="79"/>
      <c r="Q955" s="77"/>
      <c r="R955" s="79"/>
      <c r="S955" s="79"/>
      <c r="T955" s="78"/>
      <c r="U955" s="80"/>
      <c r="V955" s="78"/>
      <c r="W955" s="77" t="str">
        <f t="array" ref="W955">IF(D955="","",_xlfn.XLOOKUP(D955,DATA!B:B,DATA!L:L,""))</f>
        <v/>
      </c>
      <c r="X955" s="78" t="str">
        <f t="array" ref="X955">IF(F955="","",_xlfn.XLOOKUP(F955,DATA!B:B,DATA!L:L,""))</f>
        <v/>
      </c>
    </row>
    <row r="956">
      <c r="A956" s="81"/>
      <c r="B956" s="79"/>
      <c r="C956" s="90"/>
      <c r="D956" s="82"/>
      <c r="E956" s="89"/>
      <c r="F956" s="83"/>
      <c r="G956" s="78"/>
      <c r="H956" s="64" t="str">
        <f t="array" ref="H956">_xlfn.XLOOKUP(G956,DATA!D:D,DATA!E:E,"")</f>
        <v/>
      </c>
      <c r="I956" s="84"/>
      <c r="J956" s="23"/>
      <c r="K956" s="23"/>
      <c r="L956" s="66" t="str">
        <f t="shared" si="1"/>
        <v/>
      </c>
      <c r="M956" s="77"/>
      <c r="N956" s="78"/>
      <c r="O956" s="66" t="str">
        <f>IF(M956="","",
 IF(M956="عدم پاسخ","بدون پاسخ",
 IF(L956="","اطلاعات ناقص",
 IF(L956&lt;=DATA!$M$1,"رعایت شده","رعایت نشده"))))</f>
        <v/>
      </c>
      <c r="P956" s="79"/>
      <c r="Q956" s="77"/>
      <c r="R956" s="79"/>
      <c r="S956" s="79"/>
      <c r="T956" s="78"/>
      <c r="U956" s="80"/>
      <c r="V956" s="78"/>
      <c r="W956" s="77" t="str">
        <f t="array" ref="W956">IF(D956="","",_xlfn.XLOOKUP(D956,DATA!B:B,DATA!L:L,""))</f>
        <v/>
      </c>
      <c r="X956" s="78" t="str">
        <f t="array" ref="X956">IF(F956="","",_xlfn.XLOOKUP(F956,DATA!B:B,DATA!L:L,""))</f>
        <v/>
      </c>
    </row>
    <row r="957">
      <c r="A957" s="81"/>
      <c r="B957" s="79"/>
      <c r="C957" s="90"/>
      <c r="D957" s="82"/>
      <c r="E957" s="89"/>
      <c r="F957" s="83"/>
      <c r="G957" s="78"/>
      <c r="H957" s="64" t="str">
        <f t="array" ref="H957">_xlfn.XLOOKUP(G957,DATA!D:D,DATA!E:E,"")</f>
        <v/>
      </c>
      <c r="I957" s="84"/>
      <c r="J957" s="23"/>
      <c r="K957" s="23"/>
      <c r="L957" s="66" t="str">
        <f t="shared" si="1"/>
        <v/>
      </c>
      <c r="M957" s="77"/>
      <c r="N957" s="78"/>
      <c r="O957" s="66" t="str">
        <f>IF(M957="","",
 IF(M957="عدم پاسخ","بدون پاسخ",
 IF(L957="","اطلاعات ناقص",
 IF(L957&lt;=DATA!$M$1,"رعایت شده","رعایت نشده"))))</f>
        <v/>
      </c>
      <c r="P957" s="79"/>
      <c r="Q957" s="77"/>
      <c r="R957" s="79"/>
      <c r="S957" s="79"/>
      <c r="T957" s="78"/>
      <c r="U957" s="80"/>
      <c r="V957" s="78"/>
      <c r="W957" s="77" t="str">
        <f t="array" ref="W957">IF(D957="","",_xlfn.XLOOKUP(D957,DATA!B:B,DATA!L:L,""))</f>
        <v/>
      </c>
      <c r="X957" s="78" t="str">
        <f t="array" ref="X957">IF(F957="","",_xlfn.XLOOKUP(F957,DATA!B:B,DATA!L:L,""))</f>
        <v/>
      </c>
    </row>
    <row r="958">
      <c r="A958" s="81"/>
      <c r="B958" s="79"/>
      <c r="C958" s="90"/>
      <c r="D958" s="82"/>
      <c r="E958" s="89"/>
      <c r="F958" s="83"/>
      <c r="G958" s="78"/>
      <c r="H958" s="64" t="str">
        <f t="array" ref="H958">_xlfn.XLOOKUP(G958,DATA!D:D,DATA!E:E,"")</f>
        <v/>
      </c>
      <c r="I958" s="84"/>
      <c r="J958" s="23"/>
      <c r="K958" s="23"/>
      <c r="L958" s="66" t="str">
        <f t="shared" si="1"/>
        <v/>
      </c>
      <c r="M958" s="77"/>
      <c r="N958" s="78"/>
      <c r="O958" s="66" t="str">
        <f>IF(M958="","",
 IF(M958="عدم پاسخ","بدون پاسخ",
 IF(L958="","اطلاعات ناقص",
 IF(L958&lt;=DATA!$M$1,"رعایت شده","رعایت نشده"))))</f>
        <v/>
      </c>
      <c r="P958" s="79"/>
      <c r="Q958" s="77"/>
      <c r="R958" s="79"/>
      <c r="S958" s="79"/>
      <c r="T958" s="78"/>
      <c r="U958" s="80"/>
      <c r="V958" s="78"/>
      <c r="W958" s="77" t="str">
        <f t="array" ref="W958">IF(D958="","",_xlfn.XLOOKUP(D958,DATA!B:B,DATA!L:L,""))</f>
        <v/>
      </c>
      <c r="X958" s="78" t="str">
        <f t="array" ref="X958">IF(F958="","",_xlfn.XLOOKUP(F958,DATA!B:B,DATA!L:L,""))</f>
        <v/>
      </c>
    </row>
    <row r="959">
      <c r="A959" s="81"/>
      <c r="B959" s="79"/>
      <c r="C959" s="90"/>
      <c r="D959" s="82"/>
      <c r="E959" s="89"/>
      <c r="F959" s="83"/>
      <c r="G959" s="78"/>
      <c r="H959" s="64" t="str">
        <f t="array" ref="H959">_xlfn.XLOOKUP(G959,DATA!D:D,DATA!E:E,"")</f>
        <v/>
      </c>
      <c r="I959" s="84"/>
      <c r="J959" s="23"/>
      <c r="K959" s="23"/>
      <c r="L959" s="66" t="str">
        <f t="shared" si="1"/>
        <v/>
      </c>
      <c r="M959" s="77"/>
      <c r="N959" s="78"/>
      <c r="O959" s="66" t="str">
        <f>IF(M959="","",
 IF(M959="عدم پاسخ","بدون پاسخ",
 IF(L959="","اطلاعات ناقص",
 IF(L959&lt;=DATA!$M$1,"رعایت شده","رعایت نشده"))))</f>
        <v/>
      </c>
      <c r="P959" s="79"/>
      <c r="Q959" s="77"/>
      <c r="R959" s="79"/>
      <c r="S959" s="79"/>
      <c r="T959" s="78"/>
      <c r="U959" s="80"/>
      <c r="V959" s="78"/>
      <c r="W959" s="77" t="str">
        <f t="array" ref="W959">IF(D959="","",_xlfn.XLOOKUP(D959,DATA!B:B,DATA!L:L,""))</f>
        <v/>
      </c>
      <c r="X959" s="78" t="str">
        <f t="array" ref="X959">IF(F959="","",_xlfn.XLOOKUP(F959,DATA!B:B,DATA!L:L,""))</f>
        <v/>
      </c>
    </row>
    <row r="960">
      <c r="A960" s="81"/>
      <c r="B960" s="79"/>
      <c r="C960" s="90"/>
      <c r="D960" s="82"/>
      <c r="E960" s="89"/>
      <c r="F960" s="83"/>
      <c r="G960" s="78"/>
      <c r="H960" s="64" t="str">
        <f t="array" ref="H960">_xlfn.XLOOKUP(G960,DATA!D:D,DATA!E:E,"")</f>
        <v/>
      </c>
      <c r="I960" s="84"/>
      <c r="J960" s="23"/>
      <c r="K960" s="23"/>
      <c r="L960" s="66" t="str">
        <f t="shared" si="1"/>
        <v/>
      </c>
      <c r="M960" s="77"/>
      <c r="N960" s="78"/>
      <c r="O960" s="66" t="str">
        <f>IF(M960="","",
 IF(M960="عدم پاسخ","بدون پاسخ",
 IF(L960="","اطلاعات ناقص",
 IF(L960&lt;=DATA!$M$1,"رعایت شده","رعایت نشده"))))</f>
        <v/>
      </c>
      <c r="P960" s="79"/>
      <c r="Q960" s="77"/>
      <c r="R960" s="79"/>
      <c r="S960" s="79"/>
      <c r="T960" s="78"/>
      <c r="U960" s="80"/>
      <c r="V960" s="78"/>
      <c r="W960" s="77" t="str">
        <f t="array" ref="W960">IF(D960="","",_xlfn.XLOOKUP(D960,DATA!B:B,DATA!L:L,""))</f>
        <v/>
      </c>
      <c r="X960" s="78" t="str">
        <f t="array" ref="X960">IF(F960="","",_xlfn.XLOOKUP(F960,DATA!B:B,DATA!L:L,""))</f>
        <v/>
      </c>
    </row>
    <row r="961">
      <c r="A961" s="81"/>
      <c r="B961" s="79"/>
      <c r="C961" s="90"/>
      <c r="D961" s="82"/>
      <c r="E961" s="89"/>
      <c r="F961" s="83"/>
      <c r="G961" s="78"/>
      <c r="H961" s="64" t="str">
        <f t="array" ref="H961">_xlfn.XLOOKUP(G961,DATA!D:D,DATA!E:E,"")</f>
        <v/>
      </c>
      <c r="I961" s="84"/>
      <c r="J961" s="23"/>
      <c r="K961" s="23"/>
      <c r="L961" s="66" t="str">
        <f t="shared" si="1"/>
        <v/>
      </c>
      <c r="M961" s="77"/>
      <c r="N961" s="78"/>
      <c r="O961" s="66" t="str">
        <f>IF(M961="","",
 IF(M961="عدم پاسخ","بدون پاسخ",
 IF(L961="","اطلاعات ناقص",
 IF(L961&lt;=DATA!$M$1,"رعایت شده","رعایت نشده"))))</f>
        <v/>
      </c>
      <c r="P961" s="79"/>
      <c r="Q961" s="77"/>
      <c r="R961" s="79"/>
      <c r="S961" s="79"/>
      <c r="T961" s="78"/>
      <c r="U961" s="80"/>
      <c r="V961" s="78"/>
      <c r="W961" s="77" t="str">
        <f t="array" ref="W961">IF(D961="","",_xlfn.XLOOKUP(D961,DATA!B:B,DATA!L:L,""))</f>
        <v/>
      </c>
      <c r="X961" s="78" t="str">
        <f t="array" ref="X961">IF(F961="","",_xlfn.XLOOKUP(F961,DATA!B:B,DATA!L:L,""))</f>
        <v/>
      </c>
    </row>
    <row r="962">
      <c r="A962" s="81"/>
      <c r="B962" s="79"/>
      <c r="C962" s="90"/>
      <c r="D962" s="82"/>
      <c r="E962" s="89"/>
      <c r="F962" s="83"/>
      <c r="G962" s="78"/>
      <c r="H962" s="64" t="str">
        <f t="array" ref="H962">_xlfn.XLOOKUP(G962,DATA!D:D,DATA!E:E,"")</f>
        <v/>
      </c>
      <c r="I962" s="84"/>
      <c r="J962" s="23"/>
      <c r="K962" s="23"/>
      <c r="L962" s="66" t="str">
        <f t="shared" si="1"/>
        <v/>
      </c>
      <c r="M962" s="77"/>
      <c r="N962" s="78"/>
      <c r="O962" s="66" t="str">
        <f>IF(M962="","",
 IF(M962="عدم پاسخ","بدون پاسخ",
 IF(L962="","اطلاعات ناقص",
 IF(L962&lt;=DATA!$M$1,"رعایت شده","رعایت نشده"))))</f>
        <v/>
      </c>
      <c r="P962" s="79"/>
      <c r="Q962" s="77"/>
      <c r="R962" s="79"/>
      <c r="S962" s="79"/>
      <c r="T962" s="78"/>
      <c r="U962" s="80"/>
      <c r="V962" s="78"/>
      <c r="W962" s="77" t="str">
        <f t="array" ref="W962">IF(D962="","",_xlfn.XLOOKUP(D962,DATA!B:B,DATA!L:L,""))</f>
        <v/>
      </c>
      <c r="X962" s="78" t="str">
        <f t="array" ref="X962">IF(F962="","",_xlfn.XLOOKUP(F962,DATA!B:B,DATA!L:L,""))</f>
        <v/>
      </c>
    </row>
    <row r="963">
      <c r="A963" s="81"/>
      <c r="B963" s="79"/>
      <c r="C963" s="90"/>
      <c r="D963" s="82"/>
      <c r="E963" s="89"/>
      <c r="F963" s="83"/>
      <c r="G963" s="78"/>
      <c r="H963" s="64" t="str">
        <f t="array" ref="H963">_xlfn.XLOOKUP(G963,DATA!D:D,DATA!E:E,"")</f>
        <v/>
      </c>
      <c r="I963" s="84"/>
      <c r="J963" s="23"/>
      <c r="K963" s="23"/>
      <c r="L963" s="66" t="str">
        <f t="shared" si="1"/>
        <v/>
      </c>
      <c r="M963" s="77"/>
      <c r="N963" s="78"/>
      <c r="O963" s="66" t="str">
        <f>IF(M963="","",
 IF(M963="عدم پاسخ","بدون پاسخ",
 IF(L963="","اطلاعات ناقص",
 IF(L963&lt;=DATA!$M$1,"رعایت شده","رعایت نشده"))))</f>
        <v/>
      </c>
      <c r="P963" s="79"/>
      <c r="Q963" s="77"/>
      <c r="R963" s="79"/>
      <c r="S963" s="79"/>
      <c r="T963" s="78"/>
      <c r="U963" s="80"/>
      <c r="V963" s="78"/>
      <c r="W963" s="77" t="str">
        <f t="array" ref="W963">IF(D963="","",_xlfn.XLOOKUP(D963,DATA!B:B,DATA!L:L,""))</f>
        <v/>
      </c>
      <c r="X963" s="78" t="str">
        <f t="array" ref="X963">IF(F963="","",_xlfn.XLOOKUP(F963,DATA!B:B,DATA!L:L,""))</f>
        <v/>
      </c>
    </row>
    <row r="964">
      <c r="A964" s="81"/>
      <c r="B964" s="79"/>
      <c r="C964" s="90"/>
      <c r="D964" s="82"/>
      <c r="E964" s="89"/>
      <c r="F964" s="83"/>
      <c r="G964" s="78"/>
      <c r="H964" s="64" t="str">
        <f t="array" ref="H964">_xlfn.XLOOKUP(G964,DATA!D:D,DATA!E:E,"")</f>
        <v/>
      </c>
      <c r="I964" s="84"/>
      <c r="J964" s="23"/>
      <c r="K964" s="23"/>
      <c r="L964" s="66" t="str">
        <f t="shared" si="1"/>
        <v/>
      </c>
      <c r="M964" s="77"/>
      <c r="N964" s="78"/>
      <c r="O964" s="66" t="str">
        <f>IF(M964="","",
 IF(M964="عدم پاسخ","بدون پاسخ",
 IF(L964="","اطلاعات ناقص",
 IF(L964&lt;=DATA!$M$1,"رعایت شده","رعایت نشده"))))</f>
        <v/>
      </c>
      <c r="P964" s="79"/>
      <c r="Q964" s="77"/>
      <c r="R964" s="79"/>
      <c r="S964" s="79"/>
      <c r="T964" s="78"/>
      <c r="U964" s="80"/>
      <c r="V964" s="78"/>
      <c r="W964" s="77" t="str">
        <f t="array" ref="W964">IF(D964="","",_xlfn.XLOOKUP(D964,DATA!B:B,DATA!L:L,""))</f>
        <v/>
      </c>
      <c r="X964" s="78" t="str">
        <f t="array" ref="X964">IF(F964="","",_xlfn.XLOOKUP(F964,DATA!B:B,DATA!L:L,""))</f>
        <v/>
      </c>
    </row>
    <row r="965">
      <c r="A965" s="81"/>
      <c r="B965" s="79"/>
      <c r="C965" s="90"/>
      <c r="D965" s="82"/>
      <c r="E965" s="89"/>
      <c r="F965" s="83"/>
      <c r="G965" s="78"/>
      <c r="H965" s="64" t="str">
        <f t="array" ref="H965">_xlfn.XLOOKUP(G965,DATA!D:D,DATA!E:E,"")</f>
        <v/>
      </c>
      <c r="I965" s="84"/>
      <c r="J965" s="23"/>
      <c r="K965" s="23"/>
      <c r="L965" s="66" t="str">
        <f t="shared" si="1"/>
        <v/>
      </c>
      <c r="M965" s="77"/>
      <c r="N965" s="78"/>
      <c r="O965" s="66" t="str">
        <f>IF(M965="","",
 IF(M965="عدم پاسخ","بدون پاسخ",
 IF(L965="","اطلاعات ناقص",
 IF(L965&lt;=DATA!$M$1,"رعایت شده","رعایت نشده"))))</f>
        <v/>
      </c>
      <c r="P965" s="79"/>
      <c r="Q965" s="77"/>
      <c r="R965" s="79"/>
      <c r="S965" s="79"/>
      <c r="T965" s="78"/>
      <c r="U965" s="80"/>
      <c r="V965" s="78"/>
      <c r="W965" s="77" t="str">
        <f t="array" ref="W965">IF(D965="","",_xlfn.XLOOKUP(D965,DATA!B:B,DATA!L:L,""))</f>
        <v/>
      </c>
      <c r="X965" s="78" t="str">
        <f t="array" ref="X965">IF(F965="","",_xlfn.XLOOKUP(F965,DATA!B:B,DATA!L:L,""))</f>
        <v/>
      </c>
    </row>
    <row r="966">
      <c r="A966" s="81"/>
      <c r="B966" s="79"/>
      <c r="C966" s="90"/>
      <c r="D966" s="82"/>
      <c r="E966" s="89"/>
      <c r="F966" s="83"/>
      <c r="G966" s="78"/>
      <c r="H966" s="64" t="str">
        <f t="array" ref="H966">_xlfn.XLOOKUP(G966,DATA!D:D,DATA!E:E,"")</f>
        <v/>
      </c>
      <c r="I966" s="84"/>
      <c r="J966" s="23"/>
      <c r="K966" s="23"/>
      <c r="L966" s="66" t="str">
        <f t="shared" si="1"/>
        <v/>
      </c>
      <c r="M966" s="77"/>
      <c r="N966" s="78"/>
      <c r="O966" s="66" t="str">
        <f>IF(M966="","",
 IF(M966="عدم پاسخ","بدون پاسخ",
 IF(L966="","اطلاعات ناقص",
 IF(L966&lt;=DATA!$M$1,"رعایت شده","رعایت نشده"))))</f>
        <v/>
      </c>
      <c r="P966" s="79"/>
      <c r="Q966" s="77"/>
      <c r="R966" s="79"/>
      <c r="S966" s="79"/>
      <c r="T966" s="78"/>
      <c r="U966" s="80"/>
      <c r="V966" s="78"/>
      <c r="W966" s="77" t="str">
        <f t="array" ref="W966">IF(D966="","",_xlfn.XLOOKUP(D966,DATA!B:B,DATA!L:L,""))</f>
        <v/>
      </c>
      <c r="X966" s="78" t="str">
        <f t="array" ref="X966">IF(F966="","",_xlfn.XLOOKUP(F966,DATA!B:B,DATA!L:L,""))</f>
        <v/>
      </c>
    </row>
    <row r="967">
      <c r="A967" s="81"/>
      <c r="B967" s="79"/>
      <c r="C967" s="90"/>
      <c r="D967" s="82"/>
      <c r="E967" s="89"/>
      <c r="F967" s="83"/>
      <c r="G967" s="78"/>
      <c r="H967" s="64" t="str">
        <f t="array" ref="H967">_xlfn.XLOOKUP(G967,DATA!D:D,DATA!E:E,"")</f>
        <v/>
      </c>
      <c r="I967" s="84"/>
      <c r="J967" s="23"/>
      <c r="K967" s="23"/>
      <c r="L967" s="66" t="str">
        <f t="shared" si="1"/>
        <v/>
      </c>
      <c r="M967" s="77"/>
      <c r="N967" s="78"/>
      <c r="O967" s="66" t="str">
        <f>IF(M967="","",
 IF(M967="عدم پاسخ","بدون پاسخ",
 IF(L967="","اطلاعات ناقص",
 IF(L967&lt;=DATA!$M$1,"رعایت شده","رعایت نشده"))))</f>
        <v/>
      </c>
      <c r="P967" s="79"/>
      <c r="Q967" s="77"/>
      <c r="R967" s="79"/>
      <c r="S967" s="79"/>
      <c r="T967" s="78"/>
      <c r="U967" s="80"/>
      <c r="V967" s="78"/>
      <c r="W967" s="77" t="str">
        <f t="array" ref="W967">IF(D967="","",_xlfn.XLOOKUP(D967,DATA!B:B,DATA!L:L,""))</f>
        <v/>
      </c>
      <c r="X967" s="78" t="str">
        <f t="array" ref="X967">IF(F967="","",_xlfn.XLOOKUP(F967,DATA!B:B,DATA!L:L,""))</f>
        <v/>
      </c>
    </row>
    <row r="968">
      <c r="A968" s="81"/>
      <c r="B968" s="79"/>
      <c r="C968" s="90"/>
      <c r="D968" s="82"/>
      <c r="E968" s="89"/>
      <c r="F968" s="83"/>
      <c r="G968" s="78"/>
      <c r="H968" s="64" t="str">
        <f t="array" ref="H968">_xlfn.XLOOKUP(G968,DATA!D:D,DATA!E:E,"")</f>
        <v/>
      </c>
      <c r="I968" s="84"/>
      <c r="J968" s="23"/>
      <c r="K968" s="23"/>
      <c r="L968" s="66" t="str">
        <f t="shared" si="1"/>
        <v/>
      </c>
      <c r="M968" s="77"/>
      <c r="N968" s="78"/>
      <c r="O968" s="66" t="str">
        <f>IF(M968="","",
 IF(M968="عدم پاسخ","بدون پاسخ",
 IF(L968="","اطلاعات ناقص",
 IF(L968&lt;=DATA!$M$1,"رعایت شده","رعایت نشده"))))</f>
        <v/>
      </c>
      <c r="P968" s="79"/>
      <c r="Q968" s="77"/>
      <c r="R968" s="79"/>
      <c r="S968" s="79"/>
      <c r="T968" s="78"/>
      <c r="U968" s="80"/>
      <c r="V968" s="78"/>
      <c r="W968" s="77" t="str">
        <f t="array" ref="W968">IF(D968="","",_xlfn.XLOOKUP(D968,DATA!B:B,DATA!L:L,""))</f>
        <v/>
      </c>
      <c r="X968" s="78" t="str">
        <f t="array" ref="X968">IF(F968="","",_xlfn.XLOOKUP(F968,DATA!B:B,DATA!L:L,""))</f>
        <v/>
      </c>
    </row>
    <row r="969">
      <c r="A969" s="81"/>
      <c r="B969" s="79"/>
      <c r="C969" s="90"/>
      <c r="D969" s="82"/>
      <c r="E969" s="89"/>
      <c r="F969" s="83"/>
      <c r="G969" s="78"/>
      <c r="H969" s="64" t="str">
        <f t="array" ref="H969">_xlfn.XLOOKUP(G969,DATA!D:D,DATA!E:E,"")</f>
        <v/>
      </c>
      <c r="I969" s="84"/>
      <c r="J969" s="23"/>
      <c r="K969" s="23"/>
      <c r="L969" s="66" t="str">
        <f t="shared" si="1"/>
        <v/>
      </c>
      <c r="M969" s="77"/>
      <c r="N969" s="78"/>
      <c r="O969" s="66" t="str">
        <f>IF(M969="","",
 IF(M969="عدم پاسخ","بدون پاسخ",
 IF(L969="","اطلاعات ناقص",
 IF(L969&lt;=DATA!$M$1,"رعایت شده","رعایت نشده"))))</f>
        <v/>
      </c>
      <c r="P969" s="79"/>
      <c r="Q969" s="77"/>
      <c r="R969" s="79"/>
      <c r="S969" s="79"/>
      <c r="T969" s="78"/>
      <c r="U969" s="80"/>
      <c r="V969" s="78"/>
      <c r="W969" s="77" t="str">
        <f t="array" ref="W969">IF(D969="","",_xlfn.XLOOKUP(D969,DATA!B:B,DATA!L:L,""))</f>
        <v/>
      </c>
      <c r="X969" s="78" t="str">
        <f t="array" ref="X969">IF(F969="","",_xlfn.XLOOKUP(F969,DATA!B:B,DATA!L:L,""))</f>
        <v/>
      </c>
    </row>
    <row r="970">
      <c r="A970" s="81"/>
      <c r="B970" s="79"/>
      <c r="C970" s="90"/>
      <c r="D970" s="82"/>
      <c r="E970" s="89"/>
      <c r="F970" s="83"/>
      <c r="G970" s="78"/>
      <c r="H970" s="64" t="str">
        <f t="array" ref="H970">_xlfn.XLOOKUP(G970,DATA!D:D,DATA!E:E,"")</f>
        <v/>
      </c>
      <c r="I970" s="84"/>
      <c r="J970" s="23"/>
      <c r="K970" s="23"/>
      <c r="L970" s="66" t="str">
        <f t="shared" si="1"/>
        <v/>
      </c>
      <c r="M970" s="77"/>
      <c r="N970" s="78"/>
      <c r="O970" s="66" t="str">
        <f>IF(M970="","",
 IF(M970="عدم پاسخ","بدون پاسخ",
 IF(L970="","اطلاعات ناقص",
 IF(L970&lt;=DATA!$M$1,"رعایت شده","رعایت نشده"))))</f>
        <v/>
      </c>
      <c r="P970" s="79"/>
      <c r="Q970" s="77"/>
      <c r="R970" s="79"/>
      <c r="S970" s="79"/>
      <c r="T970" s="78"/>
      <c r="U970" s="80"/>
      <c r="V970" s="78"/>
      <c r="W970" s="77" t="str">
        <f t="array" ref="W970">IF(D970="","",_xlfn.XLOOKUP(D970,DATA!B:B,DATA!L:L,""))</f>
        <v/>
      </c>
      <c r="X970" s="78" t="str">
        <f t="array" ref="X970">IF(F970="","",_xlfn.XLOOKUP(F970,DATA!B:B,DATA!L:L,""))</f>
        <v/>
      </c>
    </row>
    <row r="971">
      <c r="A971" s="81"/>
      <c r="B971" s="79"/>
      <c r="C971" s="90"/>
      <c r="D971" s="82"/>
      <c r="E971" s="89"/>
      <c r="F971" s="83"/>
      <c r="G971" s="78"/>
      <c r="H971" s="64" t="str">
        <f t="array" ref="H971">_xlfn.XLOOKUP(G971,DATA!D:D,DATA!E:E,"")</f>
        <v/>
      </c>
      <c r="I971" s="84"/>
      <c r="J971" s="23"/>
      <c r="K971" s="23"/>
      <c r="L971" s="66" t="str">
        <f t="shared" si="1"/>
        <v/>
      </c>
      <c r="M971" s="77"/>
      <c r="N971" s="78"/>
      <c r="O971" s="66" t="str">
        <f>IF(M971="","",
 IF(M971="عدم پاسخ","بدون پاسخ",
 IF(L971="","اطلاعات ناقص",
 IF(L971&lt;=DATA!$M$1,"رعایت شده","رعایت نشده"))))</f>
        <v/>
      </c>
      <c r="P971" s="79"/>
      <c r="Q971" s="77"/>
      <c r="R971" s="79"/>
      <c r="S971" s="79"/>
      <c r="T971" s="78"/>
      <c r="U971" s="80"/>
      <c r="V971" s="78"/>
      <c r="W971" s="77" t="str">
        <f t="array" ref="W971">IF(D971="","",_xlfn.XLOOKUP(D971,DATA!B:B,DATA!L:L,""))</f>
        <v/>
      </c>
      <c r="X971" s="78" t="str">
        <f t="array" ref="X971">IF(F971="","",_xlfn.XLOOKUP(F971,DATA!B:B,DATA!L:L,""))</f>
        <v/>
      </c>
    </row>
    <row r="972">
      <c r="A972" s="81"/>
      <c r="B972" s="79"/>
      <c r="C972" s="90"/>
      <c r="D972" s="82"/>
      <c r="E972" s="89"/>
      <c r="F972" s="83"/>
      <c r="G972" s="78"/>
      <c r="H972" s="64" t="str">
        <f t="array" ref="H972">_xlfn.XLOOKUP(G972,DATA!D:D,DATA!E:E,"")</f>
        <v/>
      </c>
      <c r="I972" s="84"/>
      <c r="J972" s="23"/>
      <c r="K972" s="23"/>
      <c r="L972" s="66" t="str">
        <f t="shared" si="1"/>
        <v/>
      </c>
      <c r="M972" s="77"/>
      <c r="N972" s="78"/>
      <c r="O972" s="66" t="str">
        <f>IF(M972="","",
 IF(M972="عدم پاسخ","بدون پاسخ",
 IF(L972="","اطلاعات ناقص",
 IF(L972&lt;=DATA!$M$1,"رعایت شده","رعایت نشده"))))</f>
        <v/>
      </c>
      <c r="P972" s="79"/>
      <c r="Q972" s="77"/>
      <c r="R972" s="79"/>
      <c r="S972" s="79"/>
      <c r="T972" s="78"/>
      <c r="U972" s="80"/>
      <c r="V972" s="78"/>
      <c r="W972" s="77" t="str">
        <f t="array" ref="W972">IF(D972="","",_xlfn.XLOOKUP(D972,DATA!B:B,DATA!L:L,""))</f>
        <v/>
      </c>
      <c r="X972" s="78" t="str">
        <f t="array" ref="X972">IF(F972="","",_xlfn.XLOOKUP(F972,DATA!B:B,DATA!L:L,""))</f>
        <v/>
      </c>
    </row>
    <row r="973">
      <c r="A973" s="81"/>
      <c r="B973" s="79"/>
      <c r="C973" s="90"/>
      <c r="D973" s="82"/>
      <c r="E973" s="89"/>
      <c r="F973" s="83"/>
      <c r="G973" s="78"/>
      <c r="H973" s="64" t="str">
        <f t="array" ref="H973">_xlfn.XLOOKUP(G973,DATA!D:D,DATA!E:E,"")</f>
        <v/>
      </c>
      <c r="I973" s="84"/>
      <c r="J973" s="23"/>
      <c r="K973" s="23"/>
      <c r="L973" s="66" t="str">
        <f t="shared" si="1"/>
        <v/>
      </c>
      <c r="M973" s="77"/>
      <c r="N973" s="78"/>
      <c r="O973" s="66" t="str">
        <f>IF(M973="","",
 IF(M973="عدم پاسخ","بدون پاسخ",
 IF(L973="","اطلاعات ناقص",
 IF(L973&lt;=DATA!$M$1,"رعایت شده","رعایت نشده"))))</f>
        <v/>
      </c>
      <c r="P973" s="79"/>
      <c r="Q973" s="77"/>
      <c r="R973" s="79"/>
      <c r="S973" s="79"/>
      <c r="T973" s="78"/>
      <c r="U973" s="80"/>
      <c r="V973" s="78"/>
      <c r="W973" s="77" t="str">
        <f t="array" ref="W973">IF(D973="","",_xlfn.XLOOKUP(D973,DATA!B:B,DATA!L:L,""))</f>
        <v/>
      </c>
      <c r="X973" s="78" t="str">
        <f t="array" ref="X973">IF(F973="","",_xlfn.XLOOKUP(F973,DATA!B:B,DATA!L:L,""))</f>
        <v/>
      </c>
    </row>
    <row r="974">
      <c r="A974" s="81"/>
      <c r="B974" s="79"/>
      <c r="C974" s="90"/>
      <c r="D974" s="82"/>
      <c r="E974" s="89"/>
      <c r="F974" s="83"/>
      <c r="G974" s="78"/>
      <c r="H974" s="64" t="str">
        <f t="array" ref="H974">_xlfn.XLOOKUP(G974,DATA!D:D,DATA!E:E,"")</f>
        <v/>
      </c>
      <c r="I974" s="84"/>
      <c r="J974" s="23"/>
      <c r="K974" s="23"/>
      <c r="L974" s="66" t="str">
        <f t="shared" si="1"/>
        <v/>
      </c>
      <c r="M974" s="77"/>
      <c r="N974" s="78"/>
      <c r="O974" s="66" t="str">
        <f>IF(M974="","",
 IF(M974="عدم پاسخ","بدون پاسخ",
 IF(L974="","اطلاعات ناقص",
 IF(L974&lt;=DATA!$M$1,"رعایت شده","رعایت نشده"))))</f>
        <v/>
      </c>
      <c r="P974" s="79"/>
      <c r="Q974" s="77"/>
      <c r="R974" s="79"/>
      <c r="S974" s="79"/>
      <c r="T974" s="78"/>
      <c r="U974" s="80"/>
      <c r="V974" s="78"/>
      <c r="W974" s="77" t="str">
        <f t="array" ref="W974">IF(D974="","",_xlfn.XLOOKUP(D974,DATA!B:B,DATA!L:L,""))</f>
        <v/>
      </c>
      <c r="X974" s="78" t="str">
        <f t="array" ref="X974">IF(F974="","",_xlfn.XLOOKUP(F974,DATA!B:B,DATA!L:L,""))</f>
        <v/>
      </c>
    </row>
    <row r="975">
      <c r="A975" s="81"/>
      <c r="B975" s="79"/>
      <c r="C975" s="90"/>
      <c r="D975" s="82"/>
      <c r="E975" s="89"/>
      <c r="F975" s="83"/>
      <c r="G975" s="78"/>
      <c r="H975" s="64" t="str">
        <f t="array" ref="H975">_xlfn.XLOOKUP(G975,DATA!D:D,DATA!E:E,"")</f>
        <v/>
      </c>
      <c r="I975" s="84"/>
      <c r="J975" s="23"/>
      <c r="K975" s="23"/>
      <c r="L975" s="66" t="str">
        <f t="shared" si="1"/>
        <v/>
      </c>
      <c r="M975" s="77"/>
      <c r="N975" s="78"/>
      <c r="O975" s="66" t="str">
        <f>IF(M975="","",
 IF(M975="عدم پاسخ","بدون پاسخ",
 IF(L975="","اطلاعات ناقص",
 IF(L975&lt;=DATA!$M$1,"رعایت شده","رعایت نشده"))))</f>
        <v/>
      </c>
      <c r="P975" s="79"/>
      <c r="Q975" s="77"/>
      <c r="R975" s="79"/>
      <c r="S975" s="79"/>
      <c r="T975" s="78"/>
      <c r="U975" s="80"/>
      <c r="V975" s="78"/>
      <c r="W975" s="77" t="str">
        <f t="array" ref="W975">IF(D975="","",_xlfn.XLOOKUP(D975,DATA!B:B,DATA!L:L,""))</f>
        <v/>
      </c>
      <c r="X975" s="78" t="str">
        <f t="array" ref="X975">IF(F975="","",_xlfn.XLOOKUP(F975,DATA!B:B,DATA!L:L,""))</f>
        <v/>
      </c>
    </row>
    <row r="976">
      <c r="A976" s="81"/>
      <c r="B976" s="79"/>
      <c r="C976" s="90"/>
      <c r="D976" s="82"/>
      <c r="E976" s="89"/>
      <c r="F976" s="83"/>
      <c r="G976" s="78"/>
      <c r="H976" s="64" t="str">
        <f t="array" ref="H976">_xlfn.XLOOKUP(G976,DATA!D:D,DATA!E:E,"")</f>
        <v/>
      </c>
      <c r="I976" s="84"/>
      <c r="J976" s="23"/>
      <c r="K976" s="23"/>
      <c r="L976" s="66" t="str">
        <f t="shared" si="1"/>
        <v/>
      </c>
      <c r="M976" s="77"/>
      <c r="N976" s="78"/>
      <c r="O976" s="66" t="str">
        <f>IF(M976="","",
 IF(M976="عدم پاسخ","بدون پاسخ",
 IF(L976="","اطلاعات ناقص",
 IF(L976&lt;=DATA!$M$1,"رعایت شده","رعایت نشده"))))</f>
        <v/>
      </c>
      <c r="P976" s="79"/>
      <c r="Q976" s="77"/>
      <c r="R976" s="79"/>
      <c r="S976" s="79"/>
      <c r="T976" s="78"/>
      <c r="U976" s="80"/>
      <c r="V976" s="78"/>
      <c r="W976" s="77" t="str">
        <f t="array" ref="W976">IF(D976="","",_xlfn.XLOOKUP(D976,DATA!B:B,DATA!L:L,""))</f>
        <v/>
      </c>
      <c r="X976" s="78" t="str">
        <f t="array" ref="X976">IF(F976="","",_xlfn.XLOOKUP(F976,DATA!B:B,DATA!L:L,""))</f>
        <v/>
      </c>
    </row>
    <row r="977">
      <c r="A977" s="81"/>
      <c r="B977" s="79"/>
      <c r="C977" s="90"/>
      <c r="D977" s="82"/>
      <c r="E977" s="89"/>
      <c r="F977" s="83"/>
      <c r="G977" s="78"/>
      <c r="H977" s="64" t="str">
        <f t="array" ref="H977">_xlfn.XLOOKUP(G977,DATA!D:D,DATA!E:E,"")</f>
        <v/>
      </c>
      <c r="I977" s="84"/>
      <c r="J977" s="23"/>
      <c r="K977" s="23"/>
      <c r="L977" s="66" t="str">
        <f t="shared" si="1"/>
        <v/>
      </c>
      <c r="M977" s="77"/>
      <c r="N977" s="78"/>
      <c r="O977" s="66" t="str">
        <f>IF(M977="","",
 IF(M977="عدم پاسخ","بدون پاسخ",
 IF(L977="","اطلاعات ناقص",
 IF(L977&lt;=DATA!$M$1,"رعایت شده","رعایت نشده"))))</f>
        <v/>
      </c>
      <c r="P977" s="79"/>
      <c r="Q977" s="77"/>
      <c r="R977" s="79"/>
      <c r="S977" s="79"/>
      <c r="T977" s="78"/>
      <c r="U977" s="80"/>
      <c r="V977" s="78"/>
      <c r="W977" s="77" t="str">
        <f t="array" ref="W977">IF(D977="","",_xlfn.XLOOKUP(D977,DATA!B:B,DATA!L:L,""))</f>
        <v/>
      </c>
      <c r="X977" s="78" t="str">
        <f t="array" ref="X977">IF(F977="","",_xlfn.XLOOKUP(F977,DATA!B:B,DATA!L:L,""))</f>
        <v/>
      </c>
    </row>
    <row r="978">
      <c r="A978" s="81"/>
      <c r="B978" s="79"/>
      <c r="C978" s="90"/>
      <c r="D978" s="82"/>
      <c r="E978" s="89"/>
      <c r="F978" s="83"/>
      <c r="G978" s="78"/>
      <c r="H978" s="64" t="str">
        <f t="array" ref="H978">_xlfn.XLOOKUP(G978,DATA!D:D,DATA!E:E,"")</f>
        <v/>
      </c>
      <c r="I978" s="84"/>
      <c r="J978" s="23"/>
      <c r="K978" s="23"/>
      <c r="L978" s="66" t="str">
        <f t="shared" si="1"/>
        <v/>
      </c>
      <c r="M978" s="77"/>
      <c r="N978" s="78"/>
      <c r="O978" s="66" t="str">
        <f>IF(M978="","",
 IF(M978="عدم پاسخ","بدون پاسخ",
 IF(L978="","اطلاعات ناقص",
 IF(L978&lt;=DATA!$M$1,"رعایت شده","رعایت نشده"))))</f>
        <v/>
      </c>
      <c r="P978" s="79"/>
      <c r="Q978" s="77"/>
      <c r="R978" s="79"/>
      <c r="S978" s="79"/>
      <c r="T978" s="78"/>
      <c r="U978" s="80"/>
      <c r="V978" s="78"/>
      <c r="W978" s="77" t="str">
        <f t="array" ref="W978">IF(D978="","",_xlfn.XLOOKUP(D978,DATA!B:B,DATA!L:L,""))</f>
        <v/>
      </c>
      <c r="X978" s="78" t="str">
        <f t="array" ref="X978">IF(F978="","",_xlfn.XLOOKUP(F978,DATA!B:B,DATA!L:L,""))</f>
        <v/>
      </c>
    </row>
    <row r="979">
      <c r="A979" s="81"/>
      <c r="B979" s="79"/>
      <c r="C979" s="90"/>
      <c r="D979" s="82"/>
      <c r="E979" s="89"/>
      <c r="F979" s="83"/>
      <c r="G979" s="78"/>
      <c r="H979" s="64" t="str">
        <f t="array" ref="H979">_xlfn.XLOOKUP(G979,DATA!D:D,DATA!E:E,"")</f>
        <v/>
      </c>
      <c r="I979" s="84"/>
      <c r="J979" s="23"/>
      <c r="K979" s="23"/>
      <c r="L979" s="66" t="str">
        <f t="shared" si="1"/>
        <v/>
      </c>
      <c r="M979" s="77"/>
      <c r="N979" s="78"/>
      <c r="O979" s="66" t="str">
        <f>IF(M979="","",
 IF(M979="عدم پاسخ","بدون پاسخ",
 IF(L979="","اطلاعات ناقص",
 IF(L979&lt;=DATA!$M$1,"رعایت شده","رعایت نشده"))))</f>
        <v/>
      </c>
      <c r="P979" s="79"/>
      <c r="Q979" s="77"/>
      <c r="R979" s="79"/>
      <c r="S979" s="79"/>
      <c r="T979" s="78"/>
      <c r="U979" s="80"/>
      <c r="V979" s="78"/>
      <c r="W979" s="77" t="str">
        <f t="array" ref="W979">IF(D979="","",_xlfn.XLOOKUP(D979,DATA!B:B,DATA!L:L,""))</f>
        <v/>
      </c>
      <c r="X979" s="78" t="str">
        <f t="array" ref="X979">IF(F979="","",_xlfn.XLOOKUP(F979,DATA!B:B,DATA!L:L,""))</f>
        <v/>
      </c>
    </row>
    <row r="980">
      <c r="A980" s="81"/>
      <c r="B980" s="79"/>
      <c r="C980" s="90"/>
      <c r="D980" s="82"/>
      <c r="E980" s="89"/>
      <c r="F980" s="83"/>
      <c r="G980" s="78"/>
      <c r="H980" s="64" t="str">
        <f t="array" ref="H980">_xlfn.XLOOKUP(G980,DATA!D:D,DATA!E:E,"")</f>
        <v/>
      </c>
      <c r="I980" s="84"/>
      <c r="J980" s="23"/>
      <c r="K980" s="23"/>
      <c r="L980" s="66" t="str">
        <f t="shared" si="1"/>
        <v/>
      </c>
      <c r="M980" s="77"/>
      <c r="N980" s="78"/>
      <c r="O980" s="66" t="str">
        <f>IF(M980="","",
 IF(M980="عدم پاسخ","بدون پاسخ",
 IF(L980="","اطلاعات ناقص",
 IF(L980&lt;=DATA!$M$1,"رعایت شده","رعایت نشده"))))</f>
        <v/>
      </c>
      <c r="P980" s="79"/>
      <c r="Q980" s="77"/>
      <c r="R980" s="79"/>
      <c r="S980" s="79"/>
      <c r="T980" s="78"/>
      <c r="U980" s="80"/>
      <c r="V980" s="78"/>
      <c r="W980" s="77" t="str">
        <f t="array" ref="W980">IF(D980="","",_xlfn.XLOOKUP(D980,DATA!B:B,DATA!L:L,""))</f>
        <v/>
      </c>
      <c r="X980" s="78" t="str">
        <f t="array" ref="X980">IF(F980="","",_xlfn.XLOOKUP(F980,DATA!B:B,DATA!L:L,""))</f>
        <v/>
      </c>
    </row>
    <row r="981">
      <c r="A981" s="81"/>
      <c r="B981" s="79"/>
      <c r="C981" s="90"/>
      <c r="D981" s="82"/>
      <c r="E981" s="89"/>
      <c r="F981" s="83"/>
      <c r="G981" s="78"/>
      <c r="H981" s="64" t="str">
        <f t="array" ref="H981">_xlfn.XLOOKUP(G981,DATA!D:D,DATA!E:E,"")</f>
        <v/>
      </c>
      <c r="I981" s="84"/>
      <c r="J981" s="23"/>
      <c r="K981" s="23"/>
      <c r="L981" s="66" t="str">
        <f t="shared" si="1"/>
        <v/>
      </c>
      <c r="M981" s="77"/>
      <c r="N981" s="78"/>
      <c r="O981" s="66" t="str">
        <f>IF(M981="","",
 IF(M981="عدم پاسخ","بدون پاسخ",
 IF(L981="","اطلاعات ناقص",
 IF(L981&lt;=DATA!$M$1,"رعایت شده","رعایت نشده"))))</f>
        <v/>
      </c>
      <c r="P981" s="79"/>
      <c r="Q981" s="77"/>
      <c r="R981" s="79"/>
      <c r="S981" s="79"/>
      <c r="T981" s="78"/>
      <c r="U981" s="80"/>
      <c r="V981" s="78"/>
      <c r="W981" s="77" t="str">
        <f t="array" ref="W981">IF(D981="","",_xlfn.XLOOKUP(D981,DATA!B:B,DATA!L:L,""))</f>
        <v/>
      </c>
      <c r="X981" s="78" t="str">
        <f t="array" ref="X981">IF(F981="","",_xlfn.XLOOKUP(F981,DATA!B:B,DATA!L:L,""))</f>
        <v/>
      </c>
    </row>
    <row r="982">
      <c r="A982" s="81"/>
      <c r="B982" s="79"/>
      <c r="C982" s="90"/>
      <c r="D982" s="82"/>
      <c r="E982" s="89"/>
      <c r="F982" s="83"/>
      <c r="G982" s="78"/>
      <c r="H982" s="64" t="str">
        <f t="array" ref="H982">_xlfn.XLOOKUP(G982,DATA!D:D,DATA!E:E,"")</f>
        <v/>
      </c>
      <c r="I982" s="84"/>
      <c r="J982" s="23"/>
      <c r="K982" s="23"/>
      <c r="L982" s="66" t="str">
        <f t="shared" si="1"/>
        <v/>
      </c>
      <c r="M982" s="77"/>
      <c r="N982" s="78"/>
      <c r="O982" s="66" t="str">
        <f>IF(M982="","",
 IF(M982="عدم پاسخ","بدون پاسخ",
 IF(L982="","اطلاعات ناقص",
 IF(L982&lt;=DATA!$M$1,"رعایت شده","رعایت نشده"))))</f>
        <v/>
      </c>
      <c r="P982" s="79"/>
      <c r="Q982" s="77"/>
      <c r="R982" s="79"/>
      <c r="S982" s="79"/>
      <c r="T982" s="78"/>
      <c r="U982" s="80"/>
      <c r="V982" s="78"/>
      <c r="W982" s="77" t="str">
        <f t="array" ref="W982">IF(D982="","",_xlfn.XLOOKUP(D982,DATA!B:B,DATA!L:L,""))</f>
        <v/>
      </c>
      <c r="X982" s="78" t="str">
        <f t="array" ref="X982">IF(F982="","",_xlfn.XLOOKUP(F982,DATA!B:B,DATA!L:L,""))</f>
        <v/>
      </c>
    </row>
    <row r="983">
      <c r="A983" s="81"/>
      <c r="B983" s="79"/>
      <c r="C983" s="90"/>
      <c r="D983" s="82"/>
      <c r="E983" s="89"/>
      <c r="F983" s="83"/>
      <c r="G983" s="78"/>
      <c r="H983" s="64" t="str">
        <f t="array" ref="H983">_xlfn.XLOOKUP(G983,DATA!D:D,DATA!E:E,"")</f>
        <v/>
      </c>
      <c r="I983" s="84"/>
      <c r="J983" s="23"/>
      <c r="K983" s="23"/>
      <c r="L983" s="66" t="str">
        <f t="shared" si="1"/>
        <v/>
      </c>
      <c r="M983" s="77"/>
      <c r="N983" s="78"/>
      <c r="O983" s="66" t="str">
        <f>IF(M983="","",
 IF(M983="عدم پاسخ","بدون پاسخ",
 IF(L983="","اطلاعات ناقص",
 IF(L983&lt;=DATA!$M$1,"رعایت شده","رعایت نشده"))))</f>
        <v/>
      </c>
      <c r="P983" s="79"/>
      <c r="Q983" s="77"/>
      <c r="R983" s="79"/>
      <c r="S983" s="79"/>
      <c r="T983" s="78"/>
      <c r="U983" s="80"/>
      <c r="V983" s="78"/>
      <c r="W983" s="77" t="str">
        <f t="array" ref="W983">IF(D983="","",_xlfn.XLOOKUP(D983,DATA!B:B,DATA!L:L,""))</f>
        <v/>
      </c>
      <c r="X983" s="78" t="str">
        <f t="array" ref="X983">IF(F983="","",_xlfn.XLOOKUP(F983,DATA!B:B,DATA!L:L,""))</f>
        <v/>
      </c>
    </row>
    <row r="984">
      <c r="A984" s="81"/>
      <c r="B984" s="79"/>
      <c r="C984" s="90"/>
      <c r="D984" s="82"/>
      <c r="E984" s="89"/>
      <c r="F984" s="83"/>
      <c r="G984" s="78"/>
      <c r="H984" s="64" t="str">
        <f t="array" ref="H984">_xlfn.XLOOKUP(G984,DATA!D:D,DATA!E:E,"")</f>
        <v/>
      </c>
      <c r="I984" s="84"/>
      <c r="J984" s="23"/>
      <c r="K984" s="23"/>
      <c r="L984" s="66" t="str">
        <f t="shared" si="1"/>
        <v/>
      </c>
      <c r="M984" s="77"/>
      <c r="N984" s="78"/>
      <c r="O984" s="66" t="str">
        <f>IF(M984="","",
 IF(M984="عدم پاسخ","بدون پاسخ",
 IF(L984="","اطلاعات ناقص",
 IF(L984&lt;=DATA!$M$1,"رعایت شده","رعایت نشده"))))</f>
        <v/>
      </c>
      <c r="P984" s="79"/>
      <c r="Q984" s="77"/>
      <c r="R984" s="79"/>
      <c r="S984" s="79"/>
      <c r="T984" s="78"/>
      <c r="U984" s="80"/>
      <c r="V984" s="78"/>
      <c r="W984" s="77" t="str">
        <f t="array" ref="W984">IF(D984="","",_xlfn.XLOOKUP(D984,DATA!B:B,DATA!L:L,""))</f>
        <v/>
      </c>
      <c r="X984" s="78" t="str">
        <f t="array" ref="X984">IF(F984="","",_xlfn.XLOOKUP(F984,DATA!B:B,DATA!L:L,""))</f>
        <v/>
      </c>
    </row>
    <row r="985">
      <c r="A985" s="81"/>
      <c r="B985" s="79"/>
      <c r="C985" s="90"/>
      <c r="D985" s="82"/>
      <c r="E985" s="89"/>
      <c r="F985" s="83"/>
      <c r="G985" s="78"/>
      <c r="H985" s="64" t="str">
        <f t="array" ref="H985">_xlfn.XLOOKUP(G985,DATA!D:D,DATA!E:E,"")</f>
        <v/>
      </c>
      <c r="I985" s="84"/>
      <c r="J985" s="23"/>
      <c r="K985" s="23"/>
      <c r="L985" s="66" t="str">
        <f t="shared" si="1"/>
        <v/>
      </c>
      <c r="M985" s="77"/>
      <c r="N985" s="78"/>
      <c r="O985" s="66" t="str">
        <f>IF(M985="","",
 IF(M985="عدم پاسخ","بدون پاسخ",
 IF(L985="","اطلاعات ناقص",
 IF(L985&lt;=DATA!$M$1,"رعایت شده","رعایت نشده"))))</f>
        <v/>
      </c>
      <c r="P985" s="79"/>
      <c r="Q985" s="77"/>
      <c r="R985" s="79"/>
      <c r="S985" s="79"/>
      <c r="T985" s="78"/>
      <c r="U985" s="80"/>
      <c r="V985" s="78"/>
      <c r="W985" s="77" t="str">
        <f t="array" ref="W985">IF(D985="","",_xlfn.XLOOKUP(D985,DATA!B:B,DATA!L:L,""))</f>
        <v/>
      </c>
      <c r="X985" s="78" t="str">
        <f t="array" ref="X985">IF(F985="","",_xlfn.XLOOKUP(F985,DATA!B:B,DATA!L:L,""))</f>
        <v/>
      </c>
    </row>
    <row r="986">
      <c r="A986" s="81"/>
      <c r="B986" s="79"/>
      <c r="C986" s="90"/>
      <c r="D986" s="82"/>
      <c r="E986" s="89"/>
      <c r="F986" s="83"/>
      <c r="G986" s="78"/>
      <c r="H986" s="64" t="str">
        <f t="array" ref="H986">_xlfn.XLOOKUP(G986,DATA!D:D,DATA!E:E,"")</f>
        <v/>
      </c>
      <c r="I986" s="84"/>
      <c r="J986" s="23"/>
      <c r="K986" s="23"/>
      <c r="L986" s="66" t="str">
        <f t="shared" si="1"/>
        <v/>
      </c>
      <c r="M986" s="77"/>
      <c r="N986" s="78"/>
      <c r="O986" s="66" t="str">
        <f>IF(M986="","",
 IF(M986="عدم پاسخ","بدون پاسخ",
 IF(L986="","اطلاعات ناقص",
 IF(L986&lt;=DATA!$M$1,"رعایت شده","رعایت نشده"))))</f>
        <v/>
      </c>
      <c r="P986" s="79"/>
      <c r="Q986" s="77"/>
      <c r="R986" s="79"/>
      <c r="S986" s="79"/>
      <c r="T986" s="78"/>
      <c r="U986" s="80"/>
      <c r="V986" s="78"/>
      <c r="W986" s="77" t="str">
        <f t="array" ref="W986">IF(D986="","",_xlfn.XLOOKUP(D986,DATA!B:B,DATA!L:L,""))</f>
        <v/>
      </c>
      <c r="X986" s="78" t="str">
        <f t="array" ref="X986">IF(F986="","",_xlfn.XLOOKUP(F986,DATA!B:B,DATA!L:L,""))</f>
        <v/>
      </c>
    </row>
    <row r="987">
      <c r="A987" s="81"/>
      <c r="B987" s="79"/>
      <c r="C987" s="90"/>
      <c r="D987" s="82"/>
      <c r="E987" s="89"/>
      <c r="F987" s="83"/>
      <c r="G987" s="78"/>
      <c r="H987" s="64" t="str">
        <f t="array" ref="H987">_xlfn.XLOOKUP(G987,DATA!D:D,DATA!E:E,"")</f>
        <v/>
      </c>
      <c r="I987" s="84"/>
      <c r="J987" s="23"/>
      <c r="K987" s="23"/>
      <c r="L987" s="66" t="str">
        <f t="shared" si="1"/>
        <v/>
      </c>
      <c r="M987" s="77"/>
      <c r="N987" s="78"/>
      <c r="O987" s="66" t="str">
        <f>IF(M987="","",
 IF(M987="عدم پاسخ","بدون پاسخ",
 IF(L987="","اطلاعات ناقص",
 IF(L987&lt;=DATA!$M$1,"رعایت شده","رعایت نشده"))))</f>
        <v/>
      </c>
      <c r="P987" s="79"/>
      <c r="Q987" s="77"/>
      <c r="R987" s="79"/>
      <c r="S987" s="79"/>
      <c r="T987" s="78"/>
      <c r="U987" s="80"/>
      <c r="V987" s="78"/>
      <c r="W987" s="77" t="str">
        <f t="array" ref="W987">IF(D987="","",_xlfn.XLOOKUP(D987,DATA!B:B,DATA!L:L,""))</f>
        <v/>
      </c>
      <c r="X987" s="78" t="str">
        <f t="array" ref="X987">IF(F987="","",_xlfn.XLOOKUP(F987,DATA!B:B,DATA!L:L,""))</f>
        <v/>
      </c>
    </row>
    <row r="988">
      <c r="A988" s="81"/>
      <c r="B988" s="79"/>
      <c r="C988" s="90"/>
      <c r="D988" s="82"/>
      <c r="E988" s="89"/>
      <c r="F988" s="83"/>
      <c r="G988" s="78"/>
      <c r="H988" s="64" t="str">
        <f t="array" ref="H988">_xlfn.XLOOKUP(G988,DATA!D:D,DATA!E:E,"")</f>
        <v/>
      </c>
      <c r="I988" s="84"/>
      <c r="J988" s="23"/>
      <c r="K988" s="23"/>
      <c r="L988" s="66" t="str">
        <f t="shared" si="1"/>
        <v/>
      </c>
      <c r="M988" s="77"/>
      <c r="N988" s="78"/>
      <c r="O988" s="66" t="str">
        <f>IF(M988="","",
 IF(M988="عدم پاسخ","بدون پاسخ",
 IF(L988="","اطلاعات ناقص",
 IF(L988&lt;=DATA!$M$1,"رعایت شده","رعایت نشده"))))</f>
        <v/>
      </c>
      <c r="P988" s="79"/>
      <c r="Q988" s="77"/>
      <c r="R988" s="79"/>
      <c r="S988" s="79"/>
      <c r="T988" s="78"/>
      <c r="U988" s="80"/>
      <c r="V988" s="78"/>
      <c r="W988" s="77" t="str">
        <f t="array" ref="W988">IF(D988="","",_xlfn.XLOOKUP(D988,DATA!B:B,DATA!L:L,""))</f>
        <v/>
      </c>
      <c r="X988" s="78" t="str">
        <f t="array" ref="X988">IF(F988="","",_xlfn.XLOOKUP(F988,DATA!B:B,DATA!L:L,""))</f>
        <v/>
      </c>
    </row>
    <row r="989">
      <c r="A989" s="81"/>
      <c r="B989" s="79"/>
      <c r="C989" s="90"/>
      <c r="D989" s="82"/>
      <c r="E989" s="89"/>
      <c r="F989" s="83"/>
      <c r="G989" s="78"/>
      <c r="H989" s="64" t="str">
        <f t="array" ref="H989">_xlfn.XLOOKUP(G989,DATA!D:D,DATA!E:E,"")</f>
        <v/>
      </c>
      <c r="I989" s="84"/>
      <c r="J989" s="23"/>
      <c r="K989" s="23"/>
      <c r="L989" s="66" t="str">
        <f t="shared" si="1"/>
        <v/>
      </c>
      <c r="M989" s="77"/>
      <c r="N989" s="78"/>
      <c r="O989" s="66" t="str">
        <f>IF(M989="","",
 IF(M989="عدم پاسخ","بدون پاسخ",
 IF(L989="","اطلاعات ناقص",
 IF(L989&lt;=DATA!$M$1,"رعایت شده","رعایت نشده"))))</f>
        <v/>
      </c>
      <c r="P989" s="79"/>
      <c r="Q989" s="77"/>
      <c r="R989" s="79"/>
      <c r="S989" s="79"/>
      <c r="T989" s="78"/>
      <c r="U989" s="80"/>
      <c r="V989" s="78"/>
      <c r="W989" s="77" t="str">
        <f t="array" ref="W989">IF(D989="","",_xlfn.XLOOKUP(D989,DATA!B:B,DATA!L:L,""))</f>
        <v/>
      </c>
      <c r="X989" s="78" t="str">
        <f t="array" ref="X989">IF(F989="","",_xlfn.XLOOKUP(F989,DATA!B:B,DATA!L:L,""))</f>
        <v/>
      </c>
    </row>
    <row r="990">
      <c r="A990" s="81"/>
      <c r="B990" s="79"/>
      <c r="C990" s="90"/>
      <c r="D990" s="82"/>
      <c r="E990" s="89"/>
      <c r="F990" s="83"/>
      <c r="G990" s="78"/>
      <c r="H990" s="64" t="str">
        <f t="array" ref="H990">_xlfn.XLOOKUP(G990,DATA!D:D,DATA!E:E,"")</f>
        <v/>
      </c>
      <c r="I990" s="84"/>
      <c r="J990" s="23"/>
      <c r="K990" s="23"/>
      <c r="L990" s="66" t="str">
        <f t="shared" si="1"/>
        <v/>
      </c>
      <c r="M990" s="77"/>
      <c r="N990" s="78"/>
      <c r="O990" s="66" t="str">
        <f>IF(M990="","",
 IF(M990="عدم پاسخ","بدون پاسخ",
 IF(L990="","اطلاعات ناقص",
 IF(L990&lt;=DATA!$M$1,"رعایت شده","رعایت نشده"))))</f>
        <v/>
      </c>
      <c r="P990" s="79"/>
      <c r="Q990" s="77"/>
      <c r="R990" s="79"/>
      <c r="S990" s="79"/>
      <c r="T990" s="78"/>
      <c r="U990" s="80"/>
      <c r="V990" s="78"/>
      <c r="W990" s="77" t="str">
        <f t="array" ref="W990">IF(D990="","",_xlfn.XLOOKUP(D990,DATA!B:B,DATA!L:L,""))</f>
        <v/>
      </c>
      <c r="X990" s="78" t="str">
        <f t="array" ref="X990">IF(F990="","",_xlfn.XLOOKUP(F990,DATA!B:B,DATA!L:L,""))</f>
        <v/>
      </c>
    </row>
    <row r="991">
      <c r="A991" s="81"/>
      <c r="B991" s="79"/>
      <c r="C991" s="90"/>
      <c r="D991" s="82"/>
      <c r="E991" s="89"/>
      <c r="F991" s="83"/>
      <c r="G991" s="78"/>
      <c r="H991" s="64" t="str">
        <f t="array" ref="H991">_xlfn.XLOOKUP(G991,DATA!D:D,DATA!E:E,"")</f>
        <v/>
      </c>
      <c r="I991" s="84"/>
      <c r="J991" s="23"/>
      <c r="K991" s="23"/>
      <c r="L991" s="66" t="str">
        <f t="shared" si="1"/>
        <v/>
      </c>
      <c r="M991" s="77"/>
      <c r="N991" s="78"/>
      <c r="O991" s="66" t="str">
        <f>IF(M991="","",
 IF(M991="عدم پاسخ","بدون پاسخ",
 IF(L991="","اطلاعات ناقص",
 IF(L991&lt;=DATA!$M$1,"رعایت شده","رعایت نشده"))))</f>
        <v/>
      </c>
      <c r="P991" s="79"/>
      <c r="Q991" s="77"/>
      <c r="R991" s="79"/>
      <c r="S991" s="79"/>
      <c r="T991" s="78"/>
      <c r="U991" s="80"/>
      <c r="V991" s="78"/>
      <c r="W991" s="77" t="str">
        <f t="array" ref="W991">IF(D991="","",_xlfn.XLOOKUP(D991,DATA!B:B,DATA!L:L,""))</f>
        <v/>
      </c>
      <c r="X991" s="78" t="str">
        <f t="array" ref="X991">IF(F991="","",_xlfn.XLOOKUP(F991,DATA!B:B,DATA!L:L,""))</f>
        <v/>
      </c>
    </row>
    <row r="992">
      <c r="A992" s="81"/>
      <c r="B992" s="79"/>
      <c r="C992" s="90"/>
      <c r="D992" s="82"/>
      <c r="E992" s="89"/>
      <c r="F992" s="83"/>
      <c r="G992" s="78"/>
      <c r="H992" s="64" t="str">
        <f t="array" ref="H992">_xlfn.XLOOKUP(G992,DATA!D:D,DATA!E:E,"")</f>
        <v/>
      </c>
      <c r="I992" s="84"/>
      <c r="J992" s="23"/>
      <c r="K992" s="23"/>
      <c r="L992" s="66" t="str">
        <f t="shared" si="1"/>
        <v/>
      </c>
      <c r="M992" s="77"/>
      <c r="N992" s="78"/>
      <c r="O992" s="66" t="str">
        <f>IF(M992="","",
 IF(M992="عدم پاسخ","بدون پاسخ",
 IF(L992="","اطلاعات ناقص",
 IF(L992&lt;=DATA!$M$1,"رعایت شده","رعایت نشده"))))</f>
        <v/>
      </c>
      <c r="P992" s="79"/>
      <c r="Q992" s="77"/>
      <c r="R992" s="79"/>
      <c r="S992" s="79"/>
      <c r="T992" s="78"/>
      <c r="U992" s="80"/>
      <c r="V992" s="78"/>
      <c r="W992" s="77" t="str">
        <f t="array" ref="W992">IF(D992="","",_xlfn.XLOOKUP(D992,DATA!B:B,DATA!L:L,""))</f>
        <v/>
      </c>
      <c r="X992" s="78" t="str">
        <f t="array" ref="X992">IF(F992="","",_xlfn.XLOOKUP(F992,DATA!B:B,DATA!L:L,""))</f>
        <v/>
      </c>
    </row>
    <row r="993">
      <c r="A993" s="81"/>
      <c r="B993" s="79"/>
      <c r="C993" s="90"/>
      <c r="D993" s="82"/>
      <c r="E993" s="89"/>
      <c r="F993" s="83"/>
      <c r="G993" s="78"/>
      <c r="H993" s="64" t="str">
        <f t="array" ref="H993">_xlfn.XLOOKUP(G993,DATA!D:D,DATA!E:E,"")</f>
        <v/>
      </c>
      <c r="I993" s="84"/>
      <c r="J993" s="23"/>
      <c r="K993" s="23"/>
      <c r="L993" s="66" t="str">
        <f t="shared" si="1"/>
        <v/>
      </c>
      <c r="M993" s="77"/>
      <c r="N993" s="78"/>
      <c r="O993" s="66" t="str">
        <f>IF(M993="","",
 IF(M993="عدم پاسخ","بدون پاسخ",
 IF(L993="","اطلاعات ناقص",
 IF(L993&lt;=DATA!$M$1,"رعایت شده","رعایت نشده"))))</f>
        <v/>
      </c>
      <c r="P993" s="79"/>
      <c r="Q993" s="77"/>
      <c r="R993" s="79"/>
      <c r="S993" s="79"/>
      <c r="T993" s="78"/>
      <c r="U993" s="80"/>
      <c r="V993" s="78"/>
      <c r="W993" s="77" t="str">
        <f t="array" ref="W993">IF(D993="","",_xlfn.XLOOKUP(D993,DATA!B:B,DATA!L:L,""))</f>
        <v/>
      </c>
      <c r="X993" s="78" t="str">
        <f t="array" ref="X993">IF(F993="","",_xlfn.XLOOKUP(F993,DATA!B:B,DATA!L:L,""))</f>
        <v/>
      </c>
    </row>
    <row r="994">
      <c r="A994" s="81"/>
      <c r="B994" s="79"/>
      <c r="C994" s="90"/>
      <c r="D994" s="82"/>
      <c r="E994" s="89"/>
      <c r="F994" s="83"/>
      <c r="G994" s="78"/>
      <c r="H994" s="64" t="str">
        <f t="array" ref="H994">_xlfn.XLOOKUP(G994,DATA!D:D,DATA!E:E,"")</f>
        <v/>
      </c>
      <c r="I994" s="84"/>
      <c r="J994" s="23"/>
      <c r="K994" s="23"/>
      <c r="L994" s="66" t="str">
        <f t="shared" si="1"/>
        <v/>
      </c>
      <c r="M994" s="77"/>
      <c r="N994" s="78"/>
      <c r="O994" s="66" t="str">
        <f>IF(M994="","",
 IF(M994="عدم پاسخ","بدون پاسخ",
 IF(L994="","اطلاعات ناقص",
 IF(L994&lt;=DATA!$M$1,"رعایت شده","رعایت نشده"))))</f>
        <v/>
      </c>
      <c r="P994" s="79"/>
      <c r="Q994" s="77"/>
      <c r="R994" s="79"/>
      <c r="S994" s="79"/>
      <c r="T994" s="78"/>
      <c r="U994" s="80"/>
      <c r="V994" s="78"/>
      <c r="W994" s="77" t="str">
        <f t="array" ref="W994">IF(D994="","",_xlfn.XLOOKUP(D994,DATA!B:B,DATA!L:L,""))</f>
        <v/>
      </c>
      <c r="X994" s="78" t="str">
        <f t="array" ref="X994">IF(F994="","",_xlfn.XLOOKUP(F994,DATA!B:B,DATA!L:L,""))</f>
        <v/>
      </c>
    </row>
    <row r="995">
      <c r="A995" s="81"/>
      <c r="B995" s="79"/>
      <c r="C995" s="90"/>
      <c r="D995" s="82"/>
      <c r="E995" s="89"/>
      <c r="F995" s="83"/>
      <c r="G995" s="78"/>
      <c r="H995" s="64" t="str">
        <f t="array" ref="H995">_xlfn.XLOOKUP(G995,DATA!D:D,DATA!E:E,"")</f>
        <v/>
      </c>
      <c r="I995" s="84"/>
      <c r="J995" s="23"/>
      <c r="K995" s="23"/>
      <c r="L995" s="66" t="str">
        <f t="shared" si="1"/>
        <v/>
      </c>
      <c r="M995" s="77"/>
      <c r="N995" s="78"/>
      <c r="O995" s="66" t="str">
        <f>IF(M995="","",
 IF(M995="عدم پاسخ","بدون پاسخ",
 IF(L995="","اطلاعات ناقص",
 IF(L995&lt;=DATA!$M$1,"رعایت شده","رعایت نشده"))))</f>
        <v/>
      </c>
      <c r="P995" s="79"/>
      <c r="Q995" s="77"/>
      <c r="R995" s="79"/>
      <c r="S995" s="79"/>
      <c r="T995" s="78"/>
      <c r="U995" s="80"/>
      <c r="V995" s="78"/>
      <c r="W995" s="77" t="str">
        <f t="array" ref="W995">IF(D995="","",_xlfn.XLOOKUP(D995,DATA!B:B,DATA!L:L,""))</f>
        <v/>
      </c>
      <c r="X995" s="78" t="str">
        <f t="array" ref="X995">IF(F995="","",_xlfn.XLOOKUP(F995,DATA!B:B,DATA!L:L,""))</f>
        <v/>
      </c>
    </row>
    <row r="996">
      <c r="A996" s="81"/>
      <c r="B996" s="79"/>
      <c r="C996" s="90"/>
      <c r="D996" s="82"/>
      <c r="E996" s="89"/>
      <c r="F996" s="83"/>
      <c r="G996" s="78"/>
      <c r="H996" s="64" t="str">
        <f t="array" ref="H996">_xlfn.XLOOKUP(G996,DATA!D:D,DATA!E:E,"")</f>
        <v/>
      </c>
      <c r="I996" s="84"/>
      <c r="J996" s="23"/>
      <c r="K996" s="23"/>
      <c r="L996" s="66" t="str">
        <f t="shared" si="1"/>
        <v/>
      </c>
      <c r="M996" s="77"/>
      <c r="N996" s="78"/>
      <c r="O996" s="66" t="str">
        <f>IF(M996="","",
 IF(M996="عدم پاسخ","بدون پاسخ",
 IF(L996="","اطلاعات ناقص",
 IF(L996&lt;=DATA!$M$1,"رعایت شده","رعایت نشده"))))</f>
        <v/>
      </c>
      <c r="P996" s="79"/>
      <c r="Q996" s="77"/>
      <c r="R996" s="79"/>
      <c r="S996" s="79"/>
      <c r="T996" s="78"/>
      <c r="U996" s="80"/>
      <c r="V996" s="78"/>
      <c r="W996" s="77" t="str">
        <f t="array" ref="W996">IF(D996="","",_xlfn.XLOOKUP(D996,DATA!B:B,DATA!L:L,""))</f>
        <v/>
      </c>
      <c r="X996" s="78" t="str">
        <f t="array" ref="X996">IF(F996="","",_xlfn.XLOOKUP(F996,DATA!B:B,DATA!L:L,""))</f>
        <v/>
      </c>
    </row>
    <row r="997">
      <c r="A997" s="81"/>
      <c r="B997" s="79"/>
      <c r="C997" s="90"/>
      <c r="D997" s="82"/>
      <c r="E997" s="89"/>
      <c r="F997" s="83"/>
      <c r="G997" s="78"/>
      <c r="H997" s="64" t="str">
        <f t="array" ref="H997">_xlfn.XLOOKUP(G997,DATA!D:D,DATA!E:E,"")</f>
        <v/>
      </c>
      <c r="I997" s="84"/>
      <c r="J997" s="23"/>
      <c r="K997" s="23"/>
      <c r="L997" s="66" t="str">
        <f t="shared" si="1"/>
        <v/>
      </c>
      <c r="M997" s="77"/>
      <c r="N997" s="78"/>
      <c r="O997" s="66" t="str">
        <f>IF(M997="","",
 IF(M997="عدم پاسخ","بدون پاسخ",
 IF(L997="","اطلاعات ناقص",
 IF(L997&lt;=DATA!$M$1,"رعایت شده","رعایت نشده"))))</f>
        <v/>
      </c>
      <c r="P997" s="79"/>
      <c r="Q997" s="77"/>
      <c r="R997" s="79"/>
      <c r="S997" s="79"/>
      <c r="T997" s="78"/>
      <c r="U997" s="80"/>
      <c r="V997" s="78"/>
      <c r="W997" s="77" t="str">
        <f t="array" ref="W997">IF(D997="","",_xlfn.XLOOKUP(D997,DATA!B:B,DATA!L:L,""))</f>
        <v/>
      </c>
      <c r="X997" s="78" t="str">
        <f t="array" ref="X997">IF(F997="","",_xlfn.XLOOKUP(F997,DATA!B:B,DATA!L:L,""))</f>
        <v/>
      </c>
    </row>
    <row r="998">
      <c r="A998" s="81"/>
      <c r="B998" s="79"/>
      <c r="C998" s="90"/>
      <c r="D998" s="82"/>
      <c r="E998" s="89"/>
      <c r="F998" s="83"/>
      <c r="G998" s="78"/>
      <c r="H998" s="64" t="str">
        <f t="array" ref="H998">_xlfn.XLOOKUP(G998,DATA!D:D,DATA!E:E,"")</f>
        <v/>
      </c>
      <c r="I998" s="84"/>
      <c r="J998" s="23"/>
      <c r="K998" s="23"/>
      <c r="L998" s="66" t="str">
        <f t="shared" si="1"/>
        <v/>
      </c>
      <c r="M998" s="77"/>
      <c r="N998" s="78"/>
      <c r="O998" s="66" t="str">
        <f>IF(M998="","",
 IF(M998="عدم پاسخ","بدون پاسخ",
 IF(L998="","اطلاعات ناقص",
 IF(L998&lt;=DATA!$M$1,"رعایت شده","رعایت نشده"))))</f>
        <v/>
      </c>
      <c r="P998" s="79"/>
      <c r="Q998" s="77"/>
      <c r="R998" s="79"/>
      <c r="S998" s="79"/>
      <c r="T998" s="78"/>
      <c r="U998" s="80"/>
      <c r="V998" s="78"/>
      <c r="W998" s="77" t="str">
        <f t="array" ref="W998">IF(D998="","",_xlfn.XLOOKUP(D998,DATA!B:B,DATA!L:L,""))</f>
        <v/>
      </c>
      <c r="X998" s="78" t="str">
        <f t="array" ref="X998">IF(F998="","",_xlfn.XLOOKUP(F998,DATA!B:B,DATA!L:L,""))</f>
        <v/>
      </c>
    </row>
    <row r="999">
      <c r="A999" s="81"/>
      <c r="B999" s="79"/>
      <c r="C999" s="90"/>
      <c r="D999" s="82"/>
      <c r="E999" s="89"/>
      <c r="F999" s="83"/>
      <c r="G999" s="78"/>
      <c r="H999" s="64" t="str">
        <f t="array" ref="H999">_xlfn.XLOOKUP(G999,DATA!D:D,DATA!E:E,"")</f>
        <v/>
      </c>
      <c r="I999" s="84"/>
      <c r="J999" s="23"/>
      <c r="K999" s="23"/>
      <c r="L999" s="66" t="str">
        <f t="shared" si="1"/>
        <v/>
      </c>
      <c r="M999" s="77"/>
      <c r="N999" s="78"/>
      <c r="O999" s="66" t="str">
        <f>IF(M999="","",
 IF(M999="عدم پاسخ","بدون پاسخ",
 IF(L999="","اطلاعات ناقص",
 IF(L999&lt;=DATA!$M$1,"رعایت شده","رعایت نشده"))))</f>
        <v/>
      </c>
      <c r="P999" s="79"/>
      <c r="Q999" s="77"/>
      <c r="R999" s="79"/>
      <c r="S999" s="79"/>
      <c r="T999" s="78"/>
      <c r="U999" s="80"/>
      <c r="V999" s="78"/>
      <c r="W999" s="77" t="str">
        <f t="array" ref="W999">IF(D999="","",_xlfn.XLOOKUP(D999,DATA!B:B,DATA!L:L,""))</f>
        <v/>
      </c>
      <c r="X999" s="78" t="str">
        <f t="array" ref="X999">IF(F999="","",_xlfn.XLOOKUP(F999,DATA!B:B,DATA!L:L,""))</f>
        <v/>
      </c>
    </row>
    <row r="1000">
      <c r="A1000" s="81"/>
      <c r="B1000" s="79"/>
      <c r="C1000" s="90"/>
      <c r="D1000" s="82"/>
      <c r="E1000" s="89"/>
      <c r="F1000" s="83"/>
      <c r="G1000" s="78"/>
      <c r="H1000" s="64" t="str">
        <f t="array" ref="H1000">_xlfn.XLOOKUP(G1000,DATA!D:D,DATA!E:E,"")</f>
        <v/>
      </c>
      <c r="I1000" s="84"/>
      <c r="J1000" s="23"/>
      <c r="K1000" s="23"/>
      <c r="L1000" s="66" t="str">
        <f t="shared" si="1"/>
        <v/>
      </c>
      <c r="M1000" s="77"/>
      <c r="N1000" s="78"/>
      <c r="O1000" s="66" t="str">
        <f>IF(M1000="","",
 IF(M1000="عدم پاسخ","بدون پاسخ",
 IF(L1000="","اطلاعات ناقص",
 IF(L1000&lt;=DATA!$M$1,"رعایت شده","رعایت نشده"))))</f>
        <v/>
      </c>
      <c r="P1000" s="79"/>
      <c r="Q1000" s="77"/>
      <c r="R1000" s="79"/>
      <c r="S1000" s="79"/>
      <c r="T1000" s="78"/>
      <c r="U1000" s="80"/>
      <c r="V1000" s="78"/>
      <c r="W1000" s="77" t="str">
        <f t="array" ref="W1000">IF(D1000="","",_xlfn.XLOOKUP(D1000,DATA!B:B,DATA!L:L,""))</f>
        <v/>
      </c>
      <c r="X1000" s="78" t="str">
        <f t="array" ref="X1000">IF(F1000="","",_xlfn.XLOOKUP(F1000,DATA!B:B,DATA!L:L,""))</f>
        <v/>
      </c>
    </row>
    <row r="1001">
      <c r="A1001" s="91"/>
      <c r="B1001" s="92"/>
      <c r="C1001" s="93"/>
      <c r="D1001" s="94"/>
      <c r="E1001" s="95"/>
      <c r="F1001" s="96"/>
      <c r="G1001" s="97"/>
      <c r="H1001" s="64" t="str">
        <f t="array" ref="H1001">_xlfn.XLOOKUP(G1001,DATA!D:D,DATA!E:E,"")</f>
        <v/>
      </c>
      <c r="I1001" s="98"/>
      <c r="J1001" s="23"/>
      <c r="K1001" s="23"/>
      <c r="L1001" s="66" t="str">
        <f t="shared" si="1"/>
        <v/>
      </c>
      <c r="M1001" s="99"/>
      <c r="N1001" s="97"/>
      <c r="O1001" s="66" t="str">
        <f>IF(M1001="","",
 IF(M1001="عدم پاسخ","بدون پاسخ",
 IF(L1001="","اطلاعات ناقص",
 IF(L1001&lt;=DATA!$M$1,"رعایت شده","رعایت نشده"))))</f>
        <v/>
      </c>
      <c r="P1001" s="92"/>
      <c r="Q1001" s="99"/>
      <c r="R1001" s="92"/>
      <c r="S1001" s="92"/>
      <c r="T1001" s="97"/>
      <c r="U1001" s="100"/>
      <c r="V1001" s="97"/>
      <c r="W1001" s="99" t="str">
        <f t="array" ref="W1001">IF(D1001="","",_xlfn.XLOOKUP(D1001,DATA!B:B,DATA!L:L,""))</f>
        <v/>
      </c>
      <c r="X1001" s="97" t="str">
        <f t="array" ref="X1001">IF(F1001="","",_xlfn.XLOOKUP(F1001,DATA!B:B,DATA!L:L,""))</f>
        <v/>
      </c>
    </row>
  </sheetData>
  <mergeCells count="2">
    <mergeCell ref="C2:D2"/>
    <mergeCell ref="E2:F2"/>
  </mergeCells>
  <dataValidations>
    <dataValidation type="list" allowBlank="1" showErrorMessage="1" sqref="I3:I1001">
      <formula1>DATA!$H:$H</formula1>
    </dataValidation>
    <dataValidation type="list" allowBlank="1" showErrorMessage="1" sqref="N3:N1001">
      <formula1>DATA!$J:$J</formula1>
    </dataValidation>
    <dataValidation type="list" allowBlank="1" showErrorMessage="1" sqref="A3:A1001 D3:D1001 F3:F1001">
      <formula1>DATA!$B:$B</formula1>
    </dataValidation>
    <dataValidation type="list" allowBlank="1" showErrorMessage="1" sqref="G3:G1001">
      <formula1>DATA!$D:$D</formula1>
    </dataValidation>
    <dataValidation type="list" allowBlank="1" showErrorMessage="1" sqref="Q3:T1001">
      <formula1>DATA!$F:$F</formula1>
    </dataValidation>
    <dataValidation type="list" allowBlank="1" showErrorMessage="1" sqref="P3:P1001">
      <formula1>DATA!$K:$K</formula1>
    </dataValidation>
    <dataValidation type="list" allowBlank="1" showErrorMessage="1" sqref="M3:M1001">
      <formula1>DATA!$I:$I</formula1>
    </dataValidation>
    <dataValidation type="list" allowBlank="1" showErrorMessage="1" sqref="B3:B1001">
      <formula1>DATA!$G:$G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>
      <c r="A2" s="10"/>
      <c r="B2" s="10" t="str">
        <f t="array" ref="B2">_xlfn.XLOOKUP(A2,DATA!D:D,DATA!E:E,"")</f>
        <v/>
      </c>
      <c r="C2" s="10" t="str">
        <f>IF($A2="","",COUNTIFS(Evaluations!$G$3:$G$10000,$A2,Evaluations!$U$3:$U$10000,"&gt;=0",Evaluations!$U$3:$U$10000,"&lt;=100"))</f>
        <v/>
      </c>
      <c r="D2" s="10" t="str">
        <f>IF(OR($A2="",C2=0),"",ROUND(SUMIFS(Evaluations!$U$3:$U$10000,Evaluations!$G$3:$G$10000,$A2)/C2,2))</f>
        <v/>
      </c>
      <c r="E2" s="10" t="str">
        <f>IF($A2="","",COUNTIFS(Evaluations!$G$3:$G$10000,$A2,Evaluations!$M$3:$M$10000,"پاسخ داده شده"))</f>
        <v/>
      </c>
      <c r="F2" s="10" t="str">
        <f>IF($A2="","",IFERROR(COUNTIFS(Evaluations!$G$3:$G$10000,$A2,Evaluations!$O$3:$O$10000,"رعایت شده")/(COUNTIFS(Evaluations!$G$3:$G$10000,$A2,Evaluations!$O$3:$O$10000,"رعایت شده")+COUNTIFS(Evaluations!$G$3:$G$10000,$A2,Evaluations!$O$3:$O$10000,"رعایت نشده")),""))</f>
        <v/>
      </c>
      <c r="G2" s="10" t="str">
        <f>IF($A2="","",IFERROR(ROUND(100*COUNTIFS(Evaluations!$G$3:$G$10000,$A2,Evaluations!$Q$3:$Q$10000,1)/(COUNTIFS(Evaluations!$G$3:$G$10000,$A2,Evaluations!$Q$3:$Q$10000,1)+COUNTIFS(Evaluations!$G$3:$G$10000,$A2,Evaluations!$Q$3:$Q$10000,0)),2),""))</f>
        <v/>
      </c>
      <c r="H2" s="10" t="str">
        <f>IF($A2="","",IFERROR(ROUND(100*COUNTIFS(Evaluations!$G$3:$G$10000,$A2,Evaluations!$R$3:$R$10000,1)/(COUNTIFS(Evaluations!$G$3:$G$10000,$A2,Evaluations!$R$3:$R$10000,1)+COUNTIFS(Evaluations!$G$3:$G$10000,$A2,Evaluations!$R$3:$R$10000,0)),2),""))</f>
        <v/>
      </c>
      <c r="I2" s="10" t="str">
        <f>IF($A2="","",IFERROR(ROUND(100*COUNTIFS(Evaluations!$G$3:$G$10000,$A2,Evaluations!$S$3:$S$10000,1)/(COUNTIFS(Evaluations!$G$3:$G$10000,$A2,Evaluations!$S$3:$S$10000,1)+COUNTIFS(Evaluations!$G$3:$G$10000,$A2,Evaluations!$S$3:$S$10000,0)),2),""))</f>
        <v/>
      </c>
      <c r="J2" s="10" t="str">
        <f>IF($A2="","",IFERROR(ROUND(100*COUNTIFS(Evaluations!$G$3:$G$10000,$A2,Evaluations!$T$3:$T$10000,1)/(COUNTIFS(Evaluations!$G$3:$G$10000,$A2,Evaluations!$T$3:$T$10000,1)+COUNTIFS(Evaluations!$G$3:$G$10000,$A2,Evaluations!$T$3:$T$10000,0)),2),""))</f>
        <v/>
      </c>
      <c r="K2" s="10" t="str">
        <f>IF($A2="","",COUNTIFS(Evaluations!$G$3:$G$10000,$A2,Evaluations!$M$3:$M$10000,"عدم پاسخ"))</f>
        <v/>
      </c>
      <c r="L2" s="10" t="str">
        <f>IF($A2="","",COUNTIFS(Evaluations!$G$3:$G$10000,$A2,Evaluations!$O$3:$O$10000,"رعایت نشده"))</f>
        <v/>
      </c>
    </row>
    <row r="3">
      <c r="A3" s="10"/>
      <c r="B3" s="10" t="str">
        <f t="array" ref="B3">_xlfn.XLOOKUP(A3,DATA!D:D,DATA!E:E,"")</f>
        <v/>
      </c>
      <c r="C3" s="10" t="str">
        <f>IF($A3="","",COUNTIFS(Evaluations!$G$3:$G$10000,$A3,Evaluations!$U$3:$U$10000,"&gt;=0",Evaluations!$U$3:$U$10000,"&lt;=100"))</f>
        <v/>
      </c>
      <c r="D3" s="10" t="str">
        <f>IF(OR($A3="",C3=0),"",ROUND(SUMIFS(Evaluations!$U$3:$U$10000,Evaluations!$G$3:$G$10000,$A3)/C3,2))</f>
        <v/>
      </c>
      <c r="E3" s="10" t="str">
        <f>IF($A3="","",COUNTIFS(Evaluations!$G$3:$G$10000,$A3,Evaluations!$M$3:$M$10000,"پاسخ داده شده"))</f>
        <v/>
      </c>
      <c r="F3" s="10" t="str">
        <f>IF($A3="","",IFERROR(COUNTIFS(Evaluations!$G$3:$G$10000,$A3,Evaluations!$O$3:$O$10000,"رعایت شده")/(COUNTIFS(Evaluations!$G$3:$G$10000,$A3,Evaluations!$O$3:$O$10000,"رعایت شده")+COUNTIFS(Evaluations!$G$3:$G$10000,$A3,Evaluations!$O$3:$O$10000,"رعایت نشده")),""))</f>
        <v/>
      </c>
      <c r="G3" s="10" t="str">
        <f>IF($A3="","",IFERROR(ROUND(100*COUNTIFS(Evaluations!$G$3:$G$10000,$A3,Evaluations!$Q$3:$Q$10000,1)/(COUNTIFS(Evaluations!$G$3:$G$10000,$A3,Evaluations!$Q$3:$Q$10000,1)+COUNTIFS(Evaluations!$G$3:$G$10000,$A3,Evaluations!$Q$3:$Q$10000,0)),2),""))</f>
        <v/>
      </c>
      <c r="H3" s="10" t="str">
        <f>IF($A3="","",IFERROR(ROUND(100*COUNTIFS(Evaluations!$G$3:$G$10000,$A3,Evaluations!$R$3:$R$10000,1)/(COUNTIFS(Evaluations!$G$3:$G$10000,$A3,Evaluations!$R$3:$R$10000,1)+COUNTIFS(Evaluations!$G$3:$G$10000,$A3,Evaluations!$R$3:$R$10000,0)),2),""))</f>
        <v/>
      </c>
      <c r="I3" s="10" t="str">
        <f>IF($A3="","",IFERROR(ROUND(100*COUNTIFS(Evaluations!$G$3:$G$10000,$A3,Evaluations!$S$3:$S$10000,1)/(COUNTIFS(Evaluations!$G$3:$G$10000,$A3,Evaluations!$S$3:$S$10000,1)+COUNTIFS(Evaluations!$G$3:$G$10000,$A3,Evaluations!$S$3:$S$10000,0)),2),""))</f>
        <v/>
      </c>
      <c r="J3" s="10" t="str">
        <f>IF($A3="","",IFERROR(ROUND(100*COUNTIFS(Evaluations!$G$3:$G$10000,$A3,Evaluations!$T$3:$T$10000,1)/(COUNTIFS(Evaluations!$G$3:$G$10000,$A3,Evaluations!$T$3:$T$10000,1)+COUNTIFS(Evaluations!$G$3:$G$10000,$A3,Evaluations!$T$3:$T$10000,0)),2),""))</f>
        <v/>
      </c>
      <c r="K3" s="10" t="str">
        <f>IF($A3="","",COUNTIFS(Evaluations!$G$3:$G$10000,$A3,Evaluations!$M$3:$M$10000,"عدم پاسخ"))</f>
        <v/>
      </c>
      <c r="L3" s="10" t="str">
        <f>IF($A3="","",COUNTIFS(Evaluations!$G$3:$G$10000,$A3,Evaluations!$O$3:$O$10000,"رعایت نشده"))</f>
        <v/>
      </c>
    </row>
    <row r="4">
      <c r="A4" s="10"/>
      <c r="B4" s="10" t="str">
        <f t="array" ref="B4">_xlfn.XLOOKUP(A4,DATA!D:D,DATA!E:E,"")</f>
        <v/>
      </c>
      <c r="C4" s="10" t="str">
        <f>IF($A4="","",COUNTIFS(Evaluations!$G$3:$G$10000,$A4,Evaluations!$U$3:$U$10000,"&gt;=0",Evaluations!$U$3:$U$10000,"&lt;=100"))</f>
        <v/>
      </c>
      <c r="D4" s="10" t="str">
        <f>IF(OR($A4="",C4=0),"",ROUND(SUMIFS(Evaluations!$U$3:$U$10000,Evaluations!$G$3:$G$10000,$A4)/C4,2))</f>
        <v/>
      </c>
      <c r="E4" s="10" t="str">
        <f>IF($A4="","",COUNTIFS(Evaluations!$G$3:$G$10000,$A4,Evaluations!$M$3:$M$10000,"پاسخ داده شده"))</f>
        <v/>
      </c>
      <c r="F4" s="10" t="str">
        <f>IF($A4="","",IFERROR(COUNTIFS(Evaluations!$G$3:$G$10000,$A4,Evaluations!$O$3:$O$10000,"رعایت شده")/(COUNTIFS(Evaluations!$G$3:$G$10000,$A4,Evaluations!$O$3:$O$10000,"رعایت شده")+COUNTIFS(Evaluations!$G$3:$G$10000,$A4,Evaluations!$O$3:$O$10000,"رعایت نشده")),""))</f>
        <v/>
      </c>
      <c r="G4" s="10" t="str">
        <f>IF($A4="","",IFERROR(ROUND(100*COUNTIFS(Evaluations!$G$3:$G$10000,$A4,Evaluations!$Q$3:$Q$10000,1)/(COUNTIFS(Evaluations!$G$3:$G$10000,$A4,Evaluations!$Q$3:$Q$10000,1)+COUNTIFS(Evaluations!$G$3:$G$10000,$A4,Evaluations!$Q$3:$Q$10000,0)),2),""))</f>
        <v/>
      </c>
      <c r="H4" s="10" t="str">
        <f>IF($A4="","",IFERROR(ROUND(100*COUNTIFS(Evaluations!$G$3:$G$10000,$A4,Evaluations!$R$3:$R$10000,1)/(COUNTIFS(Evaluations!$G$3:$G$10000,$A4,Evaluations!$R$3:$R$10000,1)+COUNTIFS(Evaluations!$G$3:$G$10000,$A4,Evaluations!$R$3:$R$10000,0)),2),""))</f>
        <v/>
      </c>
      <c r="I4" s="10" t="str">
        <f>IF($A4="","",IFERROR(ROUND(100*COUNTIFS(Evaluations!$G$3:$G$10000,$A4,Evaluations!$S$3:$S$10000,1)/(COUNTIFS(Evaluations!$G$3:$G$10000,$A4,Evaluations!$S$3:$S$10000,1)+COUNTIFS(Evaluations!$G$3:$G$10000,$A4,Evaluations!$S$3:$S$10000,0)),2),""))</f>
        <v/>
      </c>
      <c r="J4" s="10" t="str">
        <f>IF($A4="","",IFERROR(ROUND(100*COUNTIFS(Evaluations!$G$3:$G$10000,$A4,Evaluations!$T$3:$T$10000,1)/(COUNTIFS(Evaluations!$G$3:$G$10000,$A4,Evaluations!$T$3:$T$10000,1)+COUNTIFS(Evaluations!$G$3:$G$10000,$A4,Evaluations!$T$3:$T$10000,0)),2),""))</f>
        <v/>
      </c>
      <c r="K4" s="10" t="str">
        <f>IF($A4="","",COUNTIFS(Evaluations!$G$3:$G$10000,$A4,Evaluations!$M$3:$M$10000,"عدم پاسخ"))</f>
        <v/>
      </c>
      <c r="L4" s="10" t="str">
        <f>IF($A4="","",COUNTIFS(Evaluations!$G$3:$G$10000,$A4,Evaluations!$O$3:$O$10000,"رعایت نشده"))</f>
        <v/>
      </c>
    </row>
    <row r="5">
      <c r="A5" s="10"/>
      <c r="B5" s="10" t="str">
        <f t="array" ref="B5">_xlfn.XLOOKUP(A5,DATA!D:D,DATA!E:E,"")</f>
        <v/>
      </c>
      <c r="C5" s="10" t="str">
        <f>IF($A5="","",COUNTIFS(Evaluations!$G$3:$G$10000,$A5,Evaluations!$U$3:$U$10000,"&gt;=0",Evaluations!$U$3:$U$10000,"&lt;=100"))</f>
        <v/>
      </c>
      <c r="D5" s="10" t="str">
        <f>IF(OR($A5="",C5=0),"",ROUND(SUMIFS(Evaluations!$U$3:$U$10000,Evaluations!$G$3:$G$10000,$A5)/C5,2))</f>
        <v/>
      </c>
      <c r="E5" s="10" t="str">
        <f>IF($A5="","",COUNTIFS(Evaluations!$G$3:$G$10000,$A5,Evaluations!$M$3:$M$10000,"پاسخ داده شده"))</f>
        <v/>
      </c>
      <c r="F5" s="10" t="str">
        <f>IF($A5="","",IFERROR(COUNTIFS(Evaluations!$G$3:$G$10000,$A5,Evaluations!$O$3:$O$10000,"رعایت شده")/(COUNTIFS(Evaluations!$G$3:$G$10000,$A5,Evaluations!$O$3:$O$10000,"رعایت شده")+COUNTIFS(Evaluations!$G$3:$G$10000,$A5,Evaluations!$O$3:$O$10000,"رعایت نشده")),""))</f>
        <v/>
      </c>
      <c r="G5" s="10" t="str">
        <f>IF($A5="","",IFERROR(ROUND(100*COUNTIFS(Evaluations!$G$3:$G$10000,$A5,Evaluations!$Q$3:$Q$10000,1)/(COUNTIFS(Evaluations!$G$3:$G$10000,$A5,Evaluations!$Q$3:$Q$10000,1)+COUNTIFS(Evaluations!$G$3:$G$10000,$A5,Evaluations!$Q$3:$Q$10000,0)),2),""))</f>
        <v/>
      </c>
      <c r="H5" s="10" t="str">
        <f>IF($A5="","",IFERROR(ROUND(100*COUNTIFS(Evaluations!$G$3:$G$10000,$A5,Evaluations!$R$3:$R$10000,1)/(COUNTIFS(Evaluations!$G$3:$G$10000,$A5,Evaluations!$R$3:$R$10000,1)+COUNTIFS(Evaluations!$G$3:$G$10000,$A5,Evaluations!$R$3:$R$10000,0)),2),""))</f>
        <v/>
      </c>
      <c r="I5" s="10" t="str">
        <f>IF($A5="","",IFERROR(ROUND(100*COUNTIFS(Evaluations!$G$3:$G$10000,$A5,Evaluations!$S$3:$S$10000,1)/(COUNTIFS(Evaluations!$G$3:$G$10000,$A5,Evaluations!$S$3:$S$10000,1)+COUNTIFS(Evaluations!$G$3:$G$10000,$A5,Evaluations!$S$3:$S$10000,0)),2),""))</f>
        <v/>
      </c>
      <c r="J5" s="10" t="str">
        <f>IF($A5="","",IFERROR(ROUND(100*COUNTIFS(Evaluations!$G$3:$G$10000,$A5,Evaluations!$T$3:$T$10000,1)/(COUNTIFS(Evaluations!$G$3:$G$10000,$A5,Evaluations!$T$3:$T$10000,1)+COUNTIFS(Evaluations!$G$3:$G$10000,$A5,Evaluations!$T$3:$T$10000,0)),2),""))</f>
        <v/>
      </c>
      <c r="K5" s="10" t="str">
        <f>IF($A5="","",COUNTIFS(Evaluations!$G$3:$G$10000,$A5,Evaluations!$M$3:$M$10000,"عدم پاسخ"))</f>
        <v/>
      </c>
      <c r="L5" s="10" t="str">
        <f>IF($A5="","",COUNTIFS(Evaluations!$G$3:$G$10000,$A5,Evaluations!$O$3:$O$10000,"رعایت نشده"))</f>
        <v/>
      </c>
    </row>
    <row r="6">
      <c r="A6" s="10"/>
      <c r="B6" s="10" t="str">
        <f t="array" ref="B6">_xlfn.XLOOKUP(A6,DATA!D:D,DATA!E:E,"")</f>
        <v/>
      </c>
      <c r="C6" s="10" t="str">
        <f>IF($A6="","",COUNTIFS(Evaluations!$G$3:$G$10000,$A6,Evaluations!$U$3:$U$10000,"&gt;=0",Evaluations!$U$3:$U$10000,"&lt;=100"))</f>
        <v/>
      </c>
      <c r="D6" s="10" t="str">
        <f>IF(OR($A6="",C6=0),"",ROUND(SUMIFS(Evaluations!$U$3:$U$10000,Evaluations!$G$3:$G$10000,$A6)/C6,2))</f>
        <v/>
      </c>
      <c r="E6" s="10" t="str">
        <f>IF($A6="","",COUNTIFS(Evaluations!$G$3:$G$10000,$A6,Evaluations!$M$3:$M$10000,"پاسخ داده شده"))</f>
        <v/>
      </c>
      <c r="F6" s="10" t="str">
        <f>IF($A6="","",IFERROR(COUNTIFS(Evaluations!$G$3:$G$10000,$A6,Evaluations!$O$3:$O$10000,"رعایت شده")/(COUNTIFS(Evaluations!$G$3:$G$10000,$A6,Evaluations!$O$3:$O$10000,"رعایت شده")+COUNTIFS(Evaluations!$G$3:$G$10000,$A6,Evaluations!$O$3:$O$10000,"رعایت نشده")),""))</f>
        <v/>
      </c>
      <c r="G6" s="10" t="str">
        <f>IF($A6="","",IFERROR(ROUND(100*COUNTIFS(Evaluations!$G$3:$G$10000,$A6,Evaluations!$Q$3:$Q$10000,1)/(COUNTIFS(Evaluations!$G$3:$G$10000,$A6,Evaluations!$Q$3:$Q$10000,1)+COUNTIFS(Evaluations!$G$3:$G$10000,$A6,Evaluations!$Q$3:$Q$10000,0)),2),""))</f>
        <v/>
      </c>
      <c r="H6" s="10" t="str">
        <f>IF($A6="","",IFERROR(ROUND(100*COUNTIFS(Evaluations!$G$3:$G$10000,$A6,Evaluations!$R$3:$R$10000,1)/(COUNTIFS(Evaluations!$G$3:$G$10000,$A6,Evaluations!$R$3:$R$10000,1)+COUNTIFS(Evaluations!$G$3:$G$10000,$A6,Evaluations!$R$3:$R$10000,0)),2),""))</f>
        <v/>
      </c>
      <c r="I6" s="10" t="str">
        <f>IF($A6="","",IFERROR(ROUND(100*COUNTIFS(Evaluations!$G$3:$G$10000,$A6,Evaluations!$S$3:$S$10000,1)/(COUNTIFS(Evaluations!$G$3:$G$10000,$A6,Evaluations!$S$3:$S$10000,1)+COUNTIFS(Evaluations!$G$3:$G$10000,$A6,Evaluations!$S$3:$S$10000,0)),2),""))</f>
        <v/>
      </c>
      <c r="J6" s="10" t="str">
        <f>IF($A6="","",IFERROR(ROUND(100*COUNTIFS(Evaluations!$G$3:$G$10000,$A6,Evaluations!$T$3:$T$10000,1)/(COUNTIFS(Evaluations!$G$3:$G$10000,$A6,Evaluations!$T$3:$T$10000,1)+COUNTIFS(Evaluations!$G$3:$G$10000,$A6,Evaluations!$T$3:$T$10000,0)),2),""))</f>
        <v/>
      </c>
      <c r="K6" s="10" t="str">
        <f>IF($A6="","",COUNTIFS(Evaluations!$G$3:$G$10000,$A6,Evaluations!$M$3:$M$10000,"عدم پاسخ"))</f>
        <v/>
      </c>
      <c r="L6" s="10" t="str">
        <f>IF($A6="","",COUNTIFS(Evaluations!$G$3:$G$10000,$A6,Evaluations!$O$3:$O$10000,"رعایت نشده"))</f>
        <v/>
      </c>
    </row>
    <row r="7">
      <c r="A7" s="10"/>
      <c r="B7" s="10" t="str">
        <f t="array" ref="B7">_xlfn.XLOOKUP(A7,DATA!D:D,DATA!E:E,"")</f>
        <v/>
      </c>
      <c r="C7" s="10" t="str">
        <f>IF($A7="","",COUNTIFS(Evaluations!$G$3:$G$10000,$A7,Evaluations!$U$3:$U$10000,"&gt;=0",Evaluations!$U$3:$U$10000,"&lt;=100"))</f>
        <v/>
      </c>
      <c r="D7" s="10" t="str">
        <f>IF(OR($A7="",C7=0),"",ROUND(SUMIFS(Evaluations!$U$3:$U$10000,Evaluations!$G$3:$G$10000,$A7)/C7,2))</f>
        <v/>
      </c>
      <c r="E7" s="10" t="str">
        <f>IF($A7="","",COUNTIFS(Evaluations!$G$3:$G$10000,$A7,Evaluations!$M$3:$M$10000,"پاسخ داده شده"))</f>
        <v/>
      </c>
      <c r="F7" s="10" t="str">
        <f>IF($A7="","",IFERROR(COUNTIFS(Evaluations!$G$3:$G$10000,$A7,Evaluations!$O$3:$O$10000,"رعایت شده")/(COUNTIFS(Evaluations!$G$3:$G$10000,$A7,Evaluations!$O$3:$O$10000,"رعایت شده")+COUNTIFS(Evaluations!$G$3:$G$10000,$A7,Evaluations!$O$3:$O$10000,"رعایت نشده")),""))</f>
        <v/>
      </c>
      <c r="G7" s="10" t="str">
        <f>IF($A7="","",IFERROR(ROUND(100*COUNTIFS(Evaluations!$G$3:$G$10000,$A7,Evaluations!$Q$3:$Q$10000,1)/(COUNTIFS(Evaluations!$G$3:$G$10000,$A7,Evaluations!$Q$3:$Q$10000,1)+COUNTIFS(Evaluations!$G$3:$G$10000,$A7,Evaluations!$Q$3:$Q$10000,0)),2),""))</f>
        <v/>
      </c>
      <c r="H7" s="10" t="str">
        <f>IF($A7="","",IFERROR(ROUND(100*COUNTIFS(Evaluations!$G$3:$G$10000,$A7,Evaluations!$R$3:$R$10000,1)/(COUNTIFS(Evaluations!$G$3:$G$10000,$A7,Evaluations!$R$3:$R$10000,1)+COUNTIFS(Evaluations!$G$3:$G$10000,$A7,Evaluations!$R$3:$R$10000,0)),2),""))</f>
        <v/>
      </c>
      <c r="I7" s="10" t="str">
        <f>IF($A7="","",IFERROR(ROUND(100*COUNTIFS(Evaluations!$G$3:$G$10000,$A7,Evaluations!$S$3:$S$10000,1)/(COUNTIFS(Evaluations!$G$3:$G$10000,$A7,Evaluations!$S$3:$S$10000,1)+COUNTIFS(Evaluations!$G$3:$G$10000,$A7,Evaluations!$S$3:$S$10000,0)),2),""))</f>
        <v/>
      </c>
      <c r="J7" s="10" t="str">
        <f>IF($A7="","",IFERROR(ROUND(100*COUNTIFS(Evaluations!$G$3:$G$10000,$A7,Evaluations!$T$3:$T$10000,1)/(COUNTIFS(Evaluations!$G$3:$G$10000,$A7,Evaluations!$T$3:$T$10000,1)+COUNTIFS(Evaluations!$G$3:$G$10000,$A7,Evaluations!$T$3:$T$10000,0)),2),""))</f>
        <v/>
      </c>
      <c r="K7" s="10" t="str">
        <f>IF($A7="","",COUNTIFS(Evaluations!$G$3:$G$10000,$A7,Evaluations!$M$3:$M$10000,"عدم پاسخ"))</f>
        <v/>
      </c>
      <c r="L7" s="10" t="str">
        <f>IF($A7="","",COUNTIFS(Evaluations!$G$3:$G$10000,$A7,Evaluations!$O$3:$O$10000,"رعایت نشده"))</f>
        <v/>
      </c>
    </row>
    <row r="8">
      <c r="A8" s="10"/>
      <c r="B8" s="10" t="str">
        <f t="array" ref="B8">_xlfn.XLOOKUP(A8,DATA!D:D,DATA!E:E,"")</f>
        <v/>
      </c>
      <c r="C8" s="10" t="str">
        <f>IF($A8="","",COUNTIFS(Evaluations!$G$3:$G$10000,$A8,Evaluations!$U$3:$U$10000,"&gt;=0",Evaluations!$U$3:$U$10000,"&lt;=100"))</f>
        <v/>
      </c>
      <c r="D8" s="10" t="str">
        <f>IF(OR($A8="",C8=0),"",ROUND(SUMIFS(Evaluations!$U$3:$U$10000,Evaluations!$G$3:$G$10000,$A8)/C8,2))</f>
        <v/>
      </c>
      <c r="E8" s="10" t="str">
        <f>IF($A8="","",COUNTIFS(Evaluations!$G$3:$G$10000,$A8,Evaluations!$M$3:$M$10000,"پاسخ داده شده"))</f>
        <v/>
      </c>
      <c r="F8" s="10" t="str">
        <f>IF($A8="","",IFERROR(COUNTIFS(Evaluations!$G$3:$G$10000,$A8,Evaluations!$O$3:$O$10000,"رعایت شده")/(COUNTIFS(Evaluations!$G$3:$G$10000,$A8,Evaluations!$O$3:$O$10000,"رعایت شده")+COUNTIFS(Evaluations!$G$3:$G$10000,$A8,Evaluations!$O$3:$O$10000,"رعایت نشده")),""))</f>
        <v/>
      </c>
      <c r="G8" s="10" t="str">
        <f>IF($A8="","",IFERROR(ROUND(100*COUNTIFS(Evaluations!$G$3:$G$10000,$A8,Evaluations!$Q$3:$Q$10000,1)/(COUNTIFS(Evaluations!$G$3:$G$10000,$A8,Evaluations!$Q$3:$Q$10000,1)+COUNTIFS(Evaluations!$G$3:$G$10000,$A8,Evaluations!$Q$3:$Q$10000,0)),2),""))</f>
        <v/>
      </c>
      <c r="H8" s="10" t="str">
        <f>IF($A8="","",IFERROR(ROUND(100*COUNTIFS(Evaluations!$G$3:$G$10000,$A8,Evaluations!$R$3:$R$10000,1)/(COUNTIFS(Evaluations!$G$3:$G$10000,$A8,Evaluations!$R$3:$R$10000,1)+COUNTIFS(Evaluations!$G$3:$G$10000,$A8,Evaluations!$R$3:$R$10000,0)),2),""))</f>
        <v/>
      </c>
      <c r="I8" s="10" t="str">
        <f>IF($A8="","",IFERROR(ROUND(100*COUNTIFS(Evaluations!$G$3:$G$10000,$A8,Evaluations!$S$3:$S$10000,1)/(COUNTIFS(Evaluations!$G$3:$G$10000,$A8,Evaluations!$S$3:$S$10000,1)+COUNTIFS(Evaluations!$G$3:$G$10000,$A8,Evaluations!$S$3:$S$10000,0)),2),""))</f>
        <v/>
      </c>
      <c r="J8" s="10" t="str">
        <f>IF($A8="","",IFERROR(ROUND(100*COUNTIFS(Evaluations!$G$3:$G$10000,$A8,Evaluations!$T$3:$T$10000,1)/(COUNTIFS(Evaluations!$G$3:$G$10000,$A8,Evaluations!$T$3:$T$10000,1)+COUNTIFS(Evaluations!$G$3:$G$10000,$A8,Evaluations!$T$3:$T$10000,0)),2),""))</f>
        <v/>
      </c>
      <c r="K8" s="10" t="str">
        <f>IF($A8="","",COUNTIFS(Evaluations!$G$3:$G$10000,$A8,Evaluations!$M$3:$M$10000,"عدم پاسخ"))</f>
        <v/>
      </c>
      <c r="L8" s="10" t="str">
        <f>IF($A8="","",COUNTIFS(Evaluations!$G$3:$G$10000,$A8,Evaluations!$O$3:$O$10000,"رعایت نشده"))</f>
        <v/>
      </c>
    </row>
    <row r="9">
      <c r="A9" s="10"/>
      <c r="B9" s="10" t="str">
        <f t="array" ref="B9">_xlfn.XLOOKUP(A9,DATA!D:D,DATA!E:E,"")</f>
        <v/>
      </c>
      <c r="C9" s="10" t="str">
        <f>IF($A9="","",COUNTIFS(Evaluations!$G$3:$G$10000,$A9,Evaluations!$U$3:$U$10000,"&gt;=0",Evaluations!$U$3:$U$10000,"&lt;=100"))</f>
        <v/>
      </c>
      <c r="D9" s="10" t="str">
        <f>IF(OR($A9="",C9=0),"",ROUND(SUMIFS(Evaluations!$U$3:$U$10000,Evaluations!$G$3:$G$10000,$A9)/C9,2))</f>
        <v/>
      </c>
      <c r="E9" s="10" t="str">
        <f>IF($A9="","",COUNTIFS(Evaluations!$G$3:$G$10000,$A9,Evaluations!$M$3:$M$10000,"پاسخ داده شده"))</f>
        <v/>
      </c>
      <c r="F9" s="10" t="str">
        <f>IF($A9="","",IFERROR(COUNTIFS(Evaluations!$G$3:$G$10000,$A9,Evaluations!$O$3:$O$10000,"رعایت شده")/(COUNTIFS(Evaluations!$G$3:$G$10000,$A9,Evaluations!$O$3:$O$10000,"رعایت شده")+COUNTIFS(Evaluations!$G$3:$G$10000,$A9,Evaluations!$O$3:$O$10000,"رعایت نشده")),""))</f>
        <v/>
      </c>
      <c r="G9" s="10" t="str">
        <f>IF($A9="","",IFERROR(ROUND(100*COUNTIFS(Evaluations!$G$3:$G$10000,$A9,Evaluations!$Q$3:$Q$10000,1)/(COUNTIFS(Evaluations!$G$3:$G$10000,$A9,Evaluations!$Q$3:$Q$10000,1)+COUNTIFS(Evaluations!$G$3:$G$10000,$A9,Evaluations!$Q$3:$Q$10000,0)),2),""))</f>
        <v/>
      </c>
      <c r="H9" s="10" t="str">
        <f>IF($A9="","",IFERROR(ROUND(100*COUNTIFS(Evaluations!$G$3:$G$10000,$A9,Evaluations!$R$3:$R$10000,1)/(COUNTIFS(Evaluations!$G$3:$G$10000,$A9,Evaluations!$R$3:$R$10000,1)+COUNTIFS(Evaluations!$G$3:$G$10000,$A9,Evaluations!$R$3:$R$10000,0)),2),""))</f>
        <v/>
      </c>
      <c r="I9" s="10" t="str">
        <f>IF($A9="","",IFERROR(ROUND(100*COUNTIFS(Evaluations!$G$3:$G$10000,$A9,Evaluations!$S$3:$S$10000,1)/(COUNTIFS(Evaluations!$G$3:$G$10000,$A9,Evaluations!$S$3:$S$10000,1)+COUNTIFS(Evaluations!$G$3:$G$10000,$A9,Evaluations!$S$3:$S$10000,0)),2),""))</f>
        <v/>
      </c>
      <c r="J9" s="10" t="str">
        <f>IF($A9="","",IFERROR(ROUND(100*COUNTIFS(Evaluations!$G$3:$G$10000,$A9,Evaluations!$T$3:$T$10000,1)/(COUNTIFS(Evaluations!$G$3:$G$10000,$A9,Evaluations!$T$3:$T$10000,1)+COUNTIFS(Evaluations!$G$3:$G$10000,$A9,Evaluations!$T$3:$T$10000,0)),2),""))</f>
        <v/>
      </c>
      <c r="K9" s="10" t="str">
        <f>IF($A9="","",COUNTIFS(Evaluations!$G$3:$G$10000,$A9,Evaluations!$M$3:$M$10000,"عدم پاسخ"))</f>
        <v/>
      </c>
      <c r="L9" s="10" t="str">
        <f>IF($A9="","",COUNTIFS(Evaluations!$G$3:$G$10000,$A9,Evaluations!$O$3:$O$10000,"رعایت نشده"))</f>
        <v/>
      </c>
    </row>
    <row r="10">
      <c r="A10" s="10"/>
      <c r="B10" s="10" t="str">
        <f t="array" ref="B10">_xlfn.XLOOKUP(A10,DATA!D:D,DATA!E:E,"")</f>
        <v/>
      </c>
      <c r="C10" s="10" t="str">
        <f>IF($A10="","",COUNTIFS(Evaluations!$G$3:$G$10000,$A10,Evaluations!$U$3:$U$10000,"&gt;=0",Evaluations!$U$3:$U$10000,"&lt;=100"))</f>
        <v/>
      </c>
      <c r="D10" s="10" t="str">
        <f>IF(OR($A10="",C10=0),"",ROUND(SUMIFS(Evaluations!$U$3:$U$10000,Evaluations!$G$3:$G$10000,$A10)/C10,2))</f>
        <v/>
      </c>
      <c r="E10" s="10" t="str">
        <f>IF($A10="","",COUNTIFS(Evaluations!$G$3:$G$10000,$A10,Evaluations!$M$3:$M$10000,"پاسخ داده شده"))</f>
        <v/>
      </c>
      <c r="F10" s="10" t="str">
        <f>IF($A10="","",IFERROR(COUNTIFS(Evaluations!$G$3:$G$10000,$A10,Evaluations!$O$3:$O$10000,"رعایت شده")/(COUNTIFS(Evaluations!$G$3:$G$10000,$A10,Evaluations!$O$3:$O$10000,"رعایت شده")+COUNTIFS(Evaluations!$G$3:$G$10000,$A10,Evaluations!$O$3:$O$10000,"رعایت نشده")),""))</f>
        <v/>
      </c>
      <c r="G10" s="10" t="str">
        <f>IF($A10="","",IFERROR(ROUND(100*COUNTIFS(Evaluations!$G$3:$G$10000,$A10,Evaluations!$Q$3:$Q$10000,1)/(COUNTIFS(Evaluations!$G$3:$G$10000,$A10,Evaluations!$Q$3:$Q$10000,1)+COUNTIFS(Evaluations!$G$3:$G$10000,$A10,Evaluations!$Q$3:$Q$10000,0)),2),""))</f>
        <v/>
      </c>
      <c r="H10" s="10" t="str">
        <f>IF($A10="","",IFERROR(ROUND(100*COUNTIFS(Evaluations!$G$3:$G$10000,$A10,Evaluations!$R$3:$R$10000,1)/(COUNTIFS(Evaluations!$G$3:$G$10000,$A10,Evaluations!$R$3:$R$10000,1)+COUNTIFS(Evaluations!$G$3:$G$10000,$A10,Evaluations!$R$3:$R$10000,0)),2),""))</f>
        <v/>
      </c>
      <c r="I10" s="10" t="str">
        <f>IF($A10="","",IFERROR(ROUND(100*COUNTIFS(Evaluations!$G$3:$G$10000,$A10,Evaluations!$S$3:$S$10000,1)/(COUNTIFS(Evaluations!$G$3:$G$10000,$A10,Evaluations!$S$3:$S$10000,1)+COUNTIFS(Evaluations!$G$3:$G$10000,$A10,Evaluations!$S$3:$S$10000,0)),2),""))</f>
        <v/>
      </c>
      <c r="J10" s="10" t="str">
        <f>IF($A10="","",IFERROR(ROUND(100*COUNTIFS(Evaluations!$G$3:$G$10000,$A10,Evaluations!$T$3:$T$10000,1)/(COUNTIFS(Evaluations!$G$3:$G$10000,$A10,Evaluations!$T$3:$T$10000,1)+COUNTIFS(Evaluations!$G$3:$G$10000,$A10,Evaluations!$T$3:$T$10000,0)),2),""))</f>
        <v/>
      </c>
      <c r="K10" s="10" t="str">
        <f>IF($A10="","",COUNTIFS(Evaluations!$G$3:$G$10000,$A10,Evaluations!$M$3:$M$10000,"عدم پاسخ"))</f>
        <v/>
      </c>
      <c r="L10" s="10" t="str">
        <f>IF($A10="","",COUNTIFS(Evaluations!$G$3:$G$10000,$A10,Evaluations!$O$3:$O$10000,"رعایت نشده"))</f>
        <v/>
      </c>
    </row>
    <row r="11">
      <c r="A11" s="10"/>
      <c r="B11" s="10" t="str">
        <f t="array" ref="B11">_xlfn.XLOOKUP(A11,DATA!D:D,DATA!E:E,"")</f>
        <v/>
      </c>
      <c r="C11" s="10" t="str">
        <f>IF($A11="","",COUNTIFS(Evaluations!$G$3:$G$10000,$A11,Evaluations!$U$3:$U$10000,"&gt;=0",Evaluations!$U$3:$U$10000,"&lt;=100"))</f>
        <v/>
      </c>
      <c r="D11" s="10" t="str">
        <f>IF(OR($A11="",C11=0),"",ROUND(SUMIFS(Evaluations!$U$3:$U$10000,Evaluations!$G$3:$G$10000,$A11)/C11,2))</f>
        <v/>
      </c>
      <c r="E11" s="10" t="str">
        <f>IF($A11="","",COUNTIFS(Evaluations!$G$3:$G$10000,$A11,Evaluations!$M$3:$M$10000,"پاسخ داده شده"))</f>
        <v/>
      </c>
      <c r="F11" s="10" t="str">
        <f>IF($A11="","",IFERROR(COUNTIFS(Evaluations!$G$3:$G$10000,$A11,Evaluations!$O$3:$O$10000,"رعایت شده")/(COUNTIFS(Evaluations!$G$3:$G$10000,$A11,Evaluations!$O$3:$O$10000,"رعایت شده")+COUNTIFS(Evaluations!$G$3:$G$10000,$A11,Evaluations!$O$3:$O$10000,"رعایت نشده")),""))</f>
        <v/>
      </c>
      <c r="G11" s="10" t="str">
        <f>IF($A11="","",IFERROR(ROUND(100*COUNTIFS(Evaluations!$G$3:$G$10000,$A11,Evaluations!$Q$3:$Q$10000,1)/(COUNTIFS(Evaluations!$G$3:$G$10000,$A11,Evaluations!$Q$3:$Q$10000,1)+COUNTIFS(Evaluations!$G$3:$G$10000,$A11,Evaluations!$Q$3:$Q$10000,0)),2),""))</f>
        <v/>
      </c>
      <c r="H11" s="10" t="str">
        <f>IF($A11="","",IFERROR(ROUND(100*COUNTIFS(Evaluations!$G$3:$G$10000,$A11,Evaluations!$R$3:$R$10000,1)/(COUNTIFS(Evaluations!$G$3:$G$10000,$A11,Evaluations!$R$3:$R$10000,1)+COUNTIFS(Evaluations!$G$3:$G$10000,$A11,Evaluations!$R$3:$R$10000,0)),2),""))</f>
        <v/>
      </c>
      <c r="I11" s="10" t="str">
        <f>IF($A11="","",IFERROR(ROUND(100*COUNTIFS(Evaluations!$G$3:$G$10000,$A11,Evaluations!$S$3:$S$10000,1)/(COUNTIFS(Evaluations!$G$3:$G$10000,$A11,Evaluations!$S$3:$S$10000,1)+COUNTIFS(Evaluations!$G$3:$G$10000,$A11,Evaluations!$S$3:$S$10000,0)),2),""))</f>
        <v/>
      </c>
      <c r="J11" s="10" t="str">
        <f>IF($A11="","",IFERROR(ROUND(100*COUNTIFS(Evaluations!$G$3:$G$10000,$A11,Evaluations!$T$3:$T$10000,1)/(COUNTIFS(Evaluations!$G$3:$G$10000,$A11,Evaluations!$T$3:$T$10000,1)+COUNTIFS(Evaluations!$G$3:$G$10000,$A11,Evaluations!$T$3:$T$10000,0)),2),""))</f>
        <v/>
      </c>
      <c r="K11" s="10" t="str">
        <f>IF($A11="","",COUNTIFS(Evaluations!$G$3:$G$10000,$A11,Evaluations!$M$3:$M$10000,"عدم پاسخ"))</f>
        <v/>
      </c>
      <c r="L11" s="10" t="str">
        <f>IF($A11="","",COUNTIFS(Evaluations!$G$3:$G$10000,$A11,Evaluations!$O$3:$O$10000,"رعایت نشده"))</f>
        <v/>
      </c>
    </row>
    <row r="12">
      <c r="A12" s="10"/>
      <c r="B12" s="10" t="str">
        <f t="array" ref="B12">_xlfn.XLOOKUP(A12,DATA!D:D,DATA!E:E,"")</f>
        <v/>
      </c>
      <c r="C12" s="10" t="str">
        <f>IF($A12="","",COUNTIFS(Evaluations!$G$3:$G$10000,$A12,Evaluations!$U$3:$U$10000,"&gt;=0",Evaluations!$U$3:$U$10000,"&lt;=100"))</f>
        <v/>
      </c>
      <c r="D12" s="10" t="str">
        <f>IF(OR($A12="",C12=0),"",ROUND(SUMIFS(Evaluations!$U$3:$U$10000,Evaluations!$G$3:$G$10000,$A12)/C12,2))</f>
        <v/>
      </c>
      <c r="E12" s="10" t="str">
        <f>IF($A12="","",COUNTIFS(Evaluations!$G$3:$G$10000,$A12,Evaluations!$M$3:$M$10000,"پاسخ داده شده"))</f>
        <v/>
      </c>
      <c r="F12" s="10" t="str">
        <f>IF($A12="","",IFERROR(COUNTIFS(Evaluations!$G$3:$G$10000,$A12,Evaluations!$O$3:$O$10000,"رعایت شده")/(COUNTIFS(Evaluations!$G$3:$G$10000,$A12,Evaluations!$O$3:$O$10000,"رعایت شده")+COUNTIFS(Evaluations!$G$3:$G$10000,$A12,Evaluations!$O$3:$O$10000,"رعایت نشده")),""))</f>
        <v/>
      </c>
      <c r="G12" s="10" t="str">
        <f>IF($A12="","",IFERROR(ROUND(100*COUNTIFS(Evaluations!$G$3:$G$10000,$A12,Evaluations!$Q$3:$Q$10000,1)/(COUNTIFS(Evaluations!$G$3:$G$10000,$A12,Evaluations!$Q$3:$Q$10000,1)+COUNTIFS(Evaluations!$G$3:$G$10000,$A12,Evaluations!$Q$3:$Q$10000,0)),2),""))</f>
        <v/>
      </c>
      <c r="H12" s="10" t="str">
        <f>IF($A12="","",IFERROR(ROUND(100*COUNTIFS(Evaluations!$G$3:$G$10000,$A12,Evaluations!$R$3:$R$10000,1)/(COUNTIFS(Evaluations!$G$3:$G$10000,$A12,Evaluations!$R$3:$R$10000,1)+COUNTIFS(Evaluations!$G$3:$G$10000,$A12,Evaluations!$R$3:$R$10000,0)),2),""))</f>
        <v/>
      </c>
      <c r="I12" s="10" t="str">
        <f>IF($A12="","",IFERROR(ROUND(100*COUNTIFS(Evaluations!$G$3:$G$10000,$A12,Evaluations!$S$3:$S$10000,1)/(COUNTIFS(Evaluations!$G$3:$G$10000,$A12,Evaluations!$S$3:$S$10000,1)+COUNTIFS(Evaluations!$G$3:$G$10000,$A12,Evaluations!$S$3:$S$10000,0)),2),""))</f>
        <v/>
      </c>
      <c r="J12" s="10" t="str">
        <f>IF($A12="","",IFERROR(ROUND(100*COUNTIFS(Evaluations!$G$3:$G$10000,$A12,Evaluations!$T$3:$T$10000,1)/(COUNTIFS(Evaluations!$G$3:$G$10000,$A12,Evaluations!$T$3:$T$10000,1)+COUNTIFS(Evaluations!$G$3:$G$10000,$A12,Evaluations!$T$3:$T$10000,0)),2),""))</f>
        <v/>
      </c>
      <c r="K12" s="10" t="str">
        <f>IF($A12="","",COUNTIFS(Evaluations!$G$3:$G$10000,$A12,Evaluations!$M$3:$M$10000,"عدم پاسخ"))</f>
        <v/>
      </c>
      <c r="L12" s="10" t="str">
        <f>IF($A12="","",COUNTIFS(Evaluations!$G$3:$G$10000,$A12,Evaluations!$O$3:$O$10000,"رعایت نشده"))</f>
        <v/>
      </c>
    </row>
    <row r="13">
      <c r="A13" s="10"/>
      <c r="B13" s="10" t="str">
        <f t="array" ref="B13">_xlfn.XLOOKUP(A13,DATA!D:D,DATA!E:E,"")</f>
        <v/>
      </c>
      <c r="C13" s="10" t="str">
        <f>IF($A13="","",COUNTIFS(Evaluations!$G$3:$G$10000,$A13,Evaluations!$U$3:$U$10000,"&gt;=0",Evaluations!$U$3:$U$10000,"&lt;=100"))</f>
        <v/>
      </c>
      <c r="D13" s="10" t="str">
        <f>IF(OR($A13="",C13=0),"",ROUND(SUMIFS(Evaluations!$U$3:$U$10000,Evaluations!$G$3:$G$10000,$A13)/C13,2))</f>
        <v/>
      </c>
      <c r="E13" s="10" t="str">
        <f>IF($A13="","",COUNTIFS(Evaluations!$G$3:$G$10000,$A13,Evaluations!$M$3:$M$10000,"پاسخ داده شده"))</f>
        <v/>
      </c>
      <c r="F13" s="10" t="str">
        <f>IF($A13="","",IFERROR(COUNTIFS(Evaluations!$G$3:$G$10000,$A13,Evaluations!$O$3:$O$10000,"رعایت شده")/(COUNTIFS(Evaluations!$G$3:$G$10000,$A13,Evaluations!$O$3:$O$10000,"رعایت شده")+COUNTIFS(Evaluations!$G$3:$G$10000,$A13,Evaluations!$O$3:$O$10000,"رعایت نشده")),""))</f>
        <v/>
      </c>
      <c r="G13" s="10" t="str">
        <f>IF($A13="","",IFERROR(ROUND(100*COUNTIFS(Evaluations!$G$3:$G$10000,$A13,Evaluations!$Q$3:$Q$10000,1)/(COUNTIFS(Evaluations!$G$3:$G$10000,$A13,Evaluations!$Q$3:$Q$10000,1)+COUNTIFS(Evaluations!$G$3:$G$10000,$A13,Evaluations!$Q$3:$Q$10000,0)),2),""))</f>
        <v/>
      </c>
      <c r="H13" s="10" t="str">
        <f>IF($A13="","",IFERROR(ROUND(100*COUNTIFS(Evaluations!$G$3:$G$10000,$A13,Evaluations!$R$3:$R$10000,1)/(COUNTIFS(Evaluations!$G$3:$G$10000,$A13,Evaluations!$R$3:$R$10000,1)+COUNTIFS(Evaluations!$G$3:$G$10000,$A13,Evaluations!$R$3:$R$10000,0)),2),""))</f>
        <v/>
      </c>
      <c r="I13" s="10" t="str">
        <f>IF($A13="","",IFERROR(ROUND(100*COUNTIFS(Evaluations!$G$3:$G$10000,$A13,Evaluations!$S$3:$S$10000,1)/(COUNTIFS(Evaluations!$G$3:$G$10000,$A13,Evaluations!$S$3:$S$10000,1)+COUNTIFS(Evaluations!$G$3:$G$10000,$A13,Evaluations!$S$3:$S$10000,0)),2),""))</f>
        <v/>
      </c>
      <c r="J13" s="10" t="str">
        <f>IF($A13="","",IFERROR(ROUND(100*COUNTIFS(Evaluations!$G$3:$G$10000,$A13,Evaluations!$T$3:$T$10000,1)/(COUNTIFS(Evaluations!$G$3:$G$10000,$A13,Evaluations!$T$3:$T$10000,1)+COUNTIFS(Evaluations!$G$3:$G$10000,$A13,Evaluations!$T$3:$T$10000,0)),2),""))</f>
        <v/>
      </c>
      <c r="K13" s="10" t="str">
        <f>IF($A13="","",COUNTIFS(Evaluations!$G$3:$G$10000,$A13,Evaluations!$M$3:$M$10000,"عدم پاسخ"))</f>
        <v/>
      </c>
      <c r="L13" s="10" t="str">
        <f>IF($A13="","",COUNTIFS(Evaluations!$G$3:$G$10000,$A13,Evaluations!$O$3:$O$10000,"رعایت نشده"))</f>
        <v/>
      </c>
    </row>
    <row r="14">
      <c r="A14" s="10"/>
      <c r="B14" s="10" t="str">
        <f t="array" ref="B14">_xlfn.XLOOKUP(A14,DATA!D:D,DATA!E:E,"")</f>
        <v/>
      </c>
      <c r="C14" s="10" t="str">
        <f>IF($A14="","",COUNTIFS(Evaluations!$G$3:$G$10000,$A14,Evaluations!$U$3:$U$10000,"&gt;=0",Evaluations!$U$3:$U$10000,"&lt;=100"))</f>
        <v/>
      </c>
      <c r="D14" s="10" t="str">
        <f>IF(OR($A14="",C14=0),"",ROUND(SUMIFS(Evaluations!$U$3:$U$10000,Evaluations!$G$3:$G$10000,$A14)/C14,2))</f>
        <v/>
      </c>
      <c r="E14" s="10" t="str">
        <f>IF($A14="","",COUNTIFS(Evaluations!$G$3:$G$10000,$A14,Evaluations!$M$3:$M$10000,"پاسخ داده شده"))</f>
        <v/>
      </c>
      <c r="F14" s="10" t="str">
        <f>IF($A14="","",IFERROR(COUNTIFS(Evaluations!$G$3:$G$10000,$A14,Evaluations!$O$3:$O$10000,"رعایت شده")/(COUNTIFS(Evaluations!$G$3:$G$10000,$A14,Evaluations!$O$3:$O$10000,"رعایت شده")+COUNTIFS(Evaluations!$G$3:$G$10000,$A14,Evaluations!$O$3:$O$10000,"رعایت نشده")),""))</f>
        <v/>
      </c>
      <c r="G14" s="10" t="str">
        <f>IF($A14="","",IFERROR(ROUND(100*COUNTIFS(Evaluations!$G$3:$G$10000,$A14,Evaluations!$Q$3:$Q$10000,1)/(COUNTIFS(Evaluations!$G$3:$G$10000,$A14,Evaluations!$Q$3:$Q$10000,1)+COUNTIFS(Evaluations!$G$3:$G$10000,$A14,Evaluations!$Q$3:$Q$10000,0)),2),""))</f>
        <v/>
      </c>
      <c r="H14" s="10" t="str">
        <f>IF($A14="","",IFERROR(ROUND(100*COUNTIFS(Evaluations!$G$3:$G$10000,$A14,Evaluations!$R$3:$R$10000,1)/(COUNTIFS(Evaluations!$G$3:$G$10000,$A14,Evaluations!$R$3:$R$10000,1)+COUNTIFS(Evaluations!$G$3:$G$10000,$A14,Evaluations!$R$3:$R$10000,0)),2),""))</f>
        <v/>
      </c>
      <c r="I14" s="10" t="str">
        <f>IF($A14="","",IFERROR(ROUND(100*COUNTIFS(Evaluations!$G$3:$G$10000,$A14,Evaluations!$S$3:$S$10000,1)/(COUNTIFS(Evaluations!$G$3:$G$10000,$A14,Evaluations!$S$3:$S$10000,1)+COUNTIFS(Evaluations!$G$3:$G$10000,$A14,Evaluations!$S$3:$S$10000,0)),2),""))</f>
        <v/>
      </c>
      <c r="J14" s="10" t="str">
        <f>IF($A14="","",IFERROR(ROUND(100*COUNTIFS(Evaluations!$G$3:$G$10000,$A14,Evaluations!$T$3:$T$10000,1)/(COUNTIFS(Evaluations!$G$3:$G$10000,$A14,Evaluations!$T$3:$T$10000,1)+COUNTIFS(Evaluations!$G$3:$G$10000,$A14,Evaluations!$T$3:$T$10000,0)),2),""))</f>
        <v/>
      </c>
      <c r="K14" s="10" t="str">
        <f>IF($A14="","",COUNTIFS(Evaluations!$G$3:$G$10000,$A14,Evaluations!$M$3:$M$10000,"عدم پاسخ"))</f>
        <v/>
      </c>
      <c r="L14" s="10" t="str">
        <f>IF($A14="","",COUNTIFS(Evaluations!$G$3:$G$10000,$A14,Evaluations!$O$3:$O$10000,"رعایت نشده"))</f>
        <v/>
      </c>
    </row>
    <row r="15">
      <c r="A15" s="10"/>
      <c r="B15" s="10" t="str">
        <f t="array" ref="B15">_xlfn.XLOOKUP(A15,DATA!D:D,DATA!E:E,"")</f>
        <v/>
      </c>
      <c r="C15" s="10" t="str">
        <f>IF($A15="","",COUNTIFS(Evaluations!$G$3:$G$10000,$A15,Evaluations!$U$3:$U$10000,"&gt;=0",Evaluations!$U$3:$U$10000,"&lt;=100"))</f>
        <v/>
      </c>
      <c r="D15" s="10" t="str">
        <f>IF(OR($A15="",C15=0),"",ROUND(SUMIFS(Evaluations!$U$3:$U$10000,Evaluations!$G$3:$G$10000,$A15)/C15,2))</f>
        <v/>
      </c>
      <c r="E15" s="10" t="str">
        <f>IF($A15="","",COUNTIFS(Evaluations!$G$3:$G$10000,$A15,Evaluations!$M$3:$M$10000,"پاسخ داده شده"))</f>
        <v/>
      </c>
      <c r="F15" s="10" t="str">
        <f>IF($A15="","",IFERROR(COUNTIFS(Evaluations!$G$3:$G$10000,$A15,Evaluations!$O$3:$O$10000,"رعایت شده")/(COUNTIFS(Evaluations!$G$3:$G$10000,$A15,Evaluations!$O$3:$O$10000,"رعایت شده")+COUNTIFS(Evaluations!$G$3:$G$10000,$A15,Evaluations!$O$3:$O$10000,"رعایت نشده")),""))</f>
        <v/>
      </c>
      <c r="G15" s="10" t="str">
        <f>IF($A15="","",IFERROR(ROUND(100*COUNTIFS(Evaluations!$G$3:$G$10000,$A15,Evaluations!$Q$3:$Q$10000,1)/(COUNTIFS(Evaluations!$G$3:$G$10000,$A15,Evaluations!$Q$3:$Q$10000,1)+COUNTIFS(Evaluations!$G$3:$G$10000,$A15,Evaluations!$Q$3:$Q$10000,0)),2),""))</f>
        <v/>
      </c>
      <c r="H15" s="10" t="str">
        <f>IF($A15="","",IFERROR(ROUND(100*COUNTIFS(Evaluations!$G$3:$G$10000,$A15,Evaluations!$R$3:$R$10000,1)/(COUNTIFS(Evaluations!$G$3:$G$10000,$A15,Evaluations!$R$3:$R$10000,1)+COUNTIFS(Evaluations!$G$3:$G$10000,$A15,Evaluations!$R$3:$R$10000,0)),2),""))</f>
        <v/>
      </c>
      <c r="I15" s="10" t="str">
        <f>IF($A15="","",IFERROR(ROUND(100*COUNTIFS(Evaluations!$G$3:$G$10000,$A15,Evaluations!$S$3:$S$10000,1)/(COUNTIFS(Evaluations!$G$3:$G$10000,$A15,Evaluations!$S$3:$S$10000,1)+COUNTIFS(Evaluations!$G$3:$G$10000,$A15,Evaluations!$S$3:$S$10000,0)),2),""))</f>
        <v/>
      </c>
      <c r="J15" s="10" t="str">
        <f>IF($A15="","",IFERROR(ROUND(100*COUNTIFS(Evaluations!$G$3:$G$10000,$A15,Evaluations!$T$3:$T$10000,1)/(COUNTIFS(Evaluations!$G$3:$G$10000,$A15,Evaluations!$T$3:$T$10000,1)+COUNTIFS(Evaluations!$G$3:$G$10000,$A15,Evaluations!$T$3:$T$10000,0)),2),""))</f>
        <v/>
      </c>
      <c r="K15" s="10" t="str">
        <f>IF($A15="","",COUNTIFS(Evaluations!$G$3:$G$10000,$A15,Evaluations!$M$3:$M$10000,"عدم پاسخ"))</f>
        <v/>
      </c>
      <c r="L15" s="10" t="str">
        <f>IF($A15="","",COUNTIFS(Evaluations!$G$3:$G$10000,$A15,Evaluations!$O$3:$O$10000,"رعایت نشده"))</f>
        <v/>
      </c>
    </row>
    <row r="16">
      <c r="A16" s="10"/>
      <c r="B16" s="10" t="str">
        <f t="array" ref="B16">_xlfn.XLOOKUP(A16,DATA!D:D,DATA!E:E,"")</f>
        <v/>
      </c>
      <c r="C16" s="10" t="str">
        <f>IF($A16="","",COUNTIFS(Evaluations!$G$3:$G$10000,$A16,Evaluations!$U$3:$U$10000,"&gt;=0",Evaluations!$U$3:$U$10000,"&lt;=100"))</f>
        <v/>
      </c>
      <c r="D16" s="10" t="str">
        <f>IF(OR($A16="",C16=0),"",ROUND(SUMIFS(Evaluations!$U$3:$U$10000,Evaluations!$G$3:$G$10000,$A16)/C16,2))</f>
        <v/>
      </c>
      <c r="E16" s="10" t="str">
        <f>IF($A16="","",COUNTIFS(Evaluations!$G$3:$G$10000,$A16,Evaluations!$M$3:$M$10000,"پاسخ داده شده"))</f>
        <v/>
      </c>
      <c r="F16" s="10" t="str">
        <f>IF($A16="","",IFERROR(COUNTIFS(Evaluations!$G$3:$G$10000,$A16,Evaluations!$O$3:$O$10000,"رعایت شده")/(COUNTIFS(Evaluations!$G$3:$G$10000,$A16,Evaluations!$O$3:$O$10000,"رعایت شده")+COUNTIFS(Evaluations!$G$3:$G$10000,$A16,Evaluations!$O$3:$O$10000,"رعایت نشده")),""))</f>
        <v/>
      </c>
      <c r="G16" s="10" t="str">
        <f>IF($A16="","",IFERROR(ROUND(100*COUNTIFS(Evaluations!$G$3:$G$10000,$A16,Evaluations!$Q$3:$Q$10000,1)/(COUNTIFS(Evaluations!$G$3:$G$10000,$A16,Evaluations!$Q$3:$Q$10000,1)+COUNTIFS(Evaluations!$G$3:$G$10000,$A16,Evaluations!$Q$3:$Q$10000,0)),2),""))</f>
        <v/>
      </c>
      <c r="H16" s="10" t="str">
        <f>IF($A16="","",IFERROR(ROUND(100*COUNTIFS(Evaluations!$G$3:$G$10000,$A16,Evaluations!$R$3:$R$10000,1)/(COUNTIFS(Evaluations!$G$3:$G$10000,$A16,Evaluations!$R$3:$R$10000,1)+COUNTIFS(Evaluations!$G$3:$G$10000,$A16,Evaluations!$R$3:$R$10000,0)),2),""))</f>
        <v/>
      </c>
      <c r="I16" s="10" t="str">
        <f>IF($A16="","",IFERROR(ROUND(100*COUNTIFS(Evaluations!$G$3:$G$10000,$A16,Evaluations!$S$3:$S$10000,1)/(COUNTIFS(Evaluations!$G$3:$G$10000,$A16,Evaluations!$S$3:$S$10000,1)+COUNTIFS(Evaluations!$G$3:$G$10000,$A16,Evaluations!$S$3:$S$10000,0)),2),""))</f>
        <v/>
      </c>
      <c r="J16" s="10" t="str">
        <f>IF($A16="","",IFERROR(ROUND(100*COUNTIFS(Evaluations!$G$3:$G$10000,$A16,Evaluations!$T$3:$T$10000,1)/(COUNTIFS(Evaluations!$G$3:$G$10000,$A16,Evaluations!$T$3:$T$10000,1)+COUNTIFS(Evaluations!$G$3:$G$10000,$A16,Evaluations!$T$3:$T$10000,0)),2),""))</f>
        <v/>
      </c>
      <c r="K16" s="10" t="str">
        <f>IF($A16="","",COUNTIFS(Evaluations!$G$3:$G$10000,$A16,Evaluations!$M$3:$M$10000,"عدم پاسخ"))</f>
        <v/>
      </c>
      <c r="L16" s="10" t="str">
        <f>IF($A16="","",COUNTIFS(Evaluations!$G$3:$G$10000,$A16,Evaluations!$O$3:$O$10000,"رعایت نشده"))</f>
        <v/>
      </c>
    </row>
    <row r="17">
      <c r="A17" s="10"/>
      <c r="B17" s="10" t="str">
        <f t="array" ref="B17">_xlfn.XLOOKUP(A17,DATA!D:D,DATA!E:E,"")</f>
        <v/>
      </c>
      <c r="C17" s="10" t="str">
        <f>IF($A17="","",COUNTIFS(Evaluations!$G$3:$G$10000,$A17,Evaluations!$U$3:$U$10000,"&gt;=0",Evaluations!$U$3:$U$10000,"&lt;=100"))</f>
        <v/>
      </c>
      <c r="D17" s="10" t="str">
        <f>IF(OR($A17="",C17=0),"",ROUND(SUMIFS(Evaluations!$U$3:$U$10000,Evaluations!$G$3:$G$10000,$A17)/C17,2))</f>
        <v/>
      </c>
      <c r="E17" s="10" t="str">
        <f>IF($A17="","",COUNTIFS(Evaluations!$G$3:$G$10000,$A17,Evaluations!$M$3:$M$10000,"پاسخ داده شده"))</f>
        <v/>
      </c>
      <c r="F17" s="10" t="str">
        <f>IF($A17="","",IFERROR(COUNTIFS(Evaluations!$G$3:$G$10000,$A17,Evaluations!$O$3:$O$10000,"رعایت شده")/(COUNTIFS(Evaluations!$G$3:$G$10000,$A17,Evaluations!$O$3:$O$10000,"رعایت شده")+COUNTIFS(Evaluations!$G$3:$G$10000,$A17,Evaluations!$O$3:$O$10000,"رعایت نشده")),""))</f>
        <v/>
      </c>
      <c r="G17" s="10" t="str">
        <f>IF($A17="","",IFERROR(ROUND(100*COUNTIFS(Evaluations!$G$3:$G$10000,$A17,Evaluations!$Q$3:$Q$10000,1)/(COUNTIFS(Evaluations!$G$3:$G$10000,$A17,Evaluations!$Q$3:$Q$10000,1)+COUNTIFS(Evaluations!$G$3:$G$10000,$A17,Evaluations!$Q$3:$Q$10000,0)),2),""))</f>
        <v/>
      </c>
      <c r="H17" s="10" t="str">
        <f>IF($A17="","",IFERROR(ROUND(100*COUNTIFS(Evaluations!$G$3:$G$10000,$A17,Evaluations!$R$3:$R$10000,1)/(COUNTIFS(Evaluations!$G$3:$G$10000,$A17,Evaluations!$R$3:$R$10000,1)+COUNTIFS(Evaluations!$G$3:$G$10000,$A17,Evaluations!$R$3:$R$10000,0)),2),""))</f>
        <v/>
      </c>
      <c r="I17" s="10" t="str">
        <f>IF($A17="","",IFERROR(ROUND(100*COUNTIFS(Evaluations!$G$3:$G$10000,$A17,Evaluations!$S$3:$S$10000,1)/(COUNTIFS(Evaluations!$G$3:$G$10000,$A17,Evaluations!$S$3:$S$10000,1)+COUNTIFS(Evaluations!$G$3:$G$10000,$A17,Evaluations!$S$3:$S$10000,0)),2),""))</f>
        <v/>
      </c>
      <c r="J17" s="10" t="str">
        <f>IF($A17="","",IFERROR(ROUND(100*COUNTIFS(Evaluations!$G$3:$G$10000,$A17,Evaluations!$T$3:$T$10000,1)/(COUNTIFS(Evaluations!$G$3:$G$10000,$A17,Evaluations!$T$3:$T$10000,1)+COUNTIFS(Evaluations!$G$3:$G$10000,$A17,Evaluations!$T$3:$T$10000,0)),2),""))</f>
        <v/>
      </c>
      <c r="K17" s="10" t="str">
        <f>IF($A17="","",COUNTIFS(Evaluations!$G$3:$G$10000,$A17,Evaluations!$M$3:$M$10000,"عدم پاسخ"))</f>
        <v/>
      </c>
      <c r="L17" s="10" t="str">
        <f>IF($A17="","",COUNTIFS(Evaluations!$G$3:$G$10000,$A17,Evaluations!$O$3:$O$10000,"رعایت نشده"))</f>
        <v/>
      </c>
    </row>
    <row r="18">
      <c r="A18" s="10"/>
      <c r="B18" s="10" t="str">
        <f t="array" ref="B18">_xlfn.XLOOKUP(A18,DATA!D:D,DATA!E:E,"")</f>
        <v/>
      </c>
      <c r="C18" s="10" t="str">
        <f>IF($A18="","",COUNTIFS(Evaluations!$G$3:$G$10000,$A18,Evaluations!$U$3:$U$10000,"&gt;=0",Evaluations!$U$3:$U$10000,"&lt;=100"))</f>
        <v/>
      </c>
      <c r="D18" s="10" t="str">
        <f>IF(OR($A18="",C18=0),"",ROUND(SUMIFS(Evaluations!$U$3:$U$10000,Evaluations!$G$3:$G$10000,$A18)/C18,2))</f>
        <v/>
      </c>
      <c r="E18" s="10" t="str">
        <f>IF($A18="","",COUNTIFS(Evaluations!$G$3:$G$10000,$A18,Evaluations!$M$3:$M$10000,"پاسخ داده شده"))</f>
        <v/>
      </c>
      <c r="F18" s="10" t="str">
        <f>IF($A18="","",IFERROR(COUNTIFS(Evaluations!$G$3:$G$10000,$A18,Evaluations!$O$3:$O$10000,"رعایت شده")/(COUNTIFS(Evaluations!$G$3:$G$10000,$A18,Evaluations!$O$3:$O$10000,"رعایت شده")+COUNTIFS(Evaluations!$G$3:$G$10000,$A18,Evaluations!$O$3:$O$10000,"رعایت نشده")),""))</f>
        <v/>
      </c>
      <c r="G18" s="10" t="str">
        <f>IF($A18="","",IFERROR(ROUND(100*COUNTIFS(Evaluations!$G$3:$G$10000,$A18,Evaluations!$Q$3:$Q$10000,1)/(COUNTIFS(Evaluations!$G$3:$G$10000,$A18,Evaluations!$Q$3:$Q$10000,1)+COUNTIFS(Evaluations!$G$3:$G$10000,$A18,Evaluations!$Q$3:$Q$10000,0)),2),""))</f>
        <v/>
      </c>
      <c r="H18" s="10" t="str">
        <f>IF($A18="","",IFERROR(ROUND(100*COUNTIFS(Evaluations!$G$3:$G$10000,$A18,Evaluations!$R$3:$R$10000,1)/(COUNTIFS(Evaluations!$G$3:$G$10000,$A18,Evaluations!$R$3:$R$10000,1)+COUNTIFS(Evaluations!$G$3:$G$10000,$A18,Evaluations!$R$3:$R$10000,0)),2),""))</f>
        <v/>
      </c>
      <c r="I18" s="10" t="str">
        <f>IF($A18="","",IFERROR(ROUND(100*COUNTIFS(Evaluations!$G$3:$G$10000,$A18,Evaluations!$S$3:$S$10000,1)/(COUNTIFS(Evaluations!$G$3:$G$10000,$A18,Evaluations!$S$3:$S$10000,1)+COUNTIFS(Evaluations!$G$3:$G$10000,$A18,Evaluations!$S$3:$S$10000,0)),2),""))</f>
        <v/>
      </c>
      <c r="J18" s="10" t="str">
        <f>IF($A18="","",IFERROR(ROUND(100*COUNTIFS(Evaluations!$G$3:$G$10000,$A18,Evaluations!$T$3:$T$10000,1)/(COUNTIFS(Evaluations!$G$3:$G$10000,$A18,Evaluations!$T$3:$T$10000,1)+COUNTIFS(Evaluations!$G$3:$G$10000,$A18,Evaluations!$T$3:$T$10000,0)),2),""))</f>
        <v/>
      </c>
      <c r="K18" s="10" t="str">
        <f>IF($A18="","",COUNTIFS(Evaluations!$G$3:$G$10000,$A18,Evaluations!$M$3:$M$10000,"عدم پاسخ"))</f>
        <v/>
      </c>
      <c r="L18" s="10" t="str">
        <f>IF($A18="","",COUNTIFS(Evaluations!$G$3:$G$10000,$A18,Evaluations!$O$3:$O$10000,"رعایت نشده"))</f>
        <v/>
      </c>
    </row>
    <row r="19">
      <c r="A19" s="10"/>
      <c r="B19" s="10" t="str">
        <f t="array" ref="B19">_xlfn.XLOOKUP(A19,DATA!D:D,DATA!E:E,"")</f>
        <v/>
      </c>
      <c r="C19" s="10" t="str">
        <f>IF($A19="","",COUNTIFS(Evaluations!$G$3:$G$10000,$A19,Evaluations!$U$3:$U$10000,"&gt;=0",Evaluations!$U$3:$U$10000,"&lt;=100"))</f>
        <v/>
      </c>
      <c r="D19" s="10" t="str">
        <f>IF(OR($A19="",C19=0),"",ROUND(SUMIFS(Evaluations!$U$3:$U$10000,Evaluations!$G$3:$G$10000,$A19)/C19,2))</f>
        <v/>
      </c>
      <c r="E19" s="10" t="str">
        <f>IF($A19="","",COUNTIFS(Evaluations!$G$3:$G$10000,$A19,Evaluations!$M$3:$M$10000,"پاسخ داده شده"))</f>
        <v/>
      </c>
      <c r="F19" s="10" t="str">
        <f>IF($A19="","",IFERROR(COUNTIFS(Evaluations!$G$3:$G$10000,$A19,Evaluations!$O$3:$O$10000,"رعایت شده")/(COUNTIFS(Evaluations!$G$3:$G$10000,$A19,Evaluations!$O$3:$O$10000,"رعایت شده")+COUNTIFS(Evaluations!$G$3:$G$10000,$A19,Evaluations!$O$3:$O$10000,"رعایت نشده")),""))</f>
        <v/>
      </c>
      <c r="G19" s="10" t="str">
        <f>IF($A19="","",IFERROR(ROUND(100*COUNTIFS(Evaluations!$G$3:$G$10000,$A19,Evaluations!$Q$3:$Q$10000,1)/(COUNTIFS(Evaluations!$G$3:$G$10000,$A19,Evaluations!$Q$3:$Q$10000,1)+COUNTIFS(Evaluations!$G$3:$G$10000,$A19,Evaluations!$Q$3:$Q$10000,0)),2),""))</f>
        <v/>
      </c>
      <c r="H19" s="10" t="str">
        <f>IF($A19="","",IFERROR(ROUND(100*COUNTIFS(Evaluations!$G$3:$G$10000,$A19,Evaluations!$R$3:$R$10000,1)/(COUNTIFS(Evaluations!$G$3:$G$10000,$A19,Evaluations!$R$3:$R$10000,1)+COUNTIFS(Evaluations!$G$3:$G$10000,$A19,Evaluations!$R$3:$R$10000,0)),2),""))</f>
        <v/>
      </c>
      <c r="I19" s="10" t="str">
        <f>IF($A19="","",IFERROR(ROUND(100*COUNTIFS(Evaluations!$G$3:$G$10000,$A19,Evaluations!$S$3:$S$10000,1)/(COUNTIFS(Evaluations!$G$3:$G$10000,$A19,Evaluations!$S$3:$S$10000,1)+COUNTIFS(Evaluations!$G$3:$G$10000,$A19,Evaluations!$S$3:$S$10000,0)),2),""))</f>
        <v/>
      </c>
      <c r="J19" s="10" t="str">
        <f>IF($A19="","",IFERROR(ROUND(100*COUNTIFS(Evaluations!$G$3:$G$10000,$A19,Evaluations!$T$3:$T$10000,1)/(COUNTIFS(Evaluations!$G$3:$G$10000,$A19,Evaluations!$T$3:$T$10000,1)+COUNTIFS(Evaluations!$G$3:$G$10000,$A19,Evaluations!$T$3:$T$10000,0)),2),""))</f>
        <v/>
      </c>
      <c r="K19" s="10" t="str">
        <f>IF($A19="","",COUNTIFS(Evaluations!$G$3:$G$10000,$A19,Evaluations!$M$3:$M$10000,"عدم پاسخ"))</f>
        <v/>
      </c>
      <c r="L19" s="10" t="str">
        <f>IF($A19="","",COUNTIFS(Evaluations!$G$3:$G$10000,$A19,Evaluations!$O$3:$O$10000,"رعایت نشده"))</f>
        <v/>
      </c>
    </row>
    <row r="20">
      <c r="A20" s="10"/>
      <c r="B20" s="10" t="str">
        <f t="array" ref="B20">_xlfn.XLOOKUP(A20,DATA!D:D,DATA!E:E,"")</f>
        <v/>
      </c>
      <c r="C20" s="10" t="str">
        <f>IF($A20="","",COUNTIFS(Evaluations!$G$3:$G$10000,$A20,Evaluations!$U$3:$U$10000,"&gt;=0",Evaluations!$U$3:$U$10000,"&lt;=100"))</f>
        <v/>
      </c>
      <c r="D20" s="10" t="str">
        <f>IF(OR($A20="",C20=0),"",ROUND(SUMIFS(Evaluations!$U$3:$U$10000,Evaluations!$G$3:$G$10000,$A20)/C20,2))</f>
        <v/>
      </c>
      <c r="E20" s="10" t="str">
        <f>IF($A20="","",COUNTIFS(Evaluations!$G$3:$G$10000,$A20,Evaluations!$M$3:$M$10000,"پاسخ داده شده"))</f>
        <v/>
      </c>
      <c r="F20" s="10" t="str">
        <f>IF($A20="","",IFERROR(COUNTIFS(Evaluations!$G$3:$G$10000,$A20,Evaluations!$O$3:$O$10000,"رعایت شده")/(COUNTIFS(Evaluations!$G$3:$G$10000,$A20,Evaluations!$O$3:$O$10000,"رعایت شده")+COUNTIFS(Evaluations!$G$3:$G$10000,$A20,Evaluations!$O$3:$O$10000,"رعایت نشده")),""))</f>
        <v/>
      </c>
      <c r="G20" s="10" t="str">
        <f>IF($A20="","",IFERROR(ROUND(100*COUNTIFS(Evaluations!$G$3:$G$10000,$A20,Evaluations!$Q$3:$Q$10000,1)/(COUNTIFS(Evaluations!$G$3:$G$10000,$A20,Evaluations!$Q$3:$Q$10000,1)+COUNTIFS(Evaluations!$G$3:$G$10000,$A20,Evaluations!$Q$3:$Q$10000,0)),2),""))</f>
        <v/>
      </c>
      <c r="H20" s="10" t="str">
        <f>IF($A20="","",IFERROR(ROUND(100*COUNTIFS(Evaluations!$G$3:$G$10000,$A20,Evaluations!$R$3:$R$10000,1)/(COUNTIFS(Evaluations!$G$3:$G$10000,$A20,Evaluations!$R$3:$R$10000,1)+COUNTIFS(Evaluations!$G$3:$G$10000,$A20,Evaluations!$R$3:$R$10000,0)),2),""))</f>
        <v/>
      </c>
      <c r="I20" s="10" t="str">
        <f>IF($A20="","",IFERROR(ROUND(100*COUNTIFS(Evaluations!$G$3:$G$10000,$A20,Evaluations!$S$3:$S$10000,1)/(COUNTIFS(Evaluations!$G$3:$G$10000,$A20,Evaluations!$S$3:$S$10000,1)+COUNTIFS(Evaluations!$G$3:$G$10000,$A20,Evaluations!$S$3:$S$10000,0)),2),""))</f>
        <v/>
      </c>
      <c r="J20" s="10" t="str">
        <f>IF($A20="","",IFERROR(ROUND(100*COUNTIFS(Evaluations!$G$3:$G$10000,$A20,Evaluations!$T$3:$T$10000,1)/(COUNTIFS(Evaluations!$G$3:$G$10000,$A20,Evaluations!$T$3:$T$10000,1)+COUNTIFS(Evaluations!$G$3:$G$10000,$A20,Evaluations!$T$3:$T$10000,0)),2),""))</f>
        <v/>
      </c>
      <c r="K20" s="10" t="str">
        <f>IF($A20="","",COUNTIFS(Evaluations!$G$3:$G$10000,$A20,Evaluations!$M$3:$M$10000,"عدم پاسخ"))</f>
        <v/>
      </c>
      <c r="L20" s="10" t="str">
        <f>IF($A20="","",COUNTIFS(Evaluations!$G$3:$G$10000,$A20,Evaluations!$O$3:$O$10000,"رعایت نشده"))</f>
        <v/>
      </c>
    </row>
    <row r="21">
      <c r="A21" s="10"/>
      <c r="B21" s="10" t="str">
        <f t="array" ref="B21">_xlfn.XLOOKUP(A21,DATA!D:D,DATA!E:E,"")</f>
        <v/>
      </c>
      <c r="C21" s="10" t="str">
        <f>IF($A21="","",COUNTIFS(Evaluations!$G$3:$G$10000,$A21,Evaluations!$U$3:$U$10000,"&gt;=0",Evaluations!$U$3:$U$10000,"&lt;=100"))</f>
        <v/>
      </c>
      <c r="D21" s="10" t="str">
        <f>IF(OR($A21="",C21=0),"",ROUND(SUMIFS(Evaluations!$U$3:$U$10000,Evaluations!$G$3:$G$10000,$A21)/C21,2))</f>
        <v/>
      </c>
      <c r="E21" s="10" t="str">
        <f>IF($A21="","",COUNTIFS(Evaluations!$G$3:$G$10000,$A21,Evaluations!$M$3:$M$10000,"پاسخ داده شده"))</f>
        <v/>
      </c>
      <c r="F21" s="10" t="str">
        <f>IF($A21="","",IFERROR(COUNTIFS(Evaluations!$G$3:$G$10000,$A21,Evaluations!$O$3:$O$10000,"رعایت شده")/(COUNTIFS(Evaluations!$G$3:$G$10000,$A21,Evaluations!$O$3:$O$10000,"رعایت شده")+COUNTIFS(Evaluations!$G$3:$G$10000,$A21,Evaluations!$O$3:$O$10000,"رعایت نشده")),""))</f>
        <v/>
      </c>
      <c r="G21" s="10" t="str">
        <f>IF($A21="","",IFERROR(ROUND(100*COUNTIFS(Evaluations!$G$3:$G$10000,$A21,Evaluations!$Q$3:$Q$10000,1)/(COUNTIFS(Evaluations!$G$3:$G$10000,$A21,Evaluations!$Q$3:$Q$10000,1)+COUNTIFS(Evaluations!$G$3:$G$10000,$A21,Evaluations!$Q$3:$Q$10000,0)),2),""))</f>
        <v/>
      </c>
      <c r="H21" s="10" t="str">
        <f>IF($A21="","",IFERROR(ROUND(100*COUNTIFS(Evaluations!$G$3:$G$10000,$A21,Evaluations!$R$3:$R$10000,1)/(COUNTIFS(Evaluations!$G$3:$G$10000,$A21,Evaluations!$R$3:$R$10000,1)+COUNTIFS(Evaluations!$G$3:$G$10000,$A21,Evaluations!$R$3:$R$10000,0)),2),""))</f>
        <v/>
      </c>
      <c r="I21" s="10" t="str">
        <f>IF($A21="","",IFERROR(ROUND(100*COUNTIFS(Evaluations!$G$3:$G$10000,$A21,Evaluations!$S$3:$S$10000,1)/(COUNTIFS(Evaluations!$G$3:$G$10000,$A21,Evaluations!$S$3:$S$10000,1)+COUNTIFS(Evaluations!$G$3:$G$10000,$A21,Evaluations!$S$3:$S$10000,0)),2),""))</f>
        <v/>
      </c>
      <c r="J21" s="10" t="str">
        <f>IF($A21="","",IFERROR(ROUND(100*COUNTIFS(Evaluations!$G$3:$G$10000,$A21,Evaluations!$T$3:$T$10000,1)/(COUNTIFS(Evaluations!$G$3:$G$10000,$A21,Evaluations!$T$3:$T$10000,1)+COUNTIFS(Evaluations!$G$3:$G$10000,$A21,Evaluations!$T$3:$T$10000,0)),2),""))</f>
        <v/>
      </c>
      <c r="K21" s="10" t="str">
        <f>IF($A21="","",COUNTIFS(Evaluations!$G$3:$G$10000,$A21,Evaluations!$M$3:$M$10000,"عدم پاسخ"))</f>
        <v/>
      </c>
      <c r="L21" s="10" t="str">
        <f>IF($A21="","",COUNTIFS(Evaluations!$G$3:$G$10000,$A21,Evaluations!$O$3:$O$10000,"رعایت نشده"))</f>
        <v/>
      </c>
    </row>
    <row r="22">
      <c r="A22" s="10"/>
      <c r="B22" s="10" t="str">
        <f t="array" ref="B22">_xlfn.XLOOKUP(A22,DATA!D:D,DATA!E:E,"")</f>
        <v/>
      </c>
      <c r="C22" s="10" t="str">
        <f>IF($A22="","",COUNTIFS(Evaluations!$G$3:$G$10000,$A22,Evaluations!$U$3:$U$10000,"&gt;=0",Evaluations!$U$3:$U$10000,"&lt;=100"))</f>
        <v/>
      </c>
      <c r="D22" s="10" t="str">
        <f>IF(OR($A22="",C22=0),"",ROUND(SUMIFS(Evaluations!$U$3:$U$10000,Evaluations!$G$3:$G$10000,$A22)/C22,2))</f>
        <v/>
      </c>
      <c r="E22" s="10" t="str">
        <f>IF($A22="","",COUNTIFS(Evaluations!$G$3:$G$10000,$A22,Evaluations!$M$3:$M$10000,"پاسخ داده شده"))</f>
        <v/>
      </c>
      <c r="F22" s="10" t="str">
        <f>IF($A22="","",IFERROR(COUNTIFS(Evaluations!$G$3:$G$10000,$A22,Evaluations!$O$3:$O$10000,"رعایت شده")/(COUNTIFS(Evaluations!$G$3:$G$10000,$A22,Evaluations!$O$3:$O$10000,"رعایت شده")+COUNTIFS(Evaluations!$G$3:$G$10000,$A22,Evaluations!$O$3:$O$10000,"رعایت نشده")),""))</f>
        <v/>
      </c>
      <c r="G22" s="10" t="str">
        <f>IF($A22="","",IFERROR(ROUND(100*COUNTIFS(Evaluations!$G$3:$G$10000,$A22,Evaluations!$Q$3:$Q$10000,1)/(COUNTIFS(Evaluations!$G$3:$G$10000,$A22,Evaluations!$Q$3:$Q$10000,1)+COUNTIFS(Evaluations!$G$3:$G$10000,$A22,Evaluations!$Q$3:$Q$10000,0)),2),""))</f>
        <v/>
      </c>
      <c r="H22" s="10" t="str">
        <f>IF($A22="","",IFERROR(ROUND(100*COUNTIFS(Evaluations!$G$3:$G$10000,$A22,Evaluations!$R$3:$R$10000,1)/(COUNTIFS(Evaluations!$G$3:$G$10000,$A22,Evaluations!$R$3:$R$10000,1)+COUNTIFS(Evaluations!$G$3:$G$10000,$A22,Evaluations!$R$3:$R$10000,0)),2),""))</f>
        <v/>
      </c>
      <c r="I22" s="10" t="str">
        <f>IF($A22="","",IFERROR(ROUND(100*COUNTIFS(Evaluations!$G$3:$G$10000,$A22,Evaluations!$S$3:$S$10000,1)/(COUNTIFS(Evaluations!$G$3:$G$10000,$A22,Evaluations!$S$3:$S$10000,1)+COUNTIFS(Evaluations!$G$3:$G$10000,$A22,Evaluations!$S$3:$S$10000,0)),2),""))</f>
        <v/>
      </c>
      <c r="J22" s="10" t="str">
        <f>IF($A22="","",IFERROR(ROUND(100*COUNTIFS(Evaluations!$G$3:$G$10000,$A22,Evaluations!$T$3:$T$10000,1)/(COUNTIFS(Evaluations!$G$3:$G$10000,$A22,Evaluations!$T$3:$T$10000,1)+COUNTIFS(Evaluations!$G$3:$G$10000,$A22,Evaluations!$T$3:$T$10000,0)),2),""))</f>
        <v/>
      </c>
      <c r="K22" s="10" t="str">
        <f>IF($A22="","",COUNTIFS(Evaluations!$G$3:$G$10000,$A22,Evaluations!$M$3:$M$10000,"عدم پاسخ"))</f>
        <v/>
      </c>
      <c r="L22" s="10" t="str">
        <f>IF($A22="","",COUNTIFS(Evaluations!$G$3:$G$10000,$A22,Evaluations!$O$3:$O$10000,"رعایت نشده"))</f>
        <v/>
      </c>
    </row>
    <row r="23">
      <c r="A23" s="10"/>
      <c r="B23" s="10" t="str">
        <f t="array" ref="B23">_xlfn.XLOOKUP(A23,DATA!D:D,DATA!E:E,"")</f>
        <v/>
      </c>
      <c r="C23" s="10" t="str">
        <f>IF($A23="","",COUNTIFS(Evaluations!$G$3:$G$10000,$A23,Evaluations!$U$3:$U$10000,"&gt;=0",Evaluations!$U$3:$U$10000,"&lt;=100"))</f>
        <v/>
      </c>
      <c r="D23" s="10" t="str">
        <f>IF(OR($A23="",C23=0),"",ROUND(SUMIFS(Evaluations!$U$3:$U$10000,Evaluations!$G$3:$G$10000,$A23)/C23,2))</f>
        <v/>
      </c>
      <c r="E23" s="10" t="str">
        <f>IF($A23="","",COUNTIFS(Evaluations!$G$3:$G$10000,$A23,Evaluations!$M$3:$M$10000,"پاسخ داده شده"))</f>
        <v/>
      </c>
      <c r="F23" s="10" t="str">
        <f>IF($A23="","",IFERROR(COUNTIFS(Evaluations!$G$3:$G$10000,$A23,Evaluations!$O$3:$O$10000,"رعایت شده")/(COUNTIFS(Evaluations!$G$3:$G$10000,$A23,Evaluations!$O$3:$O$10000,"رعایت شده")+COUNTIFS(Evaluations!$G$3:$G$10000,$A23,Evaluations!$O$3:$O$10000,"رعایت نشده")),""))</f>
        <v/>
      </c>
      <c r="G23" s="10" t="str">
        <f>IF($A23="","",IFERROR(ROUND(100*COUNTIFS(Evaluations!$G$3:$G$10000,$A23,Evaluations!$Q$3:$Q$10000,1)/(COUNTIFS(Evaluations!$G$3:$G$10000,$A23,Evaluations!$Q$3:$Q$10000,1)+COUNTIFS(Evaluations!$G$3:$G$10000,$A23,Evaluations!$Q$3:$Q$10000,0)),2),""))</f>
        <v/>
      </c>
      <c r="H23" s="10" t="str">
        <f>IF($A23="","",IFERROR(ROUND(100*COUNTIFS(Evaluations!$G$3:$G$10000,$A23,Evaluations!$R$3:$R$10000,1)/(COUNTIFS(Evaluations!$G$3:$G$10000,$A23,Evaluations!$R$3:$R$10000,1)+COUNTIFS(Evaluations!$G$3:$G$10000,$A23,Evaluations!$R$3:$R$10000,0)),2),""))</f>
        <v/>
      </c>
      <c r="I23" s="10" t="str">
        <f>IF($A23="","",IFERROR(ROUND(100*COUNTIFS(Evaluations!$G$3:$G$10000,$A23,Evaluations!$S$3:$S$10000,1)/(COUNTIFS(Evaluations!$G$3:$G$10000,$A23,Evaluations!$S$3:$S$10000,1)+COUNTIFS(Evaluations!$G$3:$G$10000,$A23,Evaluations!$S$3:$S$10000,0)),2),""))</f>
        <v/>
      </c>
      <c r="J23" s="10" t="str">
        <f>IF($A23="","",IFERROR(ROUND(100*COUNTIFS(Evaluations!$G$3:$G$10000,$A23,Evaluations!$T$3:$T$10000,1)/(COUNTIFS(Evaluations!$G$3:$G$10000,$A23,Evaluations!$T$3:$T$10000,1)+COUNTIFS(Evaluations!$G$3:$G$10000,$A23,Evaluations!$T$3:$T$10000,0)),2),""))</f>
        <v/>
      </c>
      <c r="K23" s="10" t="str">
        <f>IF($A23="","",COUNTIFS(Evaluations!$G$3:$G$10000,$A23,Evaluations!$M$3:$M$10000,"عدم پاسخ"))</f>
        <v/>
      </c>
      <c r="L23" s="10" t="str">
        <f>IF($A23="","",COUNTIFS(Evaluations!$G$3:$G$10000,$A23,Evaluations!$O$3:$O$10000,"رعایت نشده"))</f>
        <v/>
      </c>
    </row>
    <row r="24">
      <c r="A24" s="10"/>
      <c r="B24" s="10" t="str">
        <f t="array" ref="B24">_xlfn.XLOOKUP(A24,DATA!D:D,DATA!E:E,"")</f>
        <v/>
      </c>
      <c r="C24" s="10" t="str">
        <f>IF($A24="","",COUNTIFS(Evaluations!$G$3:$G$10000,$A24,Evaluations!$U$3:$U$10000,"&gt;=0",Evaluations!$U$3:$U$10000,"&lt;=100"))</f>
        <v/>
      </c>
      <c r="D24" s="10" t="str">
        <f>IF(OR($A24="",C24=0),"",ROUND(SUMIFS(Evaluations!$U$3:$U$10000,Evaluations!$G$3:$G$10000,$A24)/C24,2))</f>
        <v/>
      </c>
      <c r="E24" s="10" t="str">
        <f>IF($A24="","",COUNTIFS(Evaluations!$G$3:$G$10000,$A24,Evaluations!$M$3:$M$10000,"پاسخ داده شده"))</f>
        <v/>
      </c>
      <c r="F24" s="10" t="str">
        <f>IF($A24="","",IFERROR(COUNTIFS(Evaluations!$G$3:$G$10000,$A24,Evaluations!$O$3:$O$10000,"رعایت شده")/(COUNTIFS(Evaluations!$G$3:$G$10000,$A24,Evaluations!$O$3:$O$10000,"رعایت شده")+COUNTIFS(Evaluations!$G$3:$G$10000,$A24,Evaluations!$O$3:$O$10000,"رعایت نشده")),""))</f>
        <v/>
      </c>
      <c r="G24" s="10" t="str">
        <f>IF($A24="","",IFERROR(ROUND(100*COUNTIFS(Evaluations!$G$3:$G$10000,$A24,Evaluations!$Q$3:$Q$10000,1)/(COUNTIFS(Evaluations!$G$3:$G$10000,$A24,Evaluations!$Q$3:$Q$10000,1)+COUNTIFS(Evaluations!$G$3:$G$10000,$A24,Evaluations!$Q$3:$Q$10000,0)),2),""))</f>
        <v/>
      </c>
      <c r="H24" s="10" t="str">
        <f>IF($A24="","",IFERROR(ROUND(100*COUNTIFS(Evaluations!$G$3:$G$10000,$A24,Evaluations!$R$3:$R$10000,1)/(COUNTIFS(Evaluations!$G$3:$G$10000,$A24,Evaluations!$R$3:$R$10000,1)+COUNTIFS(Evaluations!$G$3:$G$10000,$A24,Evaluations!$R$3:$R$10000,0)),2),""))</f>
        <v/>
      </c>
      <c r="I24" s="10" t="str">
        <f>IF($A24="","",IFERROR(ROUND(100*COUNTIFS(Evaluations!$G$3:$G$10000,$A24,Evaluations!$S$3:$S$10000,1)/(COUNTIFS(Evaluations!$G$3:$G$10000,$A24,Evaluations!$S$3:$S$10000,1)+COUNTIFS(Evaluations!$G$3:$G$10000,$A24,Evaluations!$S$3:$S$10000,0)),2),""))</f>
        <v/>
      </c>
      <c r="J24" s="10" t="str">
        <f>IF($A24="","",IFERROR(ROUND(100*COUNTIFS(Evaluations!$G$3:$G$10000,$A24,Evaluations!$T$3:$T$10000,1)/(COUNTIFS(Evaluations!$G$3:$G$10000,$A24,Evaluations!$T$3:$T$10000,1)+COUNTIFS(Evaluations!$G$3:$G$10000,$A24,Evaluations!$T$3:$T$10000,0)),2),""))</f>
        <v/>
      </c>
      <c r="K24" s="10" t="str">
        <f>IF($A24="","",COUNTIFS(Evaluations!$G$3:$G$10000,$A24,Evaluations!$M$3:$M$10000,"عدم پاسخ"))</f>
        <v/>
      </c>
      <c r="L24" s="10" t="str">
        <f>IF($A24="","",COUNTIFS(Evaluations!$G$3:$G$10000,$A24,Evaluations!$O$3:$O$10000,"رعایت نشده"))</f>
        <v/>
      </c>
    </row>
    <row r="25">
      <c r="A25" s="10"/>
      <c r="B25" s="10" t="str">
        <f t="array" ref="B25">_xlfn.XLOOKUP(A25,DATA!D:D,DATA!E:E,"")</f>
        <v/>
      </c>
      <c r="C25" s="10" t="str">
        <f>IF($A25="","",COUNTIFS(Evaluations!$G$3:$G$10000,$A25,Evaluations!$U$3:$U$10000,"&gt;=0",Evaluations!$U$3:$U$10000,"&lt;=100"))</f>
        <v/>
      </c>
      <c r="D25" s="10" t="str">
        <f>IF(OR($A25="",C25=0),"",ROUND(SUMIFS(Evaluations!$U$3:$U$10000,Evaluations!$G$3:$G$10000,$A25)/C25,2))</f>
        <v/>
      </c>
      <c r="E25" s="10" t="str">
        <f>IF($A25="","",COUNTIFS(Evaluations!$G$3:$G$10000,$A25,Evaluations!$M$3:$M$10000,"پاسخ داده شده"))</f>
        <v/>
      </c>
      <c r="F25" s="10" t="str">
        <f>IF($A25="","",IFERROR(COUNTIFS(Evaluations!$G$3:$G$10000,$A25,Evaluations!$O$3:$O$10000,"رعایت شده")/(COUNTIFS(Evaluations!$G$3:$G$10000,$A25,Evaluations!$O$3:$O$10000,"رعایت شده")+COUNTIFS(Evaluations!$G$3:$G$10000,$A25,Evaluations!$O$3:$O$10000,"رعایت نشده")),""))</f>
        <v/>
      </c>
      <c r="G25" s="10" t="str">
        <f>IF($A25="","",IFERROR(ROUND(100*COUNTIFS(Evaluations!$G$3:$G$10000,$A25,Evaluations!$Q$3:$Q$10000,1)/(COUNTIFS(Evaluations!$G$3:$G$10000,$A25,Evaluations!$Q$3:$Q$10000,1)+COUNTIFS(Evaluations!$G$3:$G$10000,$A25,Evaluations!$Q$3:$Q$10000,0)),2),""))</f>
        <v/>
      </c>
      <c r="H25" s="10" t="str">
        <f>IF($A25="","",IFERROR(ROUND(100*COUNTIFS(Evaluations!$G$3:$G$10000,$A25,Evaluations!$R$3:$R$10000,1)/(COUNTIFS(Evaluations!$G$3:$G$10000,$A25,Evaluations!$R$3:$R$10000,1)+COUNTIFS(Evaluations!$G$3:$G$10000,$A25,Evaluations!$R$3:$R$10000,0)),2),""))</f>
        <v/>
      </c>
      <c r="I25" s="10" t="str">
        <f>IF($A25="","",IFERROR(ROUND(100*COUNTIFS(Evaluations!$G$3:$G$10000,$A25,Evaluations!$S$3:$S$10000,1)/(COUNTIFS(Evaluations!$G$3:$G$10000,$A25,Evaluations!$S$3:$S$10000,1)+COUNTIFS(Evaluations!$G$3:$G$10000,$A25,Evaluations!$S$3:$S$10000,0)),2),""))</f>
        <v/>
      </c>
      <c r="J25" s="10" t="str">
        <f>IF($A25="","",IFERROR(ROUND(100*COUNTIFS(Evaluations!$G$3:$G$10000,$A25,Evaluations!$T$3:$T$10000,1)/(COUNTIFS(Evaluations!$G$3:$G$10000,$A25,Evaluations!$T$3:$T$10000,1)+COUNTIFS(Evaluations!$G$3:$G$10000,$A25,Evaluations!$T$3:$T$10000,0)),2),""))</f>
        <v/>
      </c>
      <c r="K25" s="10" t="str">
        <f>IF($A25="","",COUNTIFS(Evaluations!$G$3:$G$10000,$A25,Evaluations!$M$3:$M$10000,"عدم پاسخ"))</f>
        <v/>
      </c>
      <c r="L25" s="10" t="str">
        <f>IF($A25="","",COUNTIFS(Evaluations!$G$3:$G$10000,$A25,Evaluations!$O$3:$O$10000,"رعایت نشده"))</f>
        <v/>
      </c>
    </row>
    <row r="26">
      <c r="A26" s="10"/>
      <c r="B26" s="10" t="str">
        <f t="array" ref="B26">_xlfn.XLOOKUP(A26,DATA!D:D,DATA!E:E,"")</f>
        <v/>
      </c>
      <c r="C26" s="10" t="str">
        <f>IF($A26="","",COUNTIFS(Evaluations!$G$3:$G$10000,$A26,Evaluations!$U$3:$U$10000,"&gt;=0",Evaluations!$U$3:$U$10000,"&lt;=100"))</f>
        <v/>
      </c>
      <c r="D26" s="10" t="str">
        <f>IF(OR($A26="",C26=0),"",ROUND(SUMIFS(Evaluations!$U$3:$U$10000,Evaluations!$G$3:$G$10000,$A26)/C26,2))</f>
        <v/>
      </c>
      <c r="E26" s="10" t="str">
        <f>IF($A26="","",COUNTIFS(Evaluations!$G$3:$G$10000,$A26,Evaluations!$M$3:$M$10000,"پاسخ داده شده"))</f>
        <v/>
      </c>
      <c r="F26" s="10" t="str">
        <f>IF($A26="","",IFERROR(COUNTIFS(Evaluations!$G$3:$G$10000,$A26,Evaluations!$O$3:$O$10000,"رعایت شده")/(COUNTIFS(Evaluations!$G$3:$G$10000,$A26,Evaluations!$O$3:$O$10000,"رعایت شده")+COUNTIFS(Evaluations!$G$3:$G$10000,$A26,Evaluations!$O$3:$O$10000,"رعایت نشده")),""))</f>
        <v/>
      </c>
      <c r="G26" s="10" t="str">
        <f>IF($A26="","",IFERROR(ROUND(100*COUNTIFS(Evaluations!$G$3:$G$10000,$A26,Evaluations!$Q$3:$Q$10000,1)/(COUNTIFS(Evaluations!$G$3:$G$10000,$A26,Evaluations!$Q$3:$Q$10000,1)+COUNTIFS(Evaluations!$G$3:$G$10000,$A26,Evaluations!$Q$3:$Q$10000,0)),2),""))</f>
        <v/>
      </c>
      <c r="H26" s="10" t="str">
        <f>IF($A26="","",IFERROR(ROUND(100*COUNTIFS(Evaluations!$G$3:$G$10000,$A26,Evaluations!$R$3:$R$10000,1)/(COUNTIFS(Evaluations!$G$3:$G$10000,$A26,Evaluations!$R$3:$R$10000,1)+COUNTIFS(Evaluations!$G$3:$G$10000,$A26,Evaluations!$R$3:$R$10000,0)),2),""))</f>
        <v/>
      </c>
      <c r="I26" s="10" t="str">
        <f>IF($A26="","",IFERROR(ROUND(100*COUNTIFS(Evaluations!$G$3:$G$10000,$A26,Evaluations!$S$3:$S$10000,1)/(COUNTIFS(Evaluations!$G$3:$G$10000,$A26,Evaluations!$S$3:$S$10000,1)+COUNTIFS(Evaluations!$G$3:$G$10000,$A26,Evaluations!$S$3:$S$10000,0)),2),""))</f>
        <v/>
      </c>
      <c r="J26" s="10" t="str">
        <f>IF($A26="","",IFERROR(ROUND(100*COUNTIFS(Evaluations!$G$3:$G$10000,$A26,Evaluations!$T$3:$T$10000,1)/(COUNTIFS(Evaluations!$G$3:$G$10000,$A26,Evaluations!$T$3:$T$10000,1)+COUNTIFS(Evaluations!$G$3:$G$10000,$A26,Evaluations!$T$3:$T$10000,0)),2),""))</f>
        <v/>
      </c>
      <c r="K26" s="10" t="str">
        <f>IF($A26="","",COUNTIFS(Evaluations!$G$3:$G$10000,$A26,Evaluations!$M$3:$M$10000,"عدم پاسخ"))</f>
        <v/>
      </c>
      <c r="L26" s="10" t="str">
        <f>IF($A26="","",COUNTIFS(Evaluations!$G$3:$G$10000,$A26,Evaluations!$O$3:$O$10000,"رعایت نشده"))</f>
        <v/>
      </c>
    </row>
    <row r="27">
      <c r="A27" s="10"/>
      <c r="B27" s="10" t="str">
        <f t="array" ref="B27">_xlfn.XLOOKUP(A27,DATA!D:D,DATA!E:E,"")</f>
        <v/>
      </c>
      <c r="C27" s="10" t="str">
        <f>IF($A27="","",COUNTIFS(Evaluations!$G$3:$G$10000,$A27,Evaluations!$U$3:$U$10000,"&gt;=0",Evaluations!$U$3:$U$10000,"&lt;=100"))</f>
        <v/>
      </c>
      <c r="D27" s="10" t="str">
        <f>IF(OR($A27="",C27=0),"",ROUND(SUMIFS(Evaluations!$U$3:$U$10000,Evaluations!$G$3:$G$10000,$A27)/C27,2))</f>
        <v/>
      </c>
      <c r="E27" s="10" t="str">
        <f>IF($A27="","",COUNTIFS(Evaluations!$G$3:$G$10000,$A27,Evaluations!$M$3:$M$10000,"پاسخ داده شده"))</f>
        <v/>
      </c>
      <c r="F27" s="10" t="str">
        <f>IF($A27="","",IFERROR(COUNTIFS(Evaluations!$G$3:$G$10000,$A27,Evaluations!$O$3:$O$10000,"رعایت شده")/(COUNTIFS(Evaluations!$G$3:$G$10000,$A27,Evaluations!$O$3:$O$10000,"رعایت شده")+COUNTIFS(Evaluations!$G$3:$G$10000,$A27,Evaluations!$O$3:$O$10000,"رعایت نشده")),""))</f>
        <v/>
      </c>
      <c r="G27" s="10" t="str">
        <f>IF($A27="","",IFERROR(ROUND(100*COUNTIFS(Evaluations!$G$3:$G$10000,$A27,Evaluations!$Q$3:$Q$10000,1)/(COUNTIFS(Evaluations!$G$3:$G$10000,$A27,Evaluations!$Q$3:$Q$10000,1)+COUNTIFS(Evaluations!$G$3:$G$10000,$A27,Evaluations!$Q$3:$Q$10000,0)),2),""))</f>
        <v/>
      </c>
      <c r="H27" s="10" t="str">
        <f>IF($A27="","",IFERROR(ROUND(100*COUNTIFS(Evaluations!$G$3:$G$10000,$A27,Evaluations!$R$3:$R$10000,1)/(COUNTIFS(Evaluations!$G$3:$G$10000,$A27,Evaluations!$R$3:$R$10000,1)+COUNTIFS(Evaluations!$G$3:$G$10000,$A27,Evaluations!$R$3:$R$10000,0)),2),""))</f>
        <v/>
      </c>
      <c r="I27" s="10" t="str">
        <f>IF($A27="","",IFERROR(ROUND(100*COUNTIFS(Evaluations!$G$3:$G$10000,$A27,Evaluations!$S$3:$S$10000,1)/(COUNTIFS(Evaluations!$G$3:$G$10000,$A27,Evaluations!$S$3:$S$10000,1)+COUNTIFS(Evaluations!$G$3:$G$10000,$A27,Evaluations!$S$3:$S$10000,0)),2),""))</f>
        <v/>
      </c>
      <c r="J27" s="10" t="str">
        <f>IF($A27="","",IFERROR(ROUND(100*COUNTIFS(Evaluations!$G$3:$G$10000,$A27,Evaluations!$T$3:$T$10000,1)/(COUNTIFS(Evaluations!$G$3:$G$10000,$A27,Evaluations!$T$3:$T$10000,1)+COUNTIFS(Evaluations!$G$3:$G$10000,$A27,Evaluations!$T$3:$T$10000,0)),2),""))</f>
        <v/>
      </c>
      <c r="K27" s="10" t="str">
        <f>IF($A27="","",COUNTIFS(Evaluations!$G$3:$G$10000,$A27,Evaluations!$M$3:$M$10000,"عدم پاسخ"))</f>
        <v/>
      </c>
      <c r="L27" s="10" t="str">
        <f>IF($A27="","",COUNTIFS(Evaluations!$G$3:$G$10000,$A27,Evaluations!$O$3:$O$10000,"رعایت نشده"))</f>
        <v/>
      </c>
    </row>
    <row r="28">
      <c r="A28" s="10"/>
      <c r="B28" s="10" t="str">
        <f t="array" ref="B28">_xlfn.XLOOKUP(A28,DATA!D:D,DATA!E:E,"")</f>
        <v/>
      </c>
      <c r="C28" s="10" t="str">
        <f>IF($A28="","",COUNTIFS(Evaluations!$G$3:$G$10000,$A28,Evaluations!$U$3:$U$10000,"&gt;=0",Evaluations!$U$3:$U$10000,"&lt;=100"))</f>
        <v/>
      </c>
      <c r="D28" s="10" t="str">
        <f>IF(OR($A28="",C28=0),"",ROUND(SUMIFS(Evaluations!$U$3:$U$10000,Evaluations!$G$3:$G$10000,$A28)/C28,2))</f>
        <v/>
      </c>
      <c r="E28" s="10" t="str">
        <f>IF($A28="","",COUNTIFS(Evaluations!$G$3:$G$10000,$A28,Evaluations!$M$3:$M$10000,"پاسخ داده شده"))</f>
        <v/>
      </c>
      <c r="F28" s="10" t="str">
        <f>IF($A28="","",IFERROR(COUNTIFS(Evaluations!$G$3:$G$10000,$A28,Evaluations!$O$3:$O$10000,"رعایت شده")/(COUNTIFS(Evaluations!$G$3:$G$10000,$A28,Evaluations!$O$3:$O$10000,"رعایت شده")+COUNTIFS(Evaluations!$G$3:$G$10000,$A28,Evaluations!$O$3:$O$10000,"رعایت نشده")),""))</f>
        <v/>
      </c>
      <c r="G28" s="10" t="str">
        <f>IF($A28="","",IFERROR(ROUND(100*COUNTIFS(Evaluations!$G$3:$G$10000,$A28,Evaluations!$Q$3:$Q$10000,1)/(COUNTIFS(Evaluations!$G$3:$G$10000,$A28,Evaluations!$Q$3:$Q$10000,1)+COUNTIFS(Evaluations!$G$3:$G$10000,$A28,Evaluations!$Q$3:$Q$10000,0)),2),""))</f>
        <v/>
      </c>
      <c r="H28" s="10" t="str">
        <f>IF($A28="","",IFERROR(ROUND(100*COUNTIFS(Evaluations!$G$3:$G$10000,$A28,Evaluations!$R$3:$R$10000,1)/(COUNTIFS(Evaluations!$G$3:$G$10000,$A28,Evaluations!$R$3:$R$10000,1)+COUNTIFS(Evaluations!$G$3:$G$10000,$A28,Evaluations!$R$3:$R$10000,0)),2),""))</f>
        <v/>
      </c>
      <c r="I28" s="10" t="str">
        <f>IF($A28="","",IFERROR(ROUND(100*COUNTIFS(Evaluations!$G$3:$G$10000,$A28,Evaluations!$S$3:$S$10000,1)/(COUNTIFS(Evaluations!$G$3:$G$10000,$A28,Evaluations!$S$3:$S$10000,1)+COUNTIFS(Evaluations!$G$3:$G$10000,$A28,Evaluations!$S$3:$S$10000,0)),2),""))</f>
        <v/>
      </c>
      <c r="J28" s="10" t="str">
        <f>IF($A28="","",IFERROR(ROUND(100*COUNTIFS(Evaluations!$G$3:$G$10000,$A28,Evaluations!$T$3:$T$10000,1)/(COUNTIFS(Evaluations!$G$3:$G$10000,$A28,Evaluations!$T$3:$T$10000,1)+COUNTIFS(Evaluations!$G$3:$G$10000,$A28,Evaluations!$T$3:$T$10000,0)),2),""))</f>
        <v/>
      </c>
      <c r="K28" s="10" t="str">
        <f>IF($A28="","",COUNTIFS(Evaluations!$G$3:$G$10000,$A28,Evaluations!$M$3:$M$10000,"عدم پاسخ"))</f>
        <v/>
      </c>
      <c r="L28" s="10" t="str">
        <f>IF($A28="","",COUNTIFS(Evaluations!$G$3:$G$10000,$A28,Evaluations!$O$3:$O$10000,"رعایت نشده"))</f>
        <v/>
      </c>
    </row>
    <row r="29">
      <c r="A29" s="10"/>
      <c r="B29" s="10" t="str">
        <f t="array" ref="B29">_xlfn.XLOOKUP(A29,DATA!D:D,DATA!E:E,"")</f>
        <v/>
      </c>
      <c r="C29" s="10" t="str">
        <f>IF($A29="","",COUNTIFS(Evaluations!$G$3:$G$10000,$A29,Evaluations!$U$3:$U$10000,"&gt;=0",Evaluations!$U$3:$U$10000,"&lt;=100"))</f>
        <v/>
      </c>
      <c r="D29" s="10" t="str">
        <f>IF(OR($A29="",C29=0),"",ROUND(SUMIFS(Evaluations!$U$3:$U$10000,Evaluations!$G$3:$G$10000,$A29)/C29,2))</f>
        <v/>
      </c>
      <c r="E29" s="10" t="str">
        <f>IF($A29="","",COUNTIFS(Evaluations!$G$3:$G$10000,$A29,Evaluations!$M$3:$M$10000,"پاسخ داده شده"))</f>
        <v/>
      </c>
      <c r="F29" s="10" t="str">
        <f>IF($A29="","",IFERROR(COUNTIFS(Evaluations!$G$3:$G$10000,$A29,Evaluations!$O$3:$O$10000,"رعایت شده")/(COUNTIFS(Evaluations!$G$3:$G$10000,$A29,Evaluations!$O$3:$O$10000,"رعایت شده")+COUNTIFS(Evaluations!$G$3:$G$10000,$A29,Evaluations!$O$3:$O$10000,"رعایت نشده")),""))</f>
        <v/>
      </c>
      <c r="G29" s="10" t="str">
        <f>IF($A29="","",IFERROR(ROUND(100*COUNTIFS(Evaluations!$G$3:$G$10000,$A29,Evaluations!$Q$3:$Q$10000,1)/(COUNTIFS(Evaluations!$G$3:$G$10000,$A29,Evaluations!$Q$3:$Q$10000,1)+COUNTIFS(Evaluations!$G$3:$G$10000,$A29,Evaluations!$Q$3:$Q$10000,0)),2),""))</f>
        <v/>
      </c>
      <c r="H29" s="10" t="str">
        <f>IF($A29="","",IFERROR(ROUND(100*COUNTIFS(Evaluations!$G$3:$G$10000,$A29,Evaluations!$R$3:$R$10000,1)/(COUNTIFS(Evaluations!$G$3:$G$10000,$A29,Evaluations!$R$3:$R$10000,1)+COUNTIFS(Evaluations!$G$3:$G$10000,$A29,Evaluations!$R$3:$R$10000,0)),2),""))</f>
        <v/>
      </c>
      <c r="I29" s="10" t="str">
        <f>IF($A29="","",IFERROR(ROUND(100*COUNTIFS(Evaluations!$G$3:$G$10000,$A29,Evaluations!$S$3:$S$10000,1)/(COUNTIFS(Evaluations!$G$3:$G$10000,$A29,Evaluations!$S$3:$S$10000,1)+COUNTIFS(Evaluations!$G$3:$G$10000,$A29,Evaluations!$S$3:$S$10000,0)),2),""))</f>
        <v/>
      </c>
      <c r="J29" s="10" t="str">
        <f>IF($A29="","",IFERROR(ROUND(100*COUNTIFS(Evaluations!$G$3:$G$10000,$A29,Evaluations!$T$3:$T$10000,1)/(COUNTIFS(Evaluations!$G$3:$G$10000,$A29,Evaluations!$T$3:$T$10000,1)+COUNTIFS(Evaluations!$G$3:$G$10000,$A29,Evaluations!$T$3:$T$10000,0)),2),""))</f>
        <v/>
      </c>
      <c r="K29" s="10" t="str">
        <f>IF($A29="","",COUNTIFS(Evaluations!$G$3:$G$10000,$A29,Evaluations!$M$3:$M$10000,"عدم پاسخ"))</f>
        <v/>
      </c>
      <c r="L29" s="10" t="str">
        <f>IF($A29="","",COUNTIFS(Evaluations!$G$3:$G$10000,$A29,Evaluations!$O$3:$O$10000,"رعایت نشده"))</f>
        <v/>
      </c>
    </row>
    <row r="30">
      <c r="A30" s="10"/>
      <c r="B30" s="10" t="str">
        <f t="array" ref="B30">_xlfn.XLOOKUP(A30,DATA!D:D,DATA!E:E,"")</f>
        <v/>
      </c>
      <c r="C30" s="10" t="str">
        <f>IF($A30="","",COUNTIFS(Evaluations!$G$3:$G$10000,$A30,Evaluations!$U$3:$U$10000,"&gt;=0",Evaluations!$U$3:$U$10000,"&lt;=100"))</f>
        <v/>
      </c>
      <c r="D30" s="10" t="str">
        <f>IF(OR($A30="",C30=0),"",ROUND(SUMIFS(Evaluations!$U$3:$U$10000,Evaluations!$G$3:$G$10000,$A30)/C30,2))</f>
        <v/>
      </c>
      <c r="E30" s="10" t="str">
        <f>IF($A30="","",COUNTIFS(Evaluations!$G$3:$G$10000,$A30,Evaluations!$M$3:$M$10000,"پاسخ داده شده"))</f>
        <v/>
      </c>
      <c r="F30" s="10" t="str">
        <f>IF($A30="","",IFERROR(COUNTIFS(Evaluations!$G$3:$G$10000,$A30,Evaluations!$O$3:$O$10000,"رعایت شده")/(COUNTIFS(Evaluations!$G$3:$G$10000,$A30,Evaluations!$O$3:$O$10000,"رعایت شده")+COUNTIFS(Evaluations!$G$3:$G$10000,$A30,Evaluations!$O$3:$O$10000,"رعایت نشده")),""))</f>
        <v/>
      </c>
      <c r="G30" s="10" t="str">
        <f>IF($A30="","",IFERROR(ROUND(100*COUNTIFS(Evaluations!$G$3:$G$10000,$A30,Evaluations!$Q$3:$Q$10000,1)/(COUNTIFS(Evaluations!$G$3:$G$10000,$A30,Evaluations!$Q$3:$Q$10000,1)+COUNTIFS(Evaluations!$G$3:$G$10000,$A30,Evaluations!$Q$3:$Q$10000,0)),2),""))</f>
        <v/>
      </c>
      <c r="H30" s="10" t="str">
        <f>IF($A30="","",IFERROR(ROUND(100*COUNTIFS(Evaluations!$G$3:$G$10000,$A30,Evaluations!$R$3:$R$10000,1)/(COUNTIFS(Evaluations!$G$3:$G$10000,$A30,Evaluations!$R$3:$R$10000,1)+COUNTIFS(Evaluations!$G$3:$G$10000,$A30,Evaluations!$R$3:$R$10000,0)),2),""))</f>
        <v/>
      </c>
      <c r="I30" s="10" t="str">
        <f>IF($A30="","",IFERROR(ROUND(100*COUNTIFS(Evaluations!$G$3:$G$10000,$A30,Evaluations!$S$3:$S$10000,1)/(COUNTIFS(Evaluations!$G$3:$G$10000,$A30,Evaluations!$S$3:$S$10000,1)+COUNTIFS(Evaluations!$G$3:$G$10000,$A30,Evaluations!$S$3:$S$10000,0)),2),""))</f>
        <v/>
      </c>
      <c r="J30" s="10" t="str">
        <f>IF($A30="","",IFERROR(ROUND(100*COUNTIFS(Evaluations!$G$3:$G$10000,$A30,Evaluations!$T$3:$T$10000,1)/(COUNTIFS(Evaluations!$G$3:$G$10000,$A30,Evaluations!$T$3:$T$10000,1)+COUNTIFS(Evaluations!$G$3:$G$10000,$A30,Evaluations!$T$3:$T$10000,0)),2),""))</f>
        <v/>
      </c>
      <c r="K30" s="10" t="str">
        <f>IF($A30="","",COUNTIFS(Evaluations!$G$3:$G$10000,$A30,Evaluations!$M$3:$M$10000,"عدم پاسخ"))</f>
        <v/>
      </c>
      <c r="L30" s="10" t="str">
        <f>IF($A30="","",COUNTIFS(Evaluations!$G$3:$G$10000,$A30,Evaluations!$O$3:$O$10000,"رعایت نشده"))</f>
        <v/>
      </c>
    </row>
    <row r="31">
      <c r="A31" s="10"/>
      <c r="B31" s="10" t="str">
        <f t="array" ref="B31">_xlfn.XLOOKUP(A31,DATA!D:D,DATA!E:E,"")</f>
        <v/>
      </c>
      <c r="C31" s="10" t="str">
        <f>IF($A31="","",COUNTIFS(Evaluations!$G$3:$G$10000,$A31,Evaluations!$U$3:$U$10000,"&gt;=0",Evaluations!$U$3:$U$10000,"&lt;=100"))</f>
        <v/>
      </c>
      <c r="D31" s="10" t="str">
        <f>IF(OR($A31="",C31=0),"",ROUND(SUMIFS(Evaluations!$U$3:$U$10000,Evaluations!$G$3:$G$10000,$A31)/C31,2))</f>
        <v/>
      </c>
      <c r="E31" s="10" t="str">
        <f>IF($A31="","",COUNTIFS(Evaluations!$G$3:$G$10000,$A31,Evaluations!$M$3:$M$10000,"پاسخ داده شده"))</f>
        <v/>
      </c>
      <c r="F31" s="10" t="str">
        <f>IF($A31="","",IFERROR(COUNTIFS(Evaluations!$G$3:$G$10000,$A31,Evaluations!$O$3:$O$10000,"رعایت شده")/(COUNTIFS(Evaluations!$G$3:$G$10000,$A31,Evaluations!$O$3:$O$10000,"رعایت شده")+COUNTIFS(Evaluations!$G$3:$G$10000,$A31,Evaluations!$O$3:$O$10000,"رعایت نشده")),""))</f>
        <v/>
      </c>
      <c r="G31" s="10" t="str">
        <f>IF($A31="","",IFERROR(ROUND(100*COUNTIFS(Evaluations!$G$3:$G$10000,$A31,Evaluations!$Q$3:$Q$10000,1)/(COUNTIFS(Evaluations!$G$3:$G$10000,$A31,Evaluations!$Q$3:$Q$10000,1)+COUNTIFS(Evaluations!$G$3:$G$10000,$A31,Evaluations!$Q$3:$Q$10000,0)),2),""))</f>
        <v/>
      </c>
      <c r="H31" s="10" t="str">
        <f>IF($A31="","",IFERROR(ROUND(100*COUNTIFS(Evaluations!$G$3:$G$10000,$A31,Evaluations!$R$3:$R$10000,1)/(COUNTIFS(Evaluations!$G$3:$G$10000,$A31,Evaluations!$R$3:$R$10000,1)+COUNTIFS(Evaluations!$G$3:$G$10000,$A31,Evaluations!$R$3:$R$10000,0)),2),""))</f>
        <v/>
      </c>
      <c r="I31" s="10" t="str">
        <f>IF($A31="","",IFERROR(ROUND(100*COUNTIFS(Evaluations!$G$3:$G$10000,$A31,Evaluations!$S$3:$S$10000,1)/(COUNTIFS(Evaluations!$G$3:$G$10000,$A31,Evaluations!$S$3:$S$10000,1)+COUNTIFS(Evaluations!$G$3:$G$10000,$A31,Evaluations!$S$3:$S$10000,0)),2),""))</f>
        <v/>
      </c>
      <c r="J31" s="10" t="str">
        <f>IF($A31="","",IFERROR(ROUND(100*COUNTIFS(Evaluations!$G$3:$G$10000,$A31,Evaluations!$T$3:$T$10000,1)/(COUNTIFS(Evaluations!$G$3:$G$10000,$A31,Evaluations!$T$3:$T$10000,1)+COUNTIFS(Evaluations!$G$3:$G$10000,$A31,Evaluations!$T$3:$T$10000,0)),2),""))</f>
        <v/>
      </c>
      <c r="K31" s="10" t="str">
        <f>IF($A31="","",COUNTIFS(Evaluations!$G$3:$G$10000,$A31,Evaluations!$M$3:$M$10000,"عدم پاسخ"))</f>
        <v/>
      </c>
      <c r="L31" s="10" t="str">
        <f>IF($A31="","",COUNTIFS(Evaluations!$G$3:$G$10000,$A31,Evaluations!$O$3:$O$10000,"رعایت نشده"))</f>
        <v/>
      </c>
    </row>
    <row r="32">
      <c r="A32" s="10"/>
      <c r="B32" s="10" t="str">
        <f t="array" ref="B32">_xlfn.XLOOKUP(A32,DATA!D:D,DATA!E:E,"")</f>
        <v/>
      </c>
      <c r="C32" s="10" t="str">
        <f>IF($A32="","",COUNTIFS(Evaluations!$G$3:$G$10000,$A32,Evaluations!$U$3:$U$10000,"&gt;=0",Evaluations!$U$3:$U$10000,"&lt;=100"))</f>
        <v/>
      </c>
      <c r="D32" s="10" t="str">
        <f>IF(OR($A32="",C32=0),"",ROUND(SUMIFS(Evaluations!$U$3:$U$10000,Evaluations!$G$3:$G$10000,$A32)/C32,2))</f>
        <v/>
      </c>
      <c r="E32" s="10" t="str">
        <f>IF($A32="","",COUNTIFS(Evaluations!$G$3:$G$10000,$A32,Evaluations!$M$3:$M$10000,"پاسخ داده شده"))</f>
        <v/>
      </c>
      <c r="F32" s="10" t="str">
        <f>IF($A32="","",IFERROR(COUNTIFS(Evaluations!$G$3:$G$10000,$A32,Evaluations!$O$3:$O$10000,"رعایت شده")/(COUNTIFS(Evaluations!$G$3:$G$10000,$A32,Evaluations!$O$3:$O$10000,"رعایت شده")+COUNTIFS(Evaluations!$G$3:$G$10000,$A32,Evaluations!$O$3:$O$10000,"رعایت نشده")),""))</f>
        <v/>
      </c>
      <c r="G32" s="10" t="str">
        <f>IF($A32="","",IFERROR(ROUND(100*COUNTIFS(Evaluations!$G$3:$G$10000,$A32,Evaluations!$Q$3:$Q$10000,1)/(COUNTIFS(Evaluations!$G$3:$G$10000,$A32,Evaluations!$Q$3:$Q$10000,1)+COUNTIFS(Evaluations!$G$3:$G$10000,$A32,Evaluations!$Q$3:$Q$10000,0)),2),""))</f>
        <v/>
      </c>
      <c r="H32" s="10" t="str">
        <f>IF($A32="","",IFERROR(ROUND(100*COUNTIFS(Evaluations!$G$3:$G$10000,$A32,Evaluations!$R$3:$R$10000,1)/(COUNTIFS(Evaluations!$G$3:$G$10000,$A32,Evaluations!$R$3:$R$10000,1)+COUNTIFS(Evaluations!$G$3:$G$10000,$A32,Evaluations!$R$3:$R$10000,0)),2),""))</f>
        <v/>
      </c>
      <c r="I32" s="10" t="str">
        <f>IF($A32="","",IFERROR(ROUND(100*COUNTIFS(Evaluations!$G$3:$G$10000,$A32,Evaluations!$S$3:$S$10000,1)/(COUNTIFS(Evaluations!$G$3:$G$10000,$A32,Evaluations!$S$3:$S$10000,1)+COUNTIFS(Evaluations!$G$3:$G$10000,$A32,Evaluations!$S$3:$S$10000,0)),2),""))</f>
        <v/>
      </c>
      <c r="J32" s="10" t="str">
        <f>IF($A32="","",IFERROR(ROUND(100*COUNTIFS(Evaluations!$G$3:$G$10000,$A32,Evaluations!$T$3:$T$10000,1)/(COUNTIFS(Evaluations!$G$3:$G$10000,$A32,Evaluations!$T$3:$T$10000,1)+COUNTIFS(Evaluations!$G$3:$G$10000,$A32,Evaluations!$T$3:$T$10000,0)),2),""))</f>
        <v/>
      </c>
      <c r="K32" s="10" t="str">
        <f>IF($A32="","",COUNTIFS(Evaluations!$G$3:$G$10000,$A32,Evaluations!$M$3:$M$10000,"عدم پاسخ"))</f>
        <v/>
      </c>
      <c r="L32" s="10" t="str">
        <f>IF($A32="","",COUNTIFS(Evaluations!$G$3:$G$10000,$A32,Evaluations!$O$3:$O$10000,"رعایت نشده"))</f>
        <v/>
      </c>
    </row>
    <row r="33">
      <c r="A33" s="10"/>
      <c r="B33" s="10" t="str">
        <f t="array" ref="B33">_xlfn.XLOOKUP(A33,DATA!D:D,DATA!E:E,"")</f>
        <v/>
      </c>
      <c r="C33" s="10" t="str">
        <f>IF($A33="","",COUNTIFS(Evaluations!$G$3:$G$10000,$A33,Evaluations!$U$3:$U$10000,"&gt;=0",Evaluations!$U$3:$U$10000,"&lt;=100"))</f>
        <v/>
      </c>
      <c r="D33" s="10" t="str">
        <f>IF(OR($A33="",C33=0),"",ROUND(SUMIFS(Evaluations!$U$3:$U$10000,Evaluations!$G$3:$G$10000,$A33)/C33,2))</f>
        <v/>
      </c>
      <c r="E33" s="10" t="str">
        <f>IF($A33="","",COUNTIFS(Evaluations!$G$3:$G$10000,$A33,Evaluations!$M$3:$M$10000,"پاسخ داده شده"))</f>
        <v/>
      </c>
      <c r="F33" s="10" t="str">
        <f>IF($A33="","",IFERROR(COUNTIFS(Evaluations!$G$3:$G$10000,$A33,Evaluations!$O$3:$O$10000,"رعایت شده")/(COUNTIFS(Evaluations!$G$3:$G$10000,$A33,Evaluations!$O$3:$O$10000,"رعایت شده")+COUNTIFS(Evaluations!$G$3:$G$10000,$A33,Evaluations!$O$3:$O$10000,"رعایت نشده")),""))</f>
        <v/>
      </c>
      <c r="G33" s="10" t="str">
        <f>IF($A33="","",IFERROR(ROUND(100*COUNTIFS(Evaluations!$G$3:$G$10000,$A33,Evaluations!$Q$3:$Q$10000,1)/(COUNTIFS(Evaluations!$G$3:$G$10000,$A33,Evaluations!$Q$3:$Q$10000,1)+COUNTIFS(Evaluations!$G$3:$G$10000,$A33,Evaluations!$Q$3:$Q$10000,0)),2),""))</f>
        <v/>
      </c>
      <c r="H33" s="10" t="str">
        <f>IF($A33="","",IFERROR(ROUND(100*COUNTIFS(Evaluations!$G$3:$G$10000,$A33,Evaluations!$R$3:$R$10000,1)/(COUNTIFS(Evaluations!$G$3:$G$10000,$A33,Evaluations!$R$3:$R$10000,1)+COUNTIFS(Evaluations!$G$3:$G$10000,$A33,Evaluations!$R$3:$R$10000,0)),2),""))</f>
        <v/>
      </c>
      <c r="I33" s="10" t="str">
        <f>IF($A33="","",IFERROR(ROUND(100*COUNTIFS(Evaluations!$G$3:$G$10000,$A33,Evaluations!$S$3:$S$10000,1)/(COUNTIFS(Evaluations!$G$3:$G$10000,$A33,Evaluations!$S$3:$S$10000,1)+COUNTIFS(Evaluations!$G$3:$G$10000,$A33,Evaluations!$S$3:$S$10000,0)),2),""))</f>
        <v/>
      </c>
      <c r="J33" s="10" t="str">
        <f>IF($A33="","",IFERROR(ROUND(100*COUNTIFS(Evaluations!$G$3:$G$10000,$A33,Evaluations!$T$3:$T$10000,1)/(COUNTIFS(Evaluations!$G$3:$G$10000,$A33,Evaluations!$T$3:$T$10000,1)+COUNTIFS(Evaluations!$G$3:$G$10000,$A33,Evaluations!$T$3:$T$10000,0)),2),""))</f>
        <v/>
      </c>
      <c r="K33" s="10" t="str">
        <f>IF($A33="","",COUNTIFS(Evaluations!$G$3:$G$10000,$A33,Evaluations!$M$3:$M$10000,"عدم پاسخ"))</f>
        <v/>
      </c>
      <c r="L33" s="10" t="str">
        <f>IF($A33="","",COUNTIFS(Evaluations!$G$3:$G$10000,$A33,Evaluations!$O$3:$O$10000,"رعایت نشده"))</f>
        <v/>
      </c>
    </row>
    <row r="34">
      <c r="A34" s="10"/>
      <c r="B34" s="10" t="str">
        <f t="array" ref="B34">_xlfn.XLOOKUP(A34,DATA!D:D,DATA!E:E,"")</f>
        <v/>
      </c>
      <c r="C34" s="10" t="str">
        <f>IF($A34="","",COUNTIFS(Evaluations!$G$3:$G$10000,$A34,Evaluations!$U$3:$U$10000,"&gt;=0",Evaluations!$U$3:$U$10000,"&lt;=100"))</f>
        <v/>
      </c>
      <c r="D34" s="10" t="str">
        <f>IF(OR($A34="",C34=0),"",ROUND(SUMIFS(Evaluations!$U$3:$U$10000,Evaluations!$G$3:$G$10000,$A34)/C34,2))</f>
        <v/>
      </c>
      <c r="E34" s="10" t="str">
        <f>IF($A34="","",COUNTIFS(Evaluations!$G$3:$G$10000,$A34,Evaluations!$M$3:$M$10000,"پاسخ داده شده"))</f>
        <v/>
      </c>
      <c r="F34" s="10" t="str">
        <f>IF($A34="","",IFERROR(COUNTIFS(Evaluations!$G$3:$G$10000,$A34,Evaluations!$O$3:$O$10000,"رعایت شده")/(COUNTIFS(Evaluations!$G$3:$G$10000,$A34,Evaluations!$O$3:$O$10000,"رعایت شده")+COUNTIFS(Evaluations!$G$3:$G$10000,$A34,Evaluations!$O$3:$O$10000,"رعایت نشده")),""))</f>
        <v/>
      </c>
      <c r="G34" s="10" t="str">
        <f>IF($A34="","",IFERROR(ROUND(100*COUNTIFS(Evaluations!$G$3:$G$10000,$A34,Evaluations!$Q$3:$Q$10000,1)/(COUNTIFS(Evaluations!$G$3:$G$10000,$A34,Evaluations!$Q$3:$Q$10000,1)+COUNTIFS(Evaluations!$G$3:$G$10000,$A34,Evaluations!$Q$3:$Q$10000,0)),2),""))</f>
        <v/>
      </c>
      <c r="H34" s="10" t="str">
        <f>IF($A34="","",IFERROR(ROUND(100*COUNTIFS(Evaluations!$G$3:$G$10000,$A34,Evaluations!$R$3:$R$10000,1)/(COUNTIFS(Evaluations!$G$3:$G$10000,$A34,Evaluations!$R$3:$R$10000,1)+COUNTIFS(Evaluations!$G$3:$G$10000,$A34,Evaluations!$R$3:$R$10000,0)),2),""))</f>
        <v/>
      </c>
      <c r="I34" s="10" t="str">
        <f>IF($A34="","",IFERROR(ROUND(100*COUNTIFS(Evaluations!$G$3:$G$10000,$A34,Evaluations!$S$3:$S$10000,1)/(COUNTIFS(Evaluations!$G$3:$G$10000,$A34,Evaluations!$S$3:$S$10000,1)+COUNTIFS(Evaluations!$G$3:$G$10000,$A34,Evaluations!$S$3:$S$10000,0)),2),""))</f>
        <v/>
      </c>
      <c r="J34" s="10" t="str">
        <f>IF($A34="","",IFERROR(ROUND(100*COUNTIFS(Evaluations!$G$3:$G$10000,$A34,Evaluations!$T$3:$T$10000,1)/(COUNTIFS(Evaluations!$G$3:$G$10000,$A34,Evaluations!$T$3:$T$10000,1)+COUNTIFS(Evaluations!$G$3:$G$10000,$A34,Evaluations!$T$3:$T$10000,0)),2),""))</f>
        <v/>
      </c>
      <c r="K34" s="10" t="str">
        <f>IF($A34="","",COUNTIFS(Evaluations!$G$3:$G$10000,$A34,Evaluations!$M$3:$M$10000,"عدم پاسخ"))</f>
        <v/>
      </c>
      <c r="L34" s="10" t="str">
        <f>IF($A34="","",COUNTIFS(Evaluations!$G$3:$G$10000,$A34,Evaluations!$O$3:$O$10000,"رعایت نشده"))</f>
        <v/>
      </c>
    </row>
    <row r="35">
      <c r="A35" s="10"/>
      <c r="B35" s="10" t="str">
        <f t="array" ref="B35">_xlfn.XLOOKUP(A35,DATA!D:D,DATA!E:E,"")</f>
        <v/>
      </c>
      <c r="C35" s="10" t="str">
        <f>IF($A35="","",COUNTIFS(Evaluations!$G$3:$G$10000,$A35,Evaluations!$U$3:$U$10000,"&gt;=0",Evaluations!$U$3:$U$10000,"&lt;=100"))</f>
        <v/>
      </c>
      <c r="D35" s="10" t="str">
        <f>IF(OR($A35="",C35=0),"",ROUND(SUMIFS(Evaluations!$U$3:$U$10000,Evaluations!$G$3:$G$10000,$A35)/C35,2))</f>
        <v/>
      </c>
      <c r="E35" s="10" t="str">
        <f>IF($A35="","",COUNTIFS(Evaluations!$G$3:$G$10000,$A35,Evaluations!$M$3:$M$10000,"پاسخ داده شده"))</f>
        <v/>
      </c>
      <c r="F35" s="10" t="str">
        <f>IF($A35="","",IFERROR(COUNTIFS(Evaluations!$G$3:$G$10000,$A35,Evaluations!$O$3:$O$10000,"رعایت شده")/(COUNTIFS(Evaluations!$G$3:$G$10000,$A35,Evaluations!$O$3:$O$10000,"رعایت شده")+COUNTIFS(Evaluations!$G$3:$G$10000,$A35,Evaluations!$O$3:$O$10000,"رعایت نشده")),""))</f>
        <v/>
      </c>
      <c r="G35" s="10" t="str">
        <f>IF($A35="","",IFERROR(ROUND(100*COUNTIFS(Evaluations!$G$3:$G$10000,$A35,Evaluations!$Q$3:$Q$10000,1)/(COUNTIFS(Evaluations!$G$3:$G$10000,$A35,Evaluations!$Q$3:$Q$10000,1)+COUNTIFS(Evaluations!$G$3:$G$10000,$A35,Evaluations!$Q$3:$Q$10000,0)),2),""))</f>
        <v/>
      </c>
      <c r="H35" s="10" t="str">
        <f>IF($A35="","",IFERROR(ROUND(100*COUNTIFS(Evaluations!$G$3:$G$10000,$A35,Evaluations!$R$3:$R$10000,1)/(COUNTIFS(Evaluations!$G$3:$G$10000,$A35,Evaluations!$R$3:$R$10000,1)+COUNTIFS(Evaluations!$G$3:$G$10000,$A35,Evaluations!$R$3:$R$10000,0)),2),""))</f>
        <v/>
      </c>
      <c r="I35" s="10" t="str">
        <f>IF($A35="","",IFERROR(ROUND(100*COUNTIFS(Evaluations!$G$3:$G$10000,$A35,Evaluations!$S$3:$S$10000,1)/(COUNTIFS(Evaluations!$G$3:$G$10000,$A35,Evaluations!$S$3:$S$10000,1)+COUNTIFS(Evaluations!$G$3:$G$10000,$A35,Evaluations!$S$3:$S$10000,0)),2),""))</f>
        <v/>
      </c>
      <c r="J35" s="10" t="str">
        <f>IF($A35="","",IFERROR(ROUND(100*COUNTIFS(Evaluations!$G$3:$G$10000,$A35,Evaluations!$T$3:$T$10000,1)/(COUNTIFS(Evaluations!$G$3:$G$10000,$A35,Evaluations!$T$3:$T$10000,1)+COUNTIFS(Evaluations!$G$3:$G$10000,$A35,Evaluations!$T$3:$T$10000,0)),2),""))</f>
        <v/>
      </c>
      <c r="K35" s="10" t="str">
        <f>IF($A35="","",COUNTIFS(Evaluations!$G$3:$G$10000,$A35,Evaluations!$M$3:$M$10000,"عدم پاسخ"))</f>
        <v/>
      </c>
      <c r="L35" s="10" t="str">
        <f>IF($A35="","",COUNTIFS(Evaluations!$G$3:$G$10000,$A35,Evaluations!$O$3:$O$10000,"رعایت نشده"))</f>
        <v/>
      </c>
    </row>
    <row r="36">
      <c r="A36" s="10"/>
      <c r="B36" s="10" t="str">
        <f t="array" ref="B36">_xlfn.XLOOKUP(A36,DATA!D:D,DATA!E:E,"")</f>
        <v/>
      </c>
      <c r="C36" s="10" t="str">
        <f>IF($A36="","",COUNTIFS(Evaluations!$G$3:$G$10000,$A36,Evaluations!$U$3:$U$10000,"&gt;=0",Evaluations!$U$3:$U$10000,"&lt;=100"))</f>
        <v/>
      </c>
      <c r="D36" s="10" t="str">
        <f>IF(OR($A36="",C36=0),"",ROUND(SUMIFS(Evaluations!$U$3:$U$10000,Evaluations!$G$3:$G$10000,$A36)/C36,2))</f>
        <v/>
      </c>
      <c r="E36" s="10" t="str">
        <f>IF($A36="","",COUNTIFS(Evaluations!$G$3:$G$10000,$A36,Evaluations!$M$3:$M$10000,"پاسخ داده شده"))</f>
        <v/>
      </c>
      <c r="F36" s="10" t="str">
        <f>IF($A36="","",IFERROR(COUNTIFS(Evaluations!$G$3:$G$10000,$A36,Evaluations!$O$3:$O$10000,"رعایت شده")/(COUNTIFS(Evaluations!$G$3:$G$10000,$A36,Evaluations!$O$3:$O$10000,"رعایت شده")+COUNTIFS(Evaluations!$G$3:$G$10000,$A36,Evaluations!$O$3:$O$10000,"رعایت نشده")),""))</f>
        <v/>
      </c>
      <c r="G36" s="10" t="str">
        <f>IF($A36="","",IFERROR(ROUND(100*COUNTIFS(Evaluations!$G$3:$G$10000,$A36,Evaluations!$Q$3:$Q$10000,1)/(COUNTIFS(Evaluations!$G$3:$G$10000,$A36,Evaluations!$Q$3:$Q$10000,1)+COUNTIFS(Evaluations!$G$3:$G$10000,$A36,Evaluations!$Q$3:$Q$10000,0)),2),""))</f>
        <v/>
      </c>
      <c r="H36" s="10" t="str">
        <f>IF($A36="","",IFERROR(ROUND(100*COUNTIFS(Evaluations!$G$3:$G$10000,$A36,Evaluations!$R$3:$R$10000,1)/(COUNTIFS(Evaluations!$G$3:$G$10000,$A36,Evaluations!$R$3:$R$10000,1)+COUNTIFS(Evaluations!$G$3:$G$10000,$A36,Evaluations!$R$3:$R$10000,0)),2),""))</f>
        <v/>
      </c>
      <c r="I36" s="10" t="str">
        <f>IF($A36="","",IFERROR(ROUND(100*COUNTIFS(Evaluations!$G$3:$G$10000,$A36,Evaluations!$S$3:$S$10000,1)/(COUNTIFS(Evaluations!$G$3:$G$10000,$A36,Evaluations!$S$3:$S$10000,1)+COUNTIFS(Evaluations!$G$3:$G$10000,$A36,Evaluations!$S$3:$S$10000,0)),2),""))</f>
        <v/>
      </c>
      <c r="J36" s="10" t="str">
        <f>IF($A36="","",IFERROR(ROUND(100*COUNTIFS(Evaluations!$G$3:$G$10000,$A36,Evaluations!$T$3:$T$10000,1)/(COUNTIFS(Evaluations!$G$3:$G$10000,$A36,Evaluations!$T$3:$T$10000,1)+COUNTIFS(Evaluations!$G$3:$G$10000,$A36,Evaluations!$T$3:$T$10000,0)),2),""))</f>
        <v/>
      </c>
      <c r="K36" s="10" t="str">
        <f>IF($A36="","",COUNTIFS(Evaluations!$G$3:$G$10000,$A36,Evaluations!$M$3:$M$10000,"عدم پاسخ"))</f>
        <v/>
      </c>
      <c r="L36" s="10" t="str">
        <f>IF($A36="","",COUNTIFS(Evaluations!$G$3:$G$10000,$A36,Evaluations!$O$3:$O$10000,"رعایت نشده"))</f>
        <v/>
      </c>
    </row>
    <row r="37">
      <c r="A37" s="10"/>
      <c r="B37" s="10" t="str">
        <f t="array" ref="B37">_xlfn.XLOOKUP(A37,DATA!D:D,DATA!E:E,"")</f>
        <v/>
      </c>
      <c r="C37" s="10" t="str">
        <f>IF($A37="","",COUNTIFS(Evaluations!$G$3:$G$10000,$A37,Evaluations!$U$3:$U$10000,"&gt;=0",Evaluations!$U$3:$U$10000,"&lt;=100"))</f>
        <v/>
      </c>
      <c r="D37" s="10" t="str">
        <f>IF(OR($A37="",C37=0),"",ROUND(SUMIFS(Evaluations!$U$3:$U$10000,Evaluations!$G$3:$G$10000,$A37)/C37,2))</f>
        <v/>
      </c>
      <c r="E37" s="10" t="str">
        <f>IF($A37="","",COUNTIFS(Evaluations!$G$3:$G$10000,$A37,Evaluations!$M$3:$M$10000,"پاسخ داده شده"))</f>
        <v/>
      </c>
      <c r="F37" s="10" t="str">
        <f>IF($A37="","",IFERROR(COUNTIFS(Evaluations!$G$3:$G$10000,$A37,Evaluations!$O$3:$O$10000,"رعایت شده")/(COUNTIFS(Evaluations!$G$3:$G$10000,$A37,Evaluations!$O$3:$O$10000,"رعایت شده")+COUNTIFS(Evaluations!$G$3:$G$10000,$A37,Evaluations!$O$3:$O$10000,"رعایت نشده")),""))</f>
        <v/>
      </c>
      <c r="G37" s="10" t="str">
        <f>IF($A37="","",IFERROR(ROUND(100*COUNTIFS(Evaluations!$G$3:$G$10000,$A37,Evaluations!$Q$3:$Q$10000,1)/(COUNTIFS(Evaluations!$G$3:$G$10000,$A37,Evaluations!$Q$3:$Q$10000,1)+COUNTIFS(Evaluations!$G$3:$G$10000,$A37,Evaluations!$Q$3:$Q$10000,0)),2),""))</f>
        <v/>
      </c>
      <c r="H37" s="10" t="str">
        <f>IF($A37="","",IFERROR(ROUND(100*COUNTIFS(Evaluations!$G$3:$G$10000,$A37,Evaluations!$R$3:$R$10000,1)/(COUNTIFS(Evaluations!$G$3:$G$10000,$A37,Evaluations!$R$3:$R$10000,1)+COUNTIFS(Evaluations!$G$3:$G$10000,$A37,Evaluations!$R$3:$R$10000,0)),2),""))</f>
        <v/>
      </c>
      <c r="I37" s="10" t="str">
        <f>IF($A37="","",IFERROR(ROUND(100*COUNTIFS(Evaluations!$G$3:$G$10000,$A37,Evaluations!$S$3:$S$10000,1)/(COUNTIFS(Evaluations!$G$3:$G$10000,$A37,Evaluations!$S$3:$S$10000,1)+COUNTIFS(Evaluations!$G$3:$G$10000,$A37,Evaluations!$S$3:$S$10000,0)),2),""))</f>
        <v/>
      </c>
      <c r="J37" s="10" t="str">
        <f>IF($A37="","",IFERROR(ROUND(100*COUNTIFS(Evaluations!$G$3:$G$10000,$A37,Evaluations!$T$3:$T$10000,1)/(COUNTIFS(Evaluations!$G$3:$G$10000,$A37,Evaluations!$T$3:$T$10000,1)+COUNTIFS(Evaluations!$G$3:$G$10000,$A37,Evaluations!$T$3:$T$10000,0)),2),""))</f>
        <v/>
      </c>
      <c r="K37" s="10" t="str">
        <f>IF($A37="","",COUNTIFS(Evaluations!$G$3:$G$10000,$A37,Evaluations!$M$3:$M$10000,"عدم پاسخ"))</f>
        <v/>
      </c>
      <c r="L37" s="10" t="str">
        <f>IF($A37="","",COUNTIFS(Evaluations!$G$3:$G$10000,$A37,Evaluations!$O$3:$O$10000,"رعایت نشده"))</f>
        <v/>
      </c>
    </row>
    <row r="38">
      <c r="A38" s="10"/>
      <c r="B38" s="10" t="str">
        <f t="array" ref="B38">_xlfn.XLOOKUP(A38,DATA!D:D,DATA!E:E,"")</f>
        <v/>
      </c>
      <c r="C38" s="10" t="str">
        <f>IF($A38="","",COUNTIFS(Evaluations!$G$3:$G$10000,$A38,Evaluations!$U$3:$U$10000,"&gt;=0",Evaluations!$U$3:$U$10000,"&lt;=100"))</f>
        <v/>
      </c>
      <c r="D38" s="10" t="str">
        <f>IF(OR($A38="",C38=0),"",ROUND(SUMIFS(Evaluations!$U$3:$U$10000,Evaluations!$G$3:$G$10000,$A38)/C38,2))</f>
        <v/>
      </c>
      <c r="E38" s="10" t="str">
        <f>IF($A38="","",COUNTIFS(Evaluations!$G$3:$G$10000,$A38,Evaluations!$M$3:$M$10000,"پاسخ داده شده"))</f>
        <v/>
      </c>
      <c r="F38" s="10" t="str">
        <f>IF($A38="","",IFERROR(COUNTIFS(Evaluations!$G$3:$G$10000,$A38,Evaluations!$O$3:$O$10000,"رعایت شده")/(COUNTIFS(Evaluations!$G$3:$G$10000,$A38,Evaluations!$O$3:$O$10000,"رعایت شده")+COUNTIFS(Evaluations!$G$3:$G$10000,$A38,Evaluations!$O$3:$O$10000,"رعایت نشده")),""))</f>
        <v/>
      </c>
      <c r="G38" s="10" t="str">
        <f>IF($A38="","",IFERROR(ROUND(100*COUNTIFS(Evaluations!$G$3:$G$10000,$A38,Evaluations!$Q$3:$Q$10000,1)/(COUNTIFS(Evaluations!$G$3:$G$10000,$A38,Evaluations!$Q$3:$Q$10000,1)+COUNTIFS(Evaluations!$G$3:$G$10000,$A38,Evaluations!$Q$3:$Q$10000,0)),2),""))</f>
        <v/>
      </c>
      <c r="H38" s="10" t="str">
        <f>IF($A38="","",IFERROR(ROUND(100*COUNTIFS(Evaluations!$G$3:$G$10000,$A38,Evaluations!$R$3:$R$10000,1)/(COUNTIFS(Evaluations!$G$3:$G$10000,$A38,Evaluations!$R$3:$R$10000,1)+COUNTIFS(Evaluations!$G$3:$G$10000,$A38,Evaluations!$R$3:$R$10000,0)),2),""))</f>
        <v/>
      </c>
      <c r="I38" s="10" t="str">
        <f>IF($A38="","",IFERROR(ROUND(100*COUNTIFS(Evaluations!$G$3:$G$10000,$A38,Evaluations!$S$3:$S$10000,1)/(COUNTIFS(Evaluations!$G$3:$G$10000,$A38,Evaluations!$S$3:$S$10000,1)+COUNTIFS(Evaluations!$G$3:$G$10000,$A38,Evaluations!$S$3:$S$10000,0)),2),""))</f>
        <v/>
      </c>
      <c r="J38" s="10" t="str">
        <f>IF($A38="","",IFERROR(ROUND(100*COUNTIFS(Evaluations!$G$3:$G$10000,$A38,Evaluations!$T$3:$T$10000,1)/(COUNTIFS(Evaluations!$G$3:$G$10000,$A38,Evaluations!$T$3:$T$10000,1)+COUNTIFS(Evaluations!$G$3:$G$10000,$A38,Evaluations!$T$3:$T$10000,0)),2),""))</f>
        <v/>
      </c>
      <c r="K38" s="10" t="str">
        <f>IF($A38="","",COUNTIFS(Evaluations!$G$3:$G$10000,$A38,Evaluations!$M$3:$M$10000,"عدم پاسخ"))</f>
        <v/>
      </c>
      <c r="L38" s="10" t="str">
        <f>IF($A38="","",COUNTIFS(Evaluations!$G$3:$G$10000,$A38,Evaluations!$O$3:$O$10000,"رعایت نشده"))</f>
        <v/>
      </c>
    </row>
    <row r="39">
      <c r="A39" s="10"/>
      <c r="B39" s="10" t="str">
        <f t="array" ref="B39">_xlfn.XLOOKUP(A39,DATA!D:D,DATA!E:E,"")</f>
        <v/>
      </c>
      <c r="C39" s="10" t="str">
        <f>IF($A39="","",COUNTIFS(Evaluations!$G$3:$G$10000,$A39,Evaluations!$U$3:$U$10000,"&gt;=0",Evaluations!$U$3:$U$10000,"&lt;=100"))</f>
        <v/>
      </c>
      <c r="D39" s="10" t="str">
        <f>IF(OR($A39="",C39=0),"",ROUND(SUMIFS(Evaluations!$U$3:$U$10000,Evaluations!$G$3:$G$10000,$A39)/C39,2))</f>
        <v/>
      </c>
      <c r="E39" s="10" t="str">
        <f>IF($A39="","",COUNTIFS(Evaluations!$G$3:$G$10000,$A39,Evaluations!$M$3:$M$10000,"پاسخ داده شده"))</f>
        <v/>
      </c>
      <c r="F39" s="10" t="str">
        <f>IF($A39="","",IFERROR(COUNTIFS(Evaluations!$G$3:$G$10000,$A39,Evaluations!$O$3:$O$10000,"رعایت شده")/(COUNTIFS(Evaluations!$G$3:$G$10000,$A39,Evaluations!$O$3:$O$10000,"رعایت شده")+COUNTIFS(Evaluations!$G$3:$G$10000,$A39,Evaluations!$O$3:$O$10000,"رعایت نشده")),""))</f>
        <v/>
      </c>
      <c r="G39" s="10" t="str">
        <f>IF($A39="","",IFERROR(ROUND(100*COUNTIFS(Evaluations!$G$3:$G$10000,$A39,Evaluations!$Q$3:$Q$10000,1)/(COUNTIFS(Evaluations!$G$3:$G$10000,$A39,Evaluations!$Q$3:$Q$10000,1)+COUNTIFS(Evaluations!$G$3:$G$10000,$A39,Evaluations!$Q$3:$Q$10000,0)),2),""))</f>
        <v/>
      </c>
      <c r="H39" s="10" t="str">
        <f>IF($A39="","",IFERROR(ROUND(100*COUNTIFS(Evaluations!$G$3:$G$10000,$A39,Evaluations!$R$3:$R$10000,1)/(COUNTIFS(Evaluations!$G$3:$G$10000,$A39,Evaluations!$R$3:$R$10000,1)+COUNTIFS(Evaluations!$G$3:$G$10000,$A39,Evaluations!$R$3:$R$10000,0)),2),""))</f>
        <v/>
      </c>
      <c r="I39" s="10" t="str">
        <f>IF($A39="","",IFERROR(ROUND(100*COUNTIFS(Evaluations!$G$3:$G$10000,$A39,Evaluations!$S$3:$S$10000,1)/(COUNTIFS(Evaluations!$G$3:$G$10000,$A39,Evaluations!$S$3:$S$10000,1)+COUNTIFS(Evaluations!$G$3:$G$10000,$A39,Evaluations!$S$3:$S$10000,0)),2),""))</f>
        <v/>
      </c>
      <c r="J39" s="10" t="str">
        <f>IF($A39="","",IFERROR(ROUND(100*COUNTIFS(Evaluations!$G$3:$G$10000,$A39,Evaluations!$T$3:$T$10000,1)/(COUNTIFS(Evaluations!$G$3:$G$10000,$A39,Evaluations!$T$3:$T$10000,1)+COUNTIFS(Evaluations!$G$3:$G$10000,$A39,Evaluations!$T$3:$T$10000,0)),2),""))</f>
        <v/>
      </c>
      <c r="K39" s="10" t="str">
        <f>IF($A39="","",COUNTIFS(Evaluations!$G$3:$G$10000,$A39,Evaluations!$M$3:$M$10000,"عدم پاسخ"))</f>
        <v/>
      </c>
      <c r="L39" s="10" t="str">
        <f>IF($A39="","",COUNTIFS(Evaluations!$G$3:$G$10000,$A39,Evaluations!$O$3:$O$10000,"رعایت نشده"))</f>
        <v/>
      </c>
    </row>
    <row r="40">
      <c r="A40" s="10"/>
      <c r="B40" s="10" t="str">
        <f t="array" ref="B40">_xlfn.XLOOKUP(A40,DATA!D:D,DATA!E:E,"")</f>
        <v/>
      </c>
      <c r="C40" s="10" t="str">
        <f>IF($A40="","",COUNTIFS(Evaluations!$G$3:$G$10000,$A40,Evaluations!$U$3:$U$10000,"&gt;=0",Evaluations!$U$3:$U$10000,"&lt;=100"))</f>
        <v/>
      </c>
      <c r="D40" s="10" t="str">
        <f>IF(OR($A40="",C40=0),"",ROUND(SUMIFS(Evaluations!$U$3:$U$10000,Evaluations!$G$3:$G$10000,$A40)/C40,2))</f>
        <v/>
      </c>
      <c r="E40" s="10" t="str">
        <f>IF($A40="","",COUNTIFS(Evaluations!$G$3:$G$10000,$A40,Evaluations!$M$3:$M$10000,"پاسخ داده شده"))</f>
        <v/>
      </c>
      <c r="F40" s="10" t="str">
        <f>IF($A40="","",IFERROR(COUNTIFS(Evaluations!$G$3:$G$10000,$A40,Evaluations!$O$3:$O$10000,"رعایت شده")/(COUNTIFS(Evaluations!$G$3:$G$10000,$A40,Evaluations!$O$3:$O$10000,"رعایت شده")+COUNTIFS(Evaluations!$G$3:$G$10000,$A40,Evaluations!$O$3:$O$10000,"رعایت نشده")),""))</f>
        <v/>
      </c>
      <c r="G40" s="10" t="str">
        <f>IF($A40="","",IFERROR(ROUND(100*COUNTIFS(Evaluations!$G$3:$G$10000,$A40,Evaluations!$Q$3:$Q$10000,1)/(COUNTIFS(Evaluations!$G$3:$G$10000,$A40,Evaluations!$Q$3:$Q$10000,1)+COUNTIFS(Evaluations!$G$3:$G$10000,$A40,Evaluations!$Q$3:$Q$10000,0)),2),""))</f>
        <v/>
      </c>
      <c r="H40" s="10" t="str">
        <f>IF($A40="","",IFERROR(ROUND(100*COUNTIFS(Evaluations!$G$3:$G$10000,$A40,Evaluations!$R$3:$R$10000,1)/(COUNTIFS(Evaluations!$G$3:$G$10000,$A40,Evaluations!$R$3:$R$10000,1)+COUNTIFS(Evaluations!$G$3:$G$10000,$A40,Evaluations!$R$3:$R$10000,0)),2),""))</f>
        <v/>
      </c>
      <c r="I40" s="10" t="str">
        <f>IF($A40="","",IFERROR(ROUND(100*COUNTIFS(Evaluations!$G$3:$G$10000,$A40,Evaluations!$S$3:$S$10000,1)/(COUNTIFS(Evaluations!$G$3:$G$10000,$A40,Evaluations!$S$3:$S$10000,1)+COUNTIFS(Evaluations!$G$3:$G$10000,$A40,Evaluations!$S$3:$S$10000,0)),2),""))</f>
        <v/>
      </c>
      <c r="J40" s="10" t="str">
        <f>IF($A40="","",IFERROR(ROUND(100*COUNTIFS(Evaluations!$G$3:$G$10000,$A40,Evaluations!$T$3:$T$10000,1)/(COUNTIFS(Evaluations!$G$3:$G$10000,$A40,Evaluations!$T$3:$T$10000,1)+COUNTIFS(Evaluations!$G$3:$G$10000,$A40,Evaluations!$T$3:$T$10000,0)),2),""))</f>
        <v/>
      </c>
      <c r="K40" s="10" t="str">
        <f>IF($A40="","",COUNTIFS(Evaluations!$G$3:$G$10000,$A40,Evaluations!$M$3:$M$10000,"عدم پاسخ"))</f>
        <v/>
      </c>
      <c r="L40" s="10" t="str">
        <f>IF($A40="","",COUNTIFS(Evaluations!$G$3:$G$10000,$A40,Evaluations!$O$3:$O$10000,"رعایت نشده"))</f>
        <v/>
      </c>
    </row>
    <row r="41">
      <c r="A41" s="10"/>
      <c r="B41" s="10" t="str">
        <f t="array" ref="B41">_xlfn.XLOOKUP(A41,DATA!D:D,DATA!E:E,"")</f>
        <v/>
      </c>
      <c r="C41" s="10" t="str">
        <f>IF($A41="","",COUNTIFS(Evaluations!$G$3:$G$10000,$A41,Evaluations!$U$3:$U$10000,"&gt;=0",Evaluations!$U$3:$U$10000,"&lt;=100"))</f>
        <v/>
      </c>
      <c r="D41" s="10" t="str">
        <f>IF(OR($A41="",C41=0),"",ROUND(SUMIFS(Evaluations!$U$3:$U$10000,Evaluations!$G$3:$G$10000,$A41)/C41,2))</f>
        <v/>
      </c>
      <c r="E41" s="10" t="str">
        <f>IF($A41="","",COUNTIFS(Evaluations!$G$3:$G$10000,$A41,Evaluations!$M$3:$M$10000,"پاسخ داده شده"))</f>
        <v/>
      </c>
      <c r="F41" s="10" t="str">
        <f>IF($A41="","",IFERROR(COUNTIFS(Evaluations!$G$3:$G$10000,$A41,Evaluations!$O$3:$O$10000,"رعایت شده")/(COUNTIFS(Evaluations!$G$3:$G$10000,$A41,Evaluations!$O$3:$O$10000,"رعایت شده")+COUNTIFS(Evaluations!$G$3:$G$10000,$A41,Evaluations!$O$3:$O$10000,"رعایت نشده")),""))</f>
        <v/>
      </c>
      <c r="G41" s="10" t="str">
        <f>IF($A41="","",IFERROR(ROUND(100*COUNTIFS(Evaluations!$G$3:$G$10000,$A41,Evaluations!$Q$3:$Q$10000,1)/(COUNTIFS(Evaluations!$G$3:$G$10000,$A41,Evaluations!$Q$3:$Q$10000,1)+COUNTIFS(Evaluations!$G$3:$G$10000,$A41,Evaluations!$Q$3:$Q$10000,0)),2),""))</f>
        <v/>
      </c>
      <c r="H41" s="10" t="str">
        <f>IF($A41="","",IFERROR(ROUND(100*COUNTIFS(Evaluations!$G$3:$G$10000,$A41,Evaluations!$R$3:$R$10000,1)/(COUNTIFS(Evaluations!$G$3:$G$10000,$A41,Evaluations!$R$3:$R$10000,1)+COUNTIFS(Evaluations!$G$3:$G$10000,$A41,Evaluations!$R$3:$R$10000,0)),2),""))</f>
        <v/>
      </c>
      <c r="I41" s="10" t="str">
        <f>IF($A41="","",IFERROR(ROUND(100*COUNTIFS(Evaluations!$G$3:$G$10000,$A41,Evaluations!$S$3:$S$10000,1)/(COUNTIFS(Evaluations!$G$3:$G$10000,$A41,Evaluations!$S$3:$S$10000,1)+COUNTIFS(Evaluations!$G$3:$G$10000,$A41,Evaluations!$S$3:$S$10000,0)),2),""))</f>
        <v/>
      </c>
      <c r="J41" s="10" t="str">
        <f>IF($A41="","",IFERROR(ROUND(100*COUNTIFS(Evaluations!$G$3:$G$10000,$A41,Evaluations!$T$3:$T$10000,1)/(COUNTIFS(Evaluations!$G$3:$G$10000,$A41,Evaluations!$T$3:$T$10000,1)+COUNTIFS(Evaluations!$G$3:$G$10000,$A41,Evaluations!$T$3:$T$10000,0)),2),""))</f>
        <v/>
      </c>
      <c r="K41" s="10" t="str">
        <f>IF($A41="","",COUNTIFS(Evaluations!$G$3:$G$10000,$A41,Evaluations!$M$3:$M$10000,"عدم پاسخ"))</f>
        <v/>
      </c>
      <c r="L41" s="10" t="str">
        <f>IF($A41="","",COUNTIFS(Evaluations!$G$3:$G$10000,$A41,Evaluations!$O$3:$O$10000,"رعایت نشده"))</f>
        <v/>
      </c>
    </row>
    <row r="42">
      <c r="A42" s="10"/>
      <c r="B42" s="10" t="str">
        <f t="array" ref="B42">_xlfn.XLOOKUP(A42,DATA!D:D,DATA!E:E,"")</f>
        <v/>
      </c>
      <c r="C42" s="10" t="str">
        <f>IF($A42="","",COUNTIFS(Evaluations!$G$3:$G$10000,$A42,Evaluations!$U$3:$U$10000,"&gt;=0",Evaluations!$U$3:$U$10000,"&lt;=100"))</f>
        <v/>
      </c>
      <c r="D42" s="10" t="str">
        <f>IF(OR($A42="",C42=0),"",ROUND(SUMIFS(Evaluations!$U$3:$U$10000,Evaluations!$G$3:$G$10000,$A42)/C42,2))</f>
        <v/>
      </c>
      <c r="E42" s="10" t="str">
        <f>IF($A42="","",COUNTIFS(Evaluations!$G$3:$G$10000,$A42,Evaluations!$M$3:$M$10000,"پاسخ داده شده"))</f>
        <v/>
      </c>
      <c r="F42" s="10" t="str">
        <f>IF($A42="","",IFERROR(COUNTIFS(Evaluations!$G$3:$G$10000,$A42,Evaluations!$O$3:$O$10000,"رعایت شده")/(COUNTIFS(Evaluations!$G$3:$G$10000,$A42,Evaluations!$O$3:$O$10000,"رعایت شده")+COUNTIFS(Evaluations!$G$3:$G$10000,$A42,Evaluations!$O$3:$O$10000,"رعایت نشده")),""))</f>
        <v/>
      </c>
      <c r="G42" s="10" t="str">
        <f>IF($A42="","",IFERROR(ROUND(100*COUNTIFS(Evaluations!$G$3:$G$10000,$A42,Evaluations!$Q$3:$Q$10000,1)/(COUNTIFS(Evaluations!$G$3:$G$10000,$A42,Evaluations!$Q$3:$Q$10000,1)+COUNTIFS(Evaluations!$G$3:$G$10000,$A42,Evaluations!$Q$3:$Q$10000,0)),2),""))</f>
        <v/>
      </c>
      <c r="H42" s="10" t="str">
        <f>IF($A42="","",IFERROR(ROUND(100*COUNTIFS(Evaluations!$G$3:$G$10000,$A42,Evaluations!$R$3:$R$10000,1)/(COUNTIFS(Evaluations!$G$3:$G$10000,$A42,Evaluations!$R$3:$R$10000,1)+COUNTIFS(Evaluations!$G$3:$G$10000,$A42,Evaluations!$R$3:$R$10000,0)),2),""))</f>
        <v/>
      </c>
      <c r="I42" s="10" t="str">
        <f>IF($A42="","",IFERROR(ROUND(100*COUNTIFS(Evaluations!$G$3:$G$10000,$A42,Evaluations!$S$3:$S$10000,1)/(COUNTIFS(Evaluations!$G$3:$G$10000,$A42,Evaluations!$S$3:$S$10000,1)+COUNTIFS(Evaluations!$G$3:$G$10000,$A42,Evaluations!$S$3:$S$10000,0)),2),""))</f>
        <v/>
      </c>
      <c r="J42" s="10" t="str">
        <f>IF($A42="","",IFERROR(ROUND(100*COUNTIFS(Evaluations!$G$3:$G$10000,$A42,Evaluations!$T$3:$T$10000,1)/(COUNTIFS(Evaluations!$G$3:$G$10000,$A42,Evaluations!$T$3:$T$10000,1)+COUNTIFS(Evaluations!$G$3:$G$10000,$A42,Evaluations!$T$3:$T$10000,0)),2),""))</f>
        <v/>
      </c>
      <c r="K42" s="10" t="str">
        <f>IF($A42="","",COUNTIFS(Evaluations!$G$3:$G$10000,$A42,Evaluations!$M$3:$M$10000,"عدم پاسخ"))</f>
        <v/>
      </c>
      <c r="L42" s="10" t="str">
        <f>IF($A42="","",COUNTIFS(Evaluations!$G$3:$G$10000,$A42,Evaluations!$O$3:$O$10000,"رعایت نشده"))</f>
        <v/>
      </c>
    </row>
    <row r="43">
      <c r="A43" s="10"/>
      <c r="B43" s="10" t="str">
        <f t="array" ref="B43">_xlfn.XLOOKUP(A43,DATA!D:D,DATA!E:E,"")</f>
        <v/>
      </c>
      <c r="C43" s="10" t="str">
        <f>IF($A43="","",COUNTIFS(Evaluations!$G$3:$G$10000,$A43,Evaluations!$U$3:$U$10000,"&gt;=0",Evaluations!$U$3:$U$10000,"&lt;=100"))</f>
        <v/>
      </c>
      <c r="D43" s="10" t="str">
        <f>IF(OR($A43="",C43=0),"",ROUND(SUMIFS(Evaluations!$U$3:$U$10000,Evaluations!$G$3:$G$10000,$A43)/C43,2))</f>
        <v/>
      </c>
      <c r="E43" s="10" t="str">
        <f>IF($A43="","",COUNTIFS(Evaluations!$G$3:$G$10000,$A43,Evaluations!$M$3:$M$10000,"پاسخ داده شده"))</f>
        <v/>
      </c>
      <c r="F43" s="10" t="str">
        <f>IF($A43="","",IFERROR(COUNTIFS(Evaluations!$G$3:$G$10000,$A43,Evaluations!$O$3:$O$10000,"رعایت شده")/(COUNTIFS(Evaluations!$G$3:$G$10000,$A43,Evaluations!$O$3:$O$10000,"رعایت شده")+COUNTIFS(Evaluations!$G$3:$G$10000,$A43,Evaluations!$O$3:$O$10000,"رعایت نشده")),""))</f>
        <v/>
      </c>
      <c r="G43" s="10" t="str">
        <f>IF($A43="","",IFERROR(ROUND(100*COUNTIFS(Evaluations!$G$3:$G$10000,$A43,Evaluations!$Q$3:$Q$10000,1)/(COUNTIFS(Evaluations!$G$3:$G$10000,$A43,Evaluations!$Q$3:$Q$10000,1)+COUNTIFS(Evaluations!$G$3:$G$10000,$A43,Evaluations!$Q$3:$Q$10000,0)),2),""))</f>
        <v/>
      </c>
      <c r="H43" s="10" t="str">
        <f>IF($A43="","",IFERROR(ROUND(100*COUNTIFS(Evaluations!$G$3:$G$10000,$A43,Evaluations!$R$3:$R$10000,1)/(COUNTIFS(Evaluations!$G$3:$G$10000,$A43,Evaluations!$R$3:$R$10000,1)+COUNTIFS(Evaluations!$G$3:$G$10000,$A43,Evaluations!$R$3:$R$10000,0)),2),""))</f>
        <v/>
      </c>
      <c r="I43" s="10" t="str">
        <f>IF($A43="","",IFERROR(ROUND(100*COUNTIFS(Evaluations!$G$3:$G$10000,$A43,Evaluations!$S$3:$S$10000,1)/(COUNTIFS(Evaluations!$G$3:$G$10000,$A43,Evaluations!$S$3:$S$10000,1)+COUNTIFS(Evaluations!$G$3:$G$10000,$A43,Evaluations!$S$3:$S$10000,0)),2),""))</f>
        <v/>
      </c>
      <c r="J43" s="10" t="str">
        <f>IF($A43="","",IFERROR(ROUND(100*COUNTIFS(Evaluations!$G$3:$G$10000,$A43,Evaluations!$T$3:$T$10000,1)/(COUNTIFS(Evaluations!$G$3:$G$10000,$A43,Evaluations!$T$3:$T$10000,1)+COUNTIFS(Evaluations!$G$3:$G$10000,$A43,Evaluations!$T$3:$T$10000,0)),2),""))</f>
        <v/>
      </c>
      <c r="K43" s="10" t="str">
        <f>IF($A43="","",COUNTIFS(Evaluations!$G$3:$G$10000,$A43,Evaluations!$M$3:$M$10000,"عدم پاسخ"))</f>
        <v/>
      </c>
      <c r="L43" s="10" t="str">
        <f>IF($A43="","",COUNTIFS(Evaluations!$G$3:$G$10000,$A43,Evaluations!$O$3:$O$10000,"رعایت نشده"))</f>
        <v/>
      </c>
    </row>
    <row r="44">
      <c r="A44" s="10"/>
      <c r="B44" s="10" t="str">
        <f t="array" ref="B44">_xlfn.XLOOKUP(A44,DATA!D:D,DATA!E:E,"")</f>
        <v/>
      </c>
      <c r="C44" s="10" t="str">
        <f>IF($A44="","",COUNTIFS(Evaluations!$G$3:$G$10000,$A44,Evaluations!$U$3:$U$10000,"&gt;=0",Evaluations!$U$3:$U$10000,"&lt;=100"))</f>
        <v/>
      </c>
      <c r="D44" s="10" t="str">
        <f>IF(OR($A44="",C44=0),"",ROUND(SUMIFS(Evaluations!$U$3:$U$10000,Evaluations!$G$3:$G$10000,$A44)/C44,2))</f>
        <v/>
      </c>
      <c r="E44" s="10" t="str">
        <f>IF($A44="","",COUNTIFS(Evaluations!$G$3:$G$10000,$A44,Evaluations!$M$3:$M$10000,"پاسخ داده شده"))</f>
        <v/>
      </c>
      <c r="F44" s="10" t="str">
        <f>IF($A44="","",IFERROR(COUNTIFS(Evaluations!$G$3:$G$10000,$A44,Evaluations!$O$3:$O$10000,"رعایت شده")/(COUNTIFS(Evaluations!$G$3:$G$10000,$A44,Evaluations!$O$3:$O$10000,"رعایت شده")+COUNTIFS(Evaluations!$G$3:$G$10000,$A44,Evaluations!$O$3:$O$10000,"رعایت نشده")),""))</f>
        <v/>
      </c>
      <c r="G44" s="10" t="str">
        <f>IF($A44="","",IFERROR(ROUND(100*COUNTIFS(Evaluations!$G$3:$G$10000,$A44,Evaluations!$Q$3:$Q$10000,1)/(COUNTIFS(Evaluations!$G$3:$G$10000,$A44,Evaluations!$Q$3:$Q$10000,1)+COUNTIFS(Evaluations!$G$3:$G$10000,$A44,Evaluations!$Q$3:$Q$10000,0)),2),""))</f>
        <v/>
      </c>
      <c r="H44" s="10" t="str">
        <f>IF($A44="","",IFERROR(ROUND(100*COUNTIFS(Evaluations!$G$3:$G$10000,$A44,Evaluations!$R$3:$R$10000,1)/(COUNTIFS(Evaluations!$G$3:$G$10000,$A44,Evaluations!$R$3:$R$10000,1)+COUNTIFS(Evaluations!$G$3:$G$10000,$A44,Evaluations!$R$3:$R$10000,0)),2),""))</f>
        <v/>
      </c>
      <c r="I44" s="10" t="str">
        <f>IF($A44="","",IFERROR(ROUND(100*COUNTIFS(Evaluations!$G$3:$G$10000,$A44,Evaluations!$S$3:$S$10000,1)/(COUNTIFS(Evaluations!$G$3:$G$10000,$A44,Evaluations!$S$3:$S$10000,1)+COUNTIFS(Evaluations!$G$3:$G$10000,$A44,Evaluations!$S$3:$S$10000,0)),2),""))</f>
        <v/>
      </c>
      <c r="J44" s="10" t="str">
        <f>IF($A44="","",IFERROR(ROUND(100*COUNTIFS(Evaluations!$G$3:$G$10000,$A44,Evaluations!$T$3:$T$10000,1)/(COUNTIFS(Evaluations!$G$3:$G$10000,$A44,Evaluations!$T$3:$T$10000,1)+COUNTIFS(Evaluations!$G$3:$G$10000,$A44,Evaluations!$T$3:$T$10000,0)),2),""))</f>
        <v/>
      </c>
      <c r="K44" s="10" t="str">
        <f>IF($A44="","",COUNTIFS(Evaluations!$G$3:$G$10000,$A44,Evaluations!$M$3:$M$10000,"عدم پاسخ"))</f>
        <v/>
      </c>
      <c r="L44" s="10" t="str">
        <f>IF($A44="","",COUNTIFS(Evaluations!$G$3:$G$10000,$A44,Evaluations!$O$3:$O$10000,"رعایت نشده"))</f>
        <v/>
      </c>
    </row>
    <row r="45">
      <c r="A45" s="10"/>
      <c r="B45" s="10" t="str">
        <f t="array" ref="B45">_xlfn.XLOOKUP(A45,DATA!D:D,DATA!E:E,"")</f>
        <v/>
      </c>
      <c r="C45" s="10" t="str">
        <f>IF($A45="","",COUNTIFS(Evaluations!$G$3:$G$10000,$A45,Evaluations!$U$3:$U$10000,"&gt;=0",Evaluations!$U$3:$U$10000,"&lt;=100"))</f>
        <v/>
      </c>
      <c r="D45" s="10" t="str">
        <f>IF(OR($A45="",C45=0),"",ROUND(SUMIFS(Evaluations!$U$3:$U$10000,Evaluations!$G$3:$G$10000,$A45)/C45,2))</f>
        <v/>
      </c>
      <c r="E45" s="10" t="str">
        <f>IF($A45="","",COUNTIFS(Evaluations!$G$3:$G$10000,$A45,Evaluations!$M$3:$M$10000,"پاسخ داده شده"))</f>
        <v/>
      </c>
      <c r="F45" s="10" t="str">
        <f>IF($A45="","",IFERROR(COUNTIFS(Evaluations!$G$3:$G$10000,$A45,Evaluations!$O$3:$O$10000,"رعایت شده")/(COUNTIFS(Evaluations!$G$3:$G$10000,$A45,Evaluations!$O$3:$O$10000,"رعایت شده")+COUNTIFS(Evaluations!$G$3:$G$10000,$A45,Evaluations!$O$3:$O$10000,"رعایت نشده")),""))</f>
        <v/>
      </c>
      <c r="G45" s="10" t="str">
        <f>IF($A45="","",IFERROR(ROUND(100*COUNTIFS(Evaluations!$G$3:$G$10000,$A45,Evaluations!$Q$3:$Q$10000,1)/(COUNTIFS(Evaluations!$G$3:$G$10000,$A45,Evaluations!$Q$3:$Q$10000,1)+COUNTIFS(Evaluations!$G$3:$G$10000,$A45,Evaluations!$Q$3:$Q$10000,0)),2),""))</f>
        <v/>
      </c>
      <c r="H45" s="10" t="str">
        <f>IF($A45="","",IFERROR(ROUND(100*COUNTIFS(Evaluations!$G$3:$G$10000,$A45,Evaluations!$R$3:$R$10000,1)/(COUNTIFS(Evaluations!$G$3:$G$10000,$A45,Evaluations!$R$3:$R$10000,1)+COUNTIFS(Evaluations!$G$3:$G$10000,$A45,Evaluations!$R$3:$R$10000,0)),2),""))</f>
        <v/>
      </c>
      <c r="I45" s="10" t="str">
        <f>IF($A45="","",IFERROR(ROUND(100*COUNTIFS(Evaluations!$G$3:$G$10000,$A45,Evaluations!$S$3:$S$10000,1)/(COUNTIFS(Evaluations!$G$3:$G$10000,$A45,Evaluations!$S$3:$S$10000,1)+COUNTIFS(Evaluations!$G$3:$G$10000,$A45,Evaluations!$S$3:$S$10000,0)),2),""))</f>
        <v/>
      </c>
      <c r="J45" s="10" t="str">
        <f>IF($A45="","",IFERROR(ROUND(100*COUNTIFS(Evaluations!$G$3:$G$10000,$A45,Evaluations!$T$3:$T$10000,1)/(COUNTIFS(Evaluations!$G$3:$G$10000,$A45,Evaluations!$T$3:$T$10000,1)+COUNTIFS(Evaluations!$G$3:$G$10000,$A45,Evaluations!$T$3:$T$10000,0)),2),""))</f>
        <v/>
      </c>
      <c r="K45" s="10" t="str">
        <f>IF($A45="","",COUNTIFS(Evaluations!$G$3:$G$10000,$A45,Evaluations!$M$3:$M$10000,"عدم پاسخ"))</f>
        <v/>
      </c>
      <c r="L45" s="10" t="str">
        <f>IF($A45="","",COUNTIFS(Evaluations!$G$3:$G$10000,$A45,Evaluations!$O$3:$O$10000,"رعایت نشده"))</f>
        <v/>
      </c>
    </row>
    <row r="46">
      <c r="A46" s="10"/>
      <c r="B46" s="10" t="str">
        <f t="array" ref="B46">_xlfn.XLOOKUP(A46,DATA!D:D,DATA!E:E,"")</f>
        <v/>
      </c>
      <c r="C46" s="10" t="str">
        <f>IF($A46="","",COUNTIFS(Evaluations!$G$3:$G$10000,$A46,Evaluations!$U$3:$U$10000,"&gt;=0",Evaluations!$U$3:$U$10000,"&lt;=100"))</f>
        <v/>
      </c>
      <c r="D46" s="10" t="str">
        <f>IF(OR($A46="",C46=0),"",ROUND(SUMIFS(Evaluations!$U$3:$U$10000,Evaluations!$G$3:$G$10000,$A46)/C46,2))</f>
        <v/>
      </c>
      <c r="E46" s="10" t="str">
        <f>IF($A46="","",COUNTIFS(Evaluations!$G$3:$G$10000,$A46,Evaluations!$M$3:$M$10000,"پاسخ داده شده"))</f>
        <v/>
      </c>
      <c r="F46" s="10" t="str">
        <f>IF($A46="","",IFERROR(COUNTIFS(Evaluations!$G$3:$G$10000,$A46,Evaluations!$O$3:$O$10000,"رعایت شده")/(COUNTIFS(Evaluations!$G$3:$G$10000,$A46,Evaluations!$O$3:$O$10000,"رعایت شده")+COUNTIFS(Evaluations!$G$3:$G$10000,$A46,Evaluations!$O$3:$O$10000,"رعایت نشده")),""))</f>
        <v/>
      </c>
      <c r="G46" s="10" t="str">
        <f>IF($A46="","",IFERROR(ROUND(100*COUNTIFS(Evaluations!$G$3:$G$10000,$A46,Evaluations!$Q$3:$Q$10000,1)/(COUNTIFS(Evaluations!$G$3:$G$10000,$A46,Evaluations!$Q$3:$Q$10000,1)+COUNTIFS(Evaluations!$G$3:$G$10000,$A46,Evaluations!$Q$3:$Q$10000,0)),2),""))</f>
        <v/>
      </c>
      <c r="H46" s="10" t="str">
        <f>IF($A46="","",IFERROR(ROUND(100*COUNTIFS(Evaluations!$G$3:$G$10000,$A46,Evaluations!$R$3:$R$10000,1)/(COUNTIFS(Evaluations!$G$3:$G$10000,$A46,Evaluations!$R$3:$R$10000,1)+COUNTIFS(Evaluations!$G$3:$G$10000,$A46,Evaluations!$R$3:$R$10000,0)),2),""))</f>
        <v/>
      </c>
      <c r="I46" s="10" t="str">
        <f>IF($A46="","",IFERROR(ROUND(100*COUNTIFS(Evaluations!$G$3:$G$10000,$A46,Evaluations!$S$3:$S$10000,1)/(COUNTIFS(Evaluations!$G$3:$G$10000,$A46,Evaluations!$S$3:$S$10000,1)+COUNTIFS(Evaluations!$G$3:$G$10000,$A46,Evaluations!$S$3:$S$10000,0)),2),""))</f>
        <v/>
      </c>
      <c r="J46" s="10" t="str">
        <f>IF($A46="","",IFERROR(ROUND(100*COUNTIFS(Evaluations!$G$3:$G$10000,$A46,Evaluations!$T$3:$T$10000,1)/(COUNTIFS(Evaluations!$G$3:$G$10000,$A46,Evaluations!$T$3:$T$10000,1)+COUNTIFS(Evaluations!$G$3:$G$10000,$A46,Evaluations!$T$3:$T$10000,0)),2),""))</f>
        <v/>
      </c>
      <c r="K46" s="10" t="str">
        <f>IF($A46="","",COUNTIFS(Evaluations!$G$3:$G$10000,$A46,Evaluations!$M$3:$M$10000,"عدم پاسخ"))</f>
        <v/>
      </c>
      <c r="L46" s="10" t="str">
        <f>IF($A46="","",COUNTIFS(Evaluations!$G$3:$G$10000,$A46,Evaluations!$O$3:$O$10000,"رعایت نشده"))</f>
        <v/>
      </c>
    </row>
    <row r="47">
      <c r="A47" s="10"/>
      <c r="B47" s="10" t="str">
        <f t="array" ref="B47">_xlfn.XLOOKUP(A47,DATA!D:D,DATA!E:E,"")</f>
        <v/>
      </c>
      <c r="C47" s="10" t="str">
        <f>IF($A47="","",COUNTIFS(Evaluations!$G$3:$G$10000,$A47,Evaluations!$U$3:$U$10000,"&gt;=0",Evaluations!$U$3:$U$10000,"&lt;=100"))</f>
        <v/>
      </c>
      <c r="D47" s="10" t="str">
        <f>IF(OR($A47="",C47=0),"",ROUND(SUMIFS(Evaluations!$U$3:$U$10000,Evaluations!$G$3:$G$10000,$A47)/C47,2))</f>
        <v/>
      </c>
      <c r="E47" s="10" t="str">
        <f>IF($A47="","",COUNTIFS(Evaluations!$G$3:$G$10000,$A47,Evaluations!$M$3:$M$10000,"پاسخ داده شده"))</f>
        <v/>
      </c>
      <c r="F47" s="10" t="str">
        <f>IF($A47="","",IFERROR(COUNTIFS(Evaluations!$G$3:$G$10000,$A47,Evaluations!$O$3:$O$10000,"رعایت شده")/(COUNTIFS(Evaluations!$G$3:$G$10000,$A47,Evaluations!$O$3:$O$10000,"رعایت شده")+COUNTIFS(Evaluations!$G$3:$G$10000,$A47,Evaluations!$O$3:$O$10000,"رعایت نشده")),""))</f>
        <v/>
      </c>
      <c r="G47" s="10" t="str">
        <f>IF($A47="","",IFERROR(ROUND(100*COUNTIFS(Evaluations!$G$3:$G$10000,$A47,Evaluations!$Q$3:$Q$10000,1)/(COUNTIFS(Evaluations!$G$3:$G$10000,$A47,Evaluations!$Q$3:$Q$10000,1)+COUNTIFS(Evaluations!$G$3:$G$10000,$A47,Evaluations!$Q$3:$Q$10000,0)),2),""))</f>
        <v/>
      </c>
      <c r="H47" s="10" t="str">
        <f>IF($A47="","",IFERROR(ROUND(100*COUNTIFS(Evaluations!$G$3:$G$10000,$A47,Evaluations!$R$3:$R$10000,1)/(COUNTIFS(Evaluations!$G$3:$G$10000,$A47,Evaluations!$R$3:$R$10000,1)+COUNTIFS(Evaluations!$G$3:$G$10000,$A47,Evaluations!$R$3:$R$10000,0)),2),""))</f>
        <v/>
      </c>
      <c r="I47" s="10" t="str">
        <f>IF($A47="","",IFERROR(ROUND(100*COUNTIFS(Evaluations!$G$3:$G$10000,$A47,Evaluations!$S$3:$S$10000,1)/(COUNTIFS(Evaluations!$G$3:$G$10000,$A47,Evaluations!$S$3:$S$10000,1)+COUNTIFS(Evaluations!$G$3:$G$10000,$A47,Evaluations!$S$3:$S$10000,0)),2),""))</f>
        <v/>
      </c>
      <c r="J47" s="10" t="str">
        <f>IF($A47="","",IFERROR(ROUND(100*COUNTIFS(Evaluations!$G$3:$G$10000,$A47,Evaluations!$T$3:$T$10000,1)/(COUNTIFS(Evaluations!$G$3:$G$10000,$A47,Evaluations!$T$3:$T$10000,1)+COUNTIFS(Evaluations!$G$3:$G$10000,$A47,Evaluations!$T$3:$T$10000,0)),2),""))</f>
        <v/>
      </c>
      <c r="K47" s="10" t="str">
        <f>IF($A47="","",COUNTIFS(Evaluations!$G$3:$G$10000,$A47,Evaluations!$M$3:$M$10000,"عدم پاسخ"))</f>
        <v/>
      </c>
      <c r="L47" s="10" t="str">
        <f>IF($A47="","",COUNTIFS(Evaluations!$G$3:$G$10000,$A47,Evaluations!$O$3:$O$10000,"رعایت نشده"))</f>
        <v/>
      </c>
    </row>
    <row r="48">
      <c r="A48" s="10"/>
      <c r="B48" s="10" t="str">
        <f t="array" ref="B48">_xlfn.XLOOKUP(A48,DATA!D:D,DATA!E:E,"")</f>
        <v/>
      </c>
      <c r="C48" s="10" t="str">
        <f>IF($A48="","",COUNTIFS(Evaluations!$G$3:$G$10000,$A48,Evaluations!$U$3:$U$10000,"&gt;=0",Evaluations!$U$3:$U$10000,"&lt;=100"))</f>
        <v/>
      </c>
      <c r="D48" s="10" t="str">
        <f>IF(OR($A48="",C48=0),"",ROUND(SUMIFS(Evaluations!$U$3:$U$10000,Evaluations!$G$3:$G$10000,$A48)/C48,2))</f>
        <v/>
      </c>
      <c r="E48" s="10" t="str">
        <f>IF($A48="","",COUNTIFS(Evaluations!$G$3:$G$10000,$A48,Evaluations!$M$3:$M$10000,"پاسخ داده شده"))</f>
        <v/>
      </c>
      <c r="F48" s="10" t="str">
        <f>IF($A48="","",IFERROR(COUNTIFS(Evaluations!$G$3:$G$10000,$A48,Evaluations!$O$3:$O$10000,"رعایت شده")/(COUNTIFS(Evaluations!$G$3:$G$10000,$A48,Evaluations!$O$3:$O$10000,"رعایت شده")+COUNTIFS(Evaluations!$G$3:$G$10000,$A48,Evaluations!$O$3:$O$10000,"رعایت نشده")),""))</f>
        <v/>
      </c>
      <c r="G48" s="10" t="str">
        <f>IF($A48="","",IFERROR(ROUND(100*COUNTIFS(Evaluations!$G$3:$G$10000,$A48,Evaluations!$Q$3:$Q$10000,1)/(COUNTIFS(Evaluations!$G$3:$G$10000,$A48,Evaluations!$Q$3:$Q$10000,1)+COUNTIFS(Evaluations!$G$3:$G$10000,$A48,Evaluations!$Q$3:$Q$10000,0)),2),""))</f>
        <v/>
      </c>
      <c r="H48" s="10" t="str">
        <f>IF($A48="","",IFERROR(ROUND(100*COUNTIFS(Evaluations!$G$3:$G$10000,$A48,Evaluations!$R$3:$R$10000,1)/(COUNTIFS(Evaluations!$G$3:$G$10000,$A48,Evaluations!$R$3:$R$10000,1)+COUNTIFS(Evaluations!$G$3:$G$10000,$A48,Evaluations!$R$3:$R$10000,0)),2),""))</f>
        <v/>
      </c>
      <c r="I48" s="10" t="str">
        <f>IF($A48="","",IFERROR(ROUND(100*COUNTIFS(Evaluations!$G$3:$G$10000,$A48,Evaluations!$S$3:$S$10000,1)/(COUNTIFS(Evaluations!$G$3:$G$10000,$A48,Evaluations!$S$3:$S$10000,1)+COUNTIFS(Evaluations!$G$3:$G$10000,$A48,Evaluations!$S$3:$S$10000,0)),2),""))</f>
        <v/>
      </c>
      <c r="J48" s="10" t="str">
        <f>IF($A48="","",IFERROR(ROUND(100*COUNTIFS(Evaluations!$G$3:$G$10000,$A48,Evaluations!$T$3:$T$10000,1)/(COUNTIFS(Evaluations!$G$3:$G$10000,$A48,Evaluations!$T$3:$T$10000,1)+COUNTIFS(Evaluations!$G$3:$G$10000,$A48,Evaluations!$T$3:$T$10000,0)),2),""))</f>
        <v/>
      </c>
      <c r="K48" s="10" t="str">
        <f>IF($A48="","",COUNTIFS(Evaluations!$G$3:$G$10000,$A48,Evaluations!$M$3:$M$10000,"عدم پاسخ"))</f>
        <v/>
      </c>
      <c r="L48" s="10" t="str">
        <f>IF($A48="","",COUNTIFS(Evaluations!$G$3:$G$10000,$A48,Evaluations!$O$3:$O$10000,"رعایت نشده"))</f>
        <v/>
      </c>
    </row>
    <row r="49">
      <c r="A49" s="10"/>
      <c r="B49" s="10" t="str">
        <f t="array" ref="B49">_xlfn.XLOOKUP(A49,DATA!D:D,DATA!E:E,"")</f>
        <v/>
      </c>
      <c r="C49" s="10" t="str">
        <f>IF($A49="","",COUNTIFS(Evaluations!$G$3:$G$10000,$A49,Evaluations!$U$3:$U$10000,"&gt;=0",Evaluations!$U$3:$U$10000,"&lt;=100"))</f>
        <v/>
      </c>
      <c r="D49" s="10" t="str">
        <f>IF(OR($A49="",C49=0),"",ROUND(SUMIFS(Evaluations!$U$3:$U$10000,Evaluations!$G$3:$G$10000,$A49)/C49,2))</f>
        <v/>
      </c>
      <c r="E49" s="10" t="str">
        <f>IF($A49="","",COUNTIFS(Evaluations!$G$3:$G$10000,$A49,Evaluations!$M$3:$M$10000,"پاسخ داده شده"))</f>
        <v/>
      </c>
      <c r="F49" s="10" t="str">
        <f>IF($A49="","",IFERROR(COUNTIFS(Evaluations!$G$3:$G$10000,$A49,Evaluations!$O$3:$O$10000,"رعایت شده")/(COUNTIFS(Evaluations!$G$3:$G$10000,$A49,Evaluations!$O$3:$O$10000,"رعایت شده")+COUNTIFS(Evaluations!$G$3:$G$10000,$A49,Evaluations!$O$3:$O$10000,"رعایت نشده")),""))</f>
        <v/>
      </c>
      <c r="G49" s="10" t="str">
        <f>IF($A49="","",IFERROR(ROUND(100*COUNTIFS(Evaluations!$G$3:$G$10000,$A49,Evaluations!$Q$3:$Q$10000,1)/(COUNTIFS(Evaluations!$G$3:$G$10000,$A49,Evaluations!$Q$3:$Q$10000,1)+COUNTIFS(Evaluations!$G$3:$G$10000,$A49,Evaluations!$Q$3:$Q$10000,0)),2),""))</f>
        <v/>
      </c>
      <c r="H49" s="10" t="str">
        <f>IF($A49="","",IFERROR(ROUND(100*COUNTIFS(Evaluations!$G$3:$G$10000,$A49,Evaluations!$R$3:$R$10000,1)/(COUNTIFS(Evaluations!$G$3:$G$10000,$A49,Evaluations!$R$3:$R$10000,1)+COUNTIFS(Evaluations!$G$3:$G$10000,$A49,Evaluations!$R$3:$R$10000,0)),2),""))</f>
        <v/>
      </c>
      <c r="I49" s="10" t="str">
        <f>IF($A49="","",IFERROR(ROUND(100*COUNTIFS(Evaluations!$G$3:$G$10000,$A49,Evaluations!$S$3:$S$10000,1)/(COUNTIFS(Evaluations!$G$3:$G$10000,$A49,Evaluations!$S$3:$S$10000,1)+COUNTIFS(Evaluations!$G$3:$G$10000,$A49,Evaluations!$S$3:$S$10000,0)),2),""))</f>
        <v/>
      </c>
      <c r="J49" s="10" t="str">
        <f>IF($A49="","",IFERROR(ROUND(100*COUNTIFS(Evaluations!$G$3:$G$10000,$A49,Evaluations!$T$3:$T$10000,1)/(COUNTIFS(Evaluations!$G$3:$G$10000,$A49,Evaluations!$T$3:$T$10000,1)+COUNTIFS(Evaluations!$G$3:$G$10000,$A49,Evaluations!$T$3:$T$10000,0)),2),""))</f>
        <v/>
      </c>
      <c r="K49" s="10" t="str">
        <f>IF($A49="","",COUNTIFS(Evaluations!$G$3:$G$10000,$A49,Evaluations!$M$3:$M$10000,"عدم پاسخ"))</f>
        <v/>
      </c>
      <c r="L49" s="10" t="str">
        <f>IF($A49="","",COUNTIFS(Evaluations!$G$3:$G$10000,$A49,Evaluations!$O$3:$O$10000,"رعایت نشده"))</f>
        <v/>
      </c>
    </row>
    <row r="50">
      <c r="A50" s="10"/>
      <c r="B50" s="10" t="str">
        <f t="array" ref="B50">_xlfn.XLOOKUP(A50,DATA!D:D,DATA!E:E,"")</f>
        <v/>
      </c>
      <c r="C50" s="10" t="str">
        <f>IF($A50="","",COUNTIFS(Evaluations!$G$3:$G$10000,$A50,Evaluations!$U$3:$U$10000,"&gt;=0",Evaluations!$U$3:$U$10000,"&lt;=100"))</f>
        <v/>
      </c>
      <c r="D50" s="10" t="str">
        <f>IF(OR($A50="",C50=0),"",ROUND(SUMIFS(Evaluations!$U$3:$U$10000,Evaluations!$G$3:$G$10000,$A50)/C50,2))</f>
        <v/>
      </c>
      <c r="E50" s="10" t="str">
        <f>IF($A50="","",COUNTIFS(Evaluations!$G$3:$G$10000,$A50,Evaluations!$M$3:$M$10000,"پاسخ داده شده"))</f>
        <v/>
      </c>
      <c r="F50" s="10" t="str">
        <f>IF($A50="","",IFERROR(COUNTIFS(Evaluations!$G$3:$G$10000,$A50,Evaluations!$O$3:$O$10000,"رعایت شده")/(COUNTIFS(Evaluations!$G$3:$G$10000,$A50,Evaluations!$O$3:$O$10000,"رعایت شده")+COUNTIFS(Evaluations!$G$3:$G$10000,$A50,Evaluations!$O$3:$O$10000,"رعایت نشده")),""))</f>
        <v/>
      </c>
      <c r="G50" s="10" t="str">
        <f>IF($A50="","",IFERROR(ROUND(100*COUNTIFS(Evaluations!$G$3:$G$10000,$A50,Evaluations!$Q$3:$Q$10000,1)/(COUNTIFS(Evaluations!$G$3:$G$10000,$A50,Evaluations!$Q$3:$Q$10000,1)+COUNTIFS(Evaluations!$G$3:$G$10000,$A50,Evaluations!$Q$3:$Q$10000,0)),2),""))</f>
        <v/>
      </c>
      <c r="H50" s="10" t="str">
        <f>IF($A50="","",IFERROR(ROUND(100*COUNTIFS(Evaluations!$G$3:$G$10000,$A50,Evaluations!$R$3:$R$10000,1)/(COUNTIFS(Evaluations!$G$3:$G$10000,$A50,Evaluations!$R$3:$R$10000,1)+COUNTIFS(Evaluations!$G$3:$G$10000,$A50,Evaluations!$R$3:$R$10000,0)),2),""))</f>
        <v/>
      </c>
      <c r="I50" s="10" t="str">
        <f>IF($A50="","",IFERROR(ROUND(100*COUNTIFS(Evaluations!$G$3:$G$10000,$A50,Evaluations!$S$3:$S$10000,1)/(COUNTIFS(Evaluations!$G$3:$G$10000,$A50,Evaluations!$S$3:$S$10000,1)+COUNTIFS(Evaluations!$G$3:$G$10000,$A50,Evaluations!$S$3:$S$10000,0)),2),""))</f>
        <v/>
      </c>
      <c r="J50" s="10" t="str">
        <f>IF($A50="","",IFERROR(ROUND(100*COUNTIFS(Evaluations!$G$3:$G$10000,$A50,Evaluations!$T$3:$T$10000,1)/(COUNTIFS(Evaluations!$G$3:$G$10000,$A50,Evaluations!$T$3:$T$10000,1)+COUNTIFS(Evaluations!$G$3:$G$10000,$A50,Evaluations!$T$3:$T$10000,0)),2),""))</f>
        <v/>
      </c>
      <c r="K50" s="10" t="str">
        <f>IF($A50="","",COUNTIFS(Evaluations!$G$3:$G$10000,$A50,Evaluations!$M$3:$M$10000,"عدم پاسخ"))</f>
        <v/>
      </c>
      <c r="L50" s="10" t="str">
        <f>IF($A50="","",COUNTIFS(Evaluations!$G$3:$G$10000,$A50,Evaluations!$O$3:$O$10000,"رعایت نشده"))</f>
        <v/>
      </c>
    </row>
    <row r="51">
      <c r="A51" s="10"/>
      <c r="B51" s="10" t="str">
        <f t="array" ref="B51">_xlfn.XLOOKUP(A51,DATA!D:D,DATA!E:E,"")</f>
        <v/>
      </c>
      <c r="C51" s="10" t="str">
        <f>IF($A51="","",COUNTIFS(Evaluations!$G$3:$G$10000,$A51,Evaluations!$U$3:$U$10000,"&gt;=0",Evaluations!$U$3:$U$10000,"&lt;=100"))</f>
        <v/>
      </c>
      <c r="D51" s="10" t="str">
        <f>IF(OR($A51="",C51=0),"",ROUND(SUMIFS(Evaluations!$U$3:$U$10000,Evaluations!$G$3:$G$10000,$A51)/C51,2))</f>
        <v/>
      </c>
      <c r="E51" s="10" t="str">
        <f>IF($A51="","",COUNTIFS(Evaluations!$G$3:$G$10000,$A51,Evaluations!$M$3:$M$10000,"پاسخ داده شده"))</f>
        <v/>
      </c>
      <c r="F51" s="10" t="str">
        <f>IF($A51="","",IFERROR(COUNTIFS(Evaluations!$G$3:$G$10000,$A51,Evaluations!$O$3:$O$10000,"رعایت شده")/(COUNTIFS(Evaluations!$G$3:$G$10000,$A51,Evaluations!$O$3:$O$10000,"رعایت شده")+COUNTIFS(Evaluations!$G$3:$G$10000,$A51,Evaluations!$O$3:$O$10000,"رعایت نشده")),""))</f>
        <v/>
      </c>
      <c r="G51" s="10" t="str">
        <f>IF($A51="","",IFERROR(ROUND(100*COUNTIFS(Evaluations!$G$3:$G$10000,$A51,Evaluations!$Q$3:$Q$10000,1)/(COUNTIFS(Evaluations!$G$3:$G$10000,$A51,Evaluations!$Q$3:$Q$10000,1)+COUNTIFS(Evaluations!$G$3:$G$10000,$A51,Evaluations!$Q$3:$Q$10000,0)),2),""))</f>
        <v/>
      </c>
      <c r="H51" s="10" t="str">
        <f>IF($A51="","",IFERROR(ROUND(100*COUNTIFS(Evaluations!$G$3:$G$10000,$A51,Evaluations!$R$3:$R$10000,1)/(COUNTIFS(Evaluations!$G$3:$G$10000,$A51,Evaluations!$R$3:$R$10000,1)+COUNTIFS(Evaluations!$G$3:$G$10000,$A51,Evaluations!$R$3:$R$10000,0)),2),""))</f>
        <v/>
      </c>
      <c r="I51" s="10" t="str">
        <f>IF($A51="","",IFERROR(ROUND(100*COUNTIFS(Evaluations!$G$3:$G$10000,$A51,Evaluations!$S$3:$S$10000,1)/(COUNTIFS(Evaluations!$G$3:$G$10000,$A51,Evaluations!$S$3:$S$10000,1)+COUNTIFS(Evaluations!$G$3:$G$10000,$A51,Evaluations!$S$3:$S$10000,0)),2),""))</f>
        <v/>
      </c>
      <c r="J51" s="10" t="str">
        <f>IF($A51="","",IFERROR(ROUND(100*COUNTIFS(Evaluations!$G$3:$G$10000,$A51,Evaluations!$T$3:$T$10000,1)/(COUNTIFS(Evaluations!$G$3:$G$10000,$A51,Evaluations!$T$3:$T$10000,1)+COUNTIFS(Evaluations!$G$3:$G$10000,$A51,Evaluations!$T$3:$T$10000,0)),2),""))</f>
        <v/>
      </c>
      <c r="K51" s="10" t="str">
        <f>IF($A51="","",COUNTIFS(Evaluations!$G$3:$G$10000,$A51,Evaluations!$M$3:$M$10000,"عدم پاسخ"))</f>
        <v/>
      </c>
      <c r="L51" s="10" t="str">
        <f>IF($A51="","",COUNTIFS(Evaluations!$G$3:$G$10000,$A51,Evaluations!$O$3:$O$10000,"رعایت نشده"))</f>
        <v/>
      </c>
    </row>
    <row r="52">
      <c r="A52" s="10"/>
      <c r="B52" s="10" t="str">
        <f t="array" ref="B52">_xlfn.XLOOKUP(A52,DATA!D:D,DATA!E:E,"")</f>
        <v/>
      </c>
      <c r="C52" s="10" t="str">
        <f>IF($A52="","",COUNTIFS(Evaluations!$G$3:$G$10000,$A52,Evaluations!$U$3:$U$10000,"&gt;=0",Evaluations!$U$3:$U$10000,"&lt;=100"))</f>
        <v/>
      </c>
      <c r="D52" s="10" t="str">
        <f>IF(OR($A52="",C52=0),"",ROUND(SUMIFS(Evaluations!$U$3:$U$10000,Evaluations!$G$3:$G$10000,$A52)/C52,2))</f>
        <v/>
      </c>
      <c r="E52" s="10" t="str">
        <f>IF($A52="","",COUNTIFS(Evaluations!$G$3:$G$10000,$A52,Evaluations!$M$3:$M$10000,"پاسخ داده شده"))</f>
        <v/>
      </c>
      <c r="F52" s="10" t="str">
        <f>IF($A52="","",IFERROR(COUNTIFS(Evaluations!$G$3:$G$10000,$A52,Evaluations!$O$3:$O$10000,"رعایت شده")/(COUNTIFS(Evaluations!$G$3:$G$10000,$A52,Evaluations!$O$3:$O$10000,"رعایت شده")+COUNTIFS(Evaluations!$G$3:$G$10000,$A52,Evaluations!$O$3:$O$10000,"رعایت نشده")),""))</f>
        <v/>
      </c>
      <c r="G52" s="10" t="str">
        <f>IF($A52="","",IFERROR(ROUND(100*COUNTIFS(Evaluations!$G$3:$G$10000,$A52,Evaluations!$Q$3:$Q$10000,1)/(COUNTIFS(Evaluations!$G$3:$G$10000,$A52,Evaluations!$Q$3:$Q$10000,1)+COUNTIFS(Evaluations!$G$3:$G$10000,$A52,Evaluations!$Q$3:$Q$10000,0)),2),""))</f>
        <v/>
      </c>
      <c r="H52" s="10" t="str">
        <f>IF($A52="","",IFERROR(ROUND(100*COUNTIFS(Evaluations!$G$3:$G$10000,$A52,Evaluations!$R$3:$R$10000,1)/(COUNTIFS(Evaluations!$G$3:$G$10000,$A52,Evaluations!$R$3:$R$10000,1)+COUNTIFS(Evaluations!$G$3:$G$10000,$A52,Evaluations!$R$3:$R$10000,0)),2),""))</f>
        <v/>
      </c>
      <c r="I52" s="10" t="str">
        <f>IF($A52="","",IFERROR(ROUND(100*COUNTIFS(Evaluations!$G$3:$G$10000,$A52,Evaluations!$S$3:$S$10000,1)/(COUNTIFS(Evaluations!$G$3:$G$10000,$A52,Evaluations!$S$3:$S$10000,1)+COUNTIFS(Evaluations!$G$3:$G$10000,$A52,Evaluations!$S$3:$S$10000,0)),2),""))</f>
        <v/>
      </c>
      <c r="J52" s="10" t="str">
        <f>IF($A52="","",IFERROR(ROUND(100*COUNTIFS(Evaluations!$G$3:$G$10000,$A52,Evaluations!$T$3:$T$10000,1)/(COUNTIFS(Evaluations!$G$3:$G$10000,$A52,Evaluations!$T$3:$T$10000,1)+COUNTIFS(Evaluations!$G$3:$G$10000,$A52,Evaluations!$T$3:$T$10000,0)),2),""))</f>
        <v/>
      </c>
      <c r="K52" s="10" t="str">
        <f>IF($A52="","",COUNTIFS(Evaluations!$G$3:$G$10000,$A52,Evaluations!$M$3:$M$10000,"عدم پاسخ"))</f>
        <v/>
      </c>
      <c r="L52" s="10" t="str">
        <f>IF($A52="","",COUNTIFS(Evaluations!$G$3:$G$10000,$A52,Evaluations!$O$3:$O$10000,"رعایت نشده"))</f>
        <v/>
      </c>
    </row>
    <row r="53">
      <c r="A53" s="10"/>
      <c r="B53" s="10" t="str">
        <f t="array" ref="B53">_xlfn.XLOOKUP(A53,DATA!D:D,DATA!E:E,"")</f>
        <v/>
      </c>
      <c r="C53" s="10" t="str">
        <f>IF($A53="","",COUNTIFS(Evaluations!$G$3:$G$10000,$A53,Evaluations!$U$3:$U$10000,"&gt;=0",Evaluations!$U$3:$U$10000,"&lt;=100"))</f>
        <v/>
      </c>
      <c r="D53" s="10" t="str">
        <f>IF(OR($A53="",C53=0),"",ROUND(SUMIFS(Evaluations!$U$3:$U$10000,Evaluations!$G$3:$G$10000,$A53)/C53,2))</f>
        <v/>
      </c>
      <c r="E53" s="10" t="str">
        <f>IF($A53="","",COUNTIFS(Evaluations!$G$3:$G$10000,$A53,Evaluations!$M$3:$M$10000,"پاسخ داده شده"))</f>
        <v/>
      </c>
      <c r="F53" s="10" t="str">
        <f>IF($A53="","",IFERROR(COUNTIFS(Evaluations!$G$3:$G$10000,$A53,Evaluations!$O$3:$O$10000,"رعایت شده")/(COUNTIFS(Evaluations!$G$3:$G$10000,$A53,Evaluations!$O$3:$O$10000,"رعایت شده")+COUNTIFS(Evaluations!$G$3:$G$10000,$A53,Evaluations!$O$3:$O$10000,"رعایت نشده")),""))</f>
        <v/>
      </c>
      <c r="G53" s="10" t="str">
        <f>IF($A53="","",IFERROR(ROUND(100*COUNTIFS(Evaluations!$G$3:$G$10000,$A53,Evaluations!$Q$3:$Q$10000,1)/(COUNTIFS(Evaluations!$G$3:$G$10000,$A53,Evaluations!$Q$3:$Q$10000,1)+COUNTIFS(Evaluations!$G$3:$G$10000,$A53,Evaluations!$Q$3:$Q$10000,0)),2),""))</f>
        <v/>
      </c>
      <c r="H53" s="10" t="str">
        <f>IF($A53="","",IFERROR(ROUND(100*COUNTIFS(Evaluations!$G$3:$G$10000,$A53,Evaluations!$R$3:$R$10000,1)/(COUNTIFS(Evaluations!$G$3:$G$10000,$A53,Evaluations!$R$3:$R$10000,1)+COUNTIFS(Evaluations!$G$3:$G$10000,$A53,Evaluations!$R$3:$R$10000,0)),2),""))</f>
        <v/>
      </c>
      <c r="I53" s="10" t="str">
        <f>IF($A53="","",IFERROR(ROUND(100*COUNTIFS(Evaluations!$G$3:$G$10000,$A53,Evaluations!$S$3:$S$10000,1)/(COUNTIFS(Evaluations!$G$3:$G$10000,$A53,Evaluations!$S$3:$S$10000,1)+COUNTIFS(Evaluations!$G$3:$G$10000,$A53,Evaluations!$S$3:$S$10000,0)),2),""))</f>
        <v/>
      </c>
      <c r="J53" s="10" t="str">
        <f>IF($A53="","",IFERROR(ROUND(100*COUNTIFS(Evaluations!$G$3:$G$10000,$A53,Evaluations!$T$3:$T$10000,1)/(COUNTIFS(Evaluations!$G$3:$G$10000,$A53,Evaluations!$T$3:$T$10000,1)+COUNTIFS(Evaluations!$G$3:$G$10000,$A53,Evaluations!$T$3:$T$10000,0)),2),""))</f>
        <v/>
      </c>
      <c r="K53" s="10" t="str">
        <f>IF($A53="","",COUNTIFS(Evaluations!$G$3:$G$10000,$A53,Evaluations!$M$3:$M$10000,"عدم پاسخ"))</f>
        <v/>
      </c>
      <c r="L53" s="10" t="str">
        <f>IF($A53="","",COUNTIFS(Evaluations!$G$3:$G$10000,$A53,Evaluations!$O$3:$O$10000,"رعایت نشده"))</f>
        <v/>
      </c>
    </row>
    <row r="54">
      <c r="A54" s="10"/>
      <c r="B54" s="10" t="str">
        <f t="array" ref="B54">_xlfn.XLOOKUP(A54,DATA!D:D,DATA!E:E,"")</f>
        <v/>
      </c>
      <c r="C54" s="10" t="str">
        <f>IF($A54="","",COUNTIFS(Evaluations!$G$3:$G$10000,$A54,Evaluations!$U$3:$U$10000,"&gt;=0",Evaluations!$U$3:$U$10000,"&lt;=100"))</f>
        <v/>
      </c>
      <c r="D54" s="10" t="str">
        <f>IF(OR($A54="",C54=0),"",ROUND(SUMIFS(Evaluations!$U$3:$U$10000,Evaluations!$G$3:$G$10000,$A54)/C54,2))</f>
        <v/>
      </c>
      <c r="E54" s="10" t="str">
        <f>IF($A54="","",COUNTIFS(Evaluations!$G$3:$G$10000,$A54,Evaluations!$M$3:$M$10000,"پاسخ داده شده"))</f>
        <v/>
      </c>
      <c r="F54" s="10" t="str">
        <f>IF($A54="","",IFERROR(COUNTIFS(Evaluations!$G$3:$G$10000,$A54,Evaluations!$O$3:$O$10000,"رعایت شده")/(COUNTIFS(Evaluations!$G$3:$G$10000,$A54,Evaluations!$O$3:$O$10000,"رعایت شده")+COUNTIFS(Evaluations!$G$3:$G$10000,$A54,Evaluations!$O$3:$O$10000,"رعایت نشده")),""))</f>
        <v/>
      </c>
      <c r="G54" s="10" t="str">
        <f>IF($A54="","",IFERROR(ROUND(100*COUNTIFS(Evaluations!$G$3:$G$10000,$A54,Evaluations!$Q$3:$Q$10000,1)/(COUNTIFS(Evaluations!$G$3:$G$10000,$A54,Evaluations!$Q$3:$Q$10000,1)+COUNTIFS(Evaluations!$G$3:$G$10000,$A54,Evaluations!$Q$3:$Q$10000,0)),2),""))</f>
        <v/>
      </c>
      <c r="H54" s="10" t="str">
        <f>IF($A54="","",IFERROR(ROUND(100*COUNTIFS(Evaluations!$G$3:$G$10000,$A54,Evaluations!$R$3:$R$10000,1)/(COUNTIFS(Evaluations!$G$3:$G$10000,$A54,Evaluations!$R$3:$R$10000,1)+COUNTIFS(Evaluations!$G$3:$G$10000,$A54,Evaluations!$R$3:$R$10000,0)),2),""))</f>
        <v/>
      </c>
      <c r="I54" s="10" t="str">
        <f>IF($A54="","",IFERROR(ROUND(100*COUNTIFS(Evaluations!$G$3:$G$10000,$A54,Evaluations!$S$3:$S$10000,1)/(COUNTIFS(Evaluations!$G$3:$G$10000,$A54,Evaluations!$S$3:$S$10000,1)+COUNTIFS(Evaluations!$G$3:$G$10000,$A54,Evaluations!$S$3:$S$10000,0)),2),""))</f>
        <v/>
      </c>
      <c r="J54" s="10" t="str">
        <f>IF($A54="","",IFERROR(ROUND(100*COUNTIFS(Evaluations!$G$3:$G$10000,$A54,Evaluations!$T$3:$T$10000,1)/(COUNTIFS(Evaluations!$G$3:$G$10000,$A54,Evaluations!$T$3:$T$10000,1)+COUNTIFS(Evaluations!$G$3:$G$10000,$A54,Evaluations!$T$3:$T$10000,0)),2),""))</f>
        <v/>
      </c>
      <c r="K54" s="10" t="str">
        <f>IF($A54="","",COUNTIFS(Evaluations!$G$3:$G$10000,$A54,Evaluations!$M$3:$M$10000,"عدم پاسخ"))</f>
        <v/>
      </c>
      <c r="L54" s="10" t="str">
        <f>IF($A54="","",COUNTIFS(Evaluations!$G$3:$G$10000,$A54,Evaluations!$O$3:$O$10000,"رعایت نشده"))</f>
        <v/>
      </c>
    </row>
    <row r="55">
      <c r="A55" s="10"/>
      <c r="B55" s="10" t="str">
        <f t="array" ref="B55">_xlfn.XLOOKUP(A55,DATA!D:D,DATA!E:E,"")</f>
        <v/>
      </c>
      <c r="C55" s="10" t="str">
        <f>IF($A55="","",COUNTIFS(Evaluations!$G$3:$G$10000,$A55,Evaluations!$U$3:$U$10000,"&gt;=0",Evaluations!$U$3:$U$10000,"&lt;=100"))</f>
        <v/>
      </c>
      <c r="D55" s="10" t="str">
        <f>IF(OR($A55="",C55=0),"",ROUND(SUMIFS(Evaluations!$U$3:$U$10000,Evaluations!$G$3:$G$10000,$A55)/C55,2))</f>
        <v/>
      </c>
      <c r="E55" s="10" t="str">
        <f>IF($A55="","",COUNTIFS(Evaluations!$G$3:$G$10000,$A55,Evaluations!$M$3:$M$10000,"پاسخ داده شده"))</f>
        <v/>
      </c>
      <c r="F55" s="10" t="str">
        <f>IF($A55="","",IFERROR(COUNTIFS(Evaluations!$G$3:$G$10000,$A55,Evaluations!$O$3:$O$10000,"رعایت شده")/(COUNTIFS(Evaluations!$G$3:$G$10000,$A55,Evaluations!$O$3:$O$10000,"رعایت شده")+COUNTIFS(Evaluations!$G$3:$G$10000,$A55,Evaluations!$O$3:$O$10000,"رعایت نشده")),""))</f>
        <v/>
      </c>
      <c r="G55" s="10" t="str">
        <f>IF($A55="","",IFERROR(ROUND(100*COUNTIFS(Evaluations!$G$3:$G$10000,$A55,Evaluations!$Q$3:$Q$10000,1)/(COUNTIFS(Evaluations!$G$3:$G$10000,$A55,Evaluations!$Q$3:$Q$10000,1)+COUNTIFS(Evaluations!$G$3:$G$10000,$A55,Evaluations!$Q$3:$Q$10000,0)),2),""))</f>
        <v/>
      </c>
      <c r="H55" s="10" t="str">
        <f>IF($A55="","",IFERROR(ROUND(100*COUNTIFS(Evaluations!$G$3:$G$10000,$A55,Evaluations!$R$3:$R$10000,1)/(COUNTIFS(Evaluations!$G$3:$G$10000,$A55,Evaluations!$R$3:$R$10000,1)+COUNTIFS(Evaluations!$G$3:$G$10000,$A55,Evaluations!$R$3:$R$10000,0)),2),""))</f>
        <v/>
      </c>
      <c r="I55" s="10" t="str">
        <f>IF($A55="","",IFERROR(ROUND(100*COUNTIFS(Evaluations!$G$3:$G$10000,$A55,Evaluations!$S$3:$S$10000,1)/(COUNTIFS(Evaluations!$G$3:$G$10000,$A55,Evaluations!$S$3:$S$10000,1)+COUNTIFS(Evaluations!$G$3:$G$10000,$A55,Evaluations!$S$3:$S$10000,0)),2),""))</f>
        <v/>
      </c>
      <c r="J55" s="10" t="str">
        <f>IF($A55="","",IFERROR(ROUND(100*COUNTIFS(Evaluations!$G$3:$G$10000,$A55,Evaluations!$T$3:$T$10000,1)/(COUNTIFS(Evaluations!$G$3:$G$10000,$A55,Evaluations!$T$3:$T$10000,1)+COUNTIFS(Evaluations!$G$3:$G$10000,$A55,Evaluations!$T$3:$T$10000,0)),2),""))</f>
        <v/>
      </c>
      <c r="K55" s="10" t="str">
        <f>IF($A55="","",COUNTIFS(Evaluations!$G$3:$G$10000,$A55,Evaluations!$M$3:$M$10000,"عدم پاسخ"))</f>
        <v/>
      </c>
      <c r="L55" s="10" t="str">
        <f>IF($A55="","",COUNTIFS(Evaluations!$G$3:$G$10000,$A55,Evaluations!$O$3:$O$10000,"رعایت نشده"))</f>
        <v/>
      </c>
    </row>
    <row r="56">
      <c r="A56" s="10"/>
      <c r="B56" s="10" t="str">
        <f t="array" ref="B56">_xlfn.XLOOKUP(A56,DATA!D:D,DATA!E:E,"")</f>
        <v/>
      </c>
      <c r="C56" s="10" t="str">
        <f>IF($A56="","",COUNTIFS(Evaluations!$G$3:$G$10000,$A56,Evaluations!$U$3:$U$10000,"&gt;=0",Evaluations!$U$3:$U$10000,"&lt;=100"))</f>
        <v/>
      </c>
      <c r="D56" s="10" t="str">
        <f>IF(OR($A56="",C56=0),"",ROUND(SUMIFS(Evaluations!$U$3:$U$10000,Evaluations!$G$3:$G$10000,$A56)/C56,2))</f>
        <v/>
      </c>
      <c r="E56" s="10" t="str">
        <f>IF($A56="","",COUNTIFS(Evaluations!$G$3:$G$10000,$A56,Evaluations!$M$3:$M$10000,"پاسخ داده شده"))</f>
        <v/>
      </c>
      <c r="F56" s="10" t="str">
        <f>IF($A56="","",IFERROR(COUNTIFS(Evaluations!$G$3:$G$10000,$A56,Evaluations!$O$3:$O$10000,"رعایت شده")/(COUNTIFS(Evaluations!$G$3:$G$10000,$A56,Evaluations!$O$3:$O$10000,"رعایت شده")+COUNTIFS(Evaluations!$G$3:$G$10000,$A56,Evaluations!$O$3:$O$10000,"رعایت نشده")),""))</f>
        <v/>
      </c>
      <c r="G56" s="10" t="str">
        <f>IF($A56="","",IFERROR(ROUND(100*COUNTIFS(Evaluations!$G$3:$G$10000,$A56,Evaluations!$Q$3:$Q$10000,1)/(COUNTIFS(Evaluations!$G$3:$G$10000,$A56,Evaluations!$Q$3:$Q$10000,1)+COUNTIFS(Evaluations!$G$3:$G$10000,$A56,Evaluations!$Q$3:$Q$10000,0)),2),""))</f>
        <v/>
      </c>
      <c r="H56" s="10" t="str">
        <f>IF($A56="","",IFERROR(ROUND(100*COUNTIFS(Evaluations!$G$3:$G$10000,$A56,Evaluations!$R$3:$R$10000,1)/(COUNTIFS(Evaluations!$G$3:$G$10000,$A56,Evaluations!$R$3:$R$10000,1)+COUNTIFS(Evaluations!$G$3:$G$10000,$A56,Evaluations!$R$3:$R$10000,0)),2),""))</f>
        <v/>
      </c>
      <c r="I56" s="10" t="str">
        <f>IF($A56="","",IFERROR(ROUND(100*COUNTIFS(Evaluations!$G$3:$G$10000,$A56,Evaluations!$S$3:$S$10000,1)/(COUNTIFS(Evaluations!$G$3:$G$10000,$A56,Evaluations!$S$3:$S$10000,1)+COUNTIFS(Evaluations!$G$3:$G$10000,$A56,Evaluations!$S$3:$S$10000,0)),2),""))</f>
        <v/>
      </c>
      <c r="J56" s="10" t="str">
        <f>IF($A56="","",IFERROR(ROUND(100*COUNTIFS(Evaluations!$G$3:$G$10000,$A56,Evaluations!$T$3:$T$10000,1)/(COUNTIFS(Evaluations!$G$3:$G$10000,$A56,Evaluations!$T$3:$T$10000,1)+COUNTIFS(Evaluations!$G$3:$G$10000,$A56,Evaluations!$T$3:$T$10000,0)),2),""))</f>
        <v/>
      </c>
      <c r="K56" s="10" t="str">
        <f>IF($A56="","",COUNTIFS(Evaluations!$G$3:$G$10000,$A56,Evaluations!$M$3:$M$10000,"عدم پاسخ"))</f>
        <v/>
      </c>
      <c r="L56" s="10" t="str">
        <f>IF($A56="","",COUNTIFS(Evaluations!$G$3:$G$10000,$A56,Evaluations!$O$3:$O$10000,"رعایت نشده"))</f>
        <v/>
      </c>
    </row>
    <row r="57">
      <c r="A57" s="10"/>
      <c r="B57" s="10" t="str">
        <f t="array" ref="B57">_xlfn.XLOOKUP(A57,DATA!D:D,DATA!E:E,"")</f>
        <v/>
      </c>
      <c r="C57" s="10" t="str">
        <f>IF($A57="","",COUNTIFS(Evaluations!$G$3:$G$10000,$A57,Evaluations!$U$3:$U$10000,"&gt;=0",Evaluations!$U$3:$U$10000,"&lt;=100"))</f>
        <v/>
      </c>
      <c r="D57" s="10" t="str">
        <f>IF(OR($A57="",C57=0),"",ROUND(SUMIFS(Evaluations!$U$3:$U$10000,Evaluations!$G$3:$G$10000,$A57)/C57,2))</f>
        <v/>
      </c>
      <c r="E57" s="10" t="str">
        <f>IF($A57="","",COUNTIFS(Evaluations!$G$3:$G$10000,$A57,Evaluations!$M$3:$M$10000,"پاسخ داده شده"))</f>
        <v/>
      </c>
      <c r="F57" s="10" t="str">
        <f>IF($A57="","",IFERROR(COUNTIFS(Evaluations!$G$3:$G$10000,$A57,Evaluations!$O$3:$O$10000,"رعایت شده")/(COUNTIFS(Evaluations!$G$3:$G$10000,$A57,Evaluations!$O$3:$O$10000,"رعایت شده")+COUNTIFS(Evaluations!$G$3:$G$10000,$A57,Evaluations!$O$3:$O$10000,"رعایت نشده")),""))</f>
        <v/>
      </c>
      <c r="G57" s="10" t="str">
        <f>IF($A57="","",IFERROR(ROUND(100*COUNTIFS(Evaluations!$G$3:$G$10000,$A57,Evaluations!$Q$3:$Q$10000,1)/(COUNTIFS(Evaluations!$G$3:$G$10000,$A57,Evaluations!$Q$3:$Q$10000,1)+COUNTIFS(Evaluations!$G$3:$G$10000,$A57,Evaluations!$Q$3:$Q$10000,0)),2),""))</f>
        <v/>
      </c>
      <c r="H57" s="10" t="str">
        <f>IF($A57="","",IFERROR(ROUND(100*COUNTIFS(Evaluations!$G$3:$G$10000,$A57,Evaluations!$R$3:$R$10000,1)/(COUNTIFS(Evaluations!$G$3:$G$10000,$A57,Evaluations!$R$3:$R$10000,1)+COUNTIFS(Evaluations!$G$3:$G$10000,$A57,Evaluations!$R$3:$R$10000,0)),2),""))</f>
        <v/>
      </c>
      <c r="I57" s="10" t="str">
        <f>IF($A57="","",IFERROR(ROUND(100*COUNTIFS(Evaluations!$G$3:$G$10000,$A57,Evaluations!$S$3:$S$10000,1)/(COUNTIFS(Evaluations!$G$3:$G$10000,$A57,Evaluations!$S$3:$S$10000,1)+COUNTIFS(Evaluations!$G$3:$G$10000,$A57,Evaluations!$S$3:$S$10000,0)),2),""))</f>
        <v/>
      </c>
      <c r="J57" s="10" t="str">
        <f>IF($A57="","",IFERROR(ROUND(100*COUNTIFS(Evaluations!$G$3:$G$10000,$A57,Evaluations!$T$3:$T$10000,1)/(COUNTIFS(Evaluations!$G$3:$G$10000,$A57,Evaluations!$T$3:$T$10000,1)+COUNTIFS(Evaluations!$G$3:$G$10000,$A57,Evaluations!$T$3:$T$10000,0)),2),""))</f>
        <v/>
      </c>
      <c r="K57" s="10" t="str">
        <f>IF($A57="","",COUNTIFS(Evaluations!$G$3:$G$10000,$A57,Evaluations!$M$3:$M$10000,"عدم پاسخ"))</f>
        <v/>
      </c>
      <c r="L57" s="10" t="str">
        <f>IF($A57="","",COUNTIFS(Evaluations!$G$3:$G$10000,$A57,Evaluations!$O$3:$O$10000,"رعایت نشده"))</f>
        <v/>
      </c>
    </row>
    <row r="58">
      <c r="A58" s="10"/>
      <c r="B58" s="10" t="str">
        <f t="array" ref="B58">_xlfn.XLOOKUP(A58,DATA!D:D,DATA!E:E,"")</f>
        <v/>
      </c>
      <c r="C58" s="10" t="str">
        <f>IF($A58="","",COUNTIFS(Evaluations!$G$3:$G$10000,$A58,Evaluations!$U$3:$U$10000,"&gt;=0",Evaluations!$U$3:$U$10000,"&lt;=100"))</f>
        <v/>
      </c>
      <c r="D58" s="10" t="str">
        <f>IF(OR($A58="",C58=0),"",ROUND(SUMIFS(Evaluations!$U$3:$U$10000,Evaluations!$G$3:$G$10000,$A58)/C58,2))</f>
        <v/>
      </c>
      <c r="E58" s="10" t="str">
        <f>IF($A58="","",COUNTIFS(Evaluations!$G$3:$G$10000,$A58,Evaluations!$M$3:$M$10000,"پاسخ داده شده"))</f>
        <v/>
      </c>
      <c r="F58" s="10" t="str">
        <f>IF($A58="","",IFERROR(COUNTIFS(Evaluations!$G$3:$G$10000,$A58,Evaluations!$O$3:$O$10000,"رعایت شده")/(COUNTIFS(Evaluations!$G$3:$G$10000,$A58,Evaluations!$O$3:$O$10000,"رعایت شده")+COUNTIFS(Evaluations!$G$3:$G$10000,$A58,Evaluations!$O$3:$O$10000,"رعایت نشده")),""))</f>
        <v/>
      </c>
      <c r="G58" s="10" t="str">
        <f>IF($A58="","",IFERROR(ROUND(100*COUNTIFS(Evaluations!$G$3:$G$10000,$A58,Evaluations!$Q$3:$Q$10000,1)/(COUNTIFS(Evaluations!$G$3:$G$10000,$A58,Evaluations!$Q$3:$Q$10000,1)+COUNTIFS(Evaluations!$G$3:$G$10000,$A58,Evaluations!$Q$3:$Q$10000,0)),2),""))</f>
        <v/>
      </c>
      <c r="H58" s="10" t="str">
        <f>IF($A58="","",IFERROR(ROUND(100*COUNTIFS(Evaluations!$G$3:$G$10000,$A58,Evaluations!$R$3:$R$10000,1)/(COUNTIFS(Evaluations!$G$3:$G$10000,$A58,Evaluations!$R$3:$R$10000,1)+COUNTIFS(Evaluations!$G$3:$G$10000,$A58,Evaluations!$R$3:$R$10000,0)),2),""))</f>
        <v/>
      </c>
      <c r="I58" s="10" t="str">
        <f>IF($A58="","",IFERROR(ROUND(100*COUNTIFS(Evaluations!$G$3:$G$10000,$A58,Evaluations!$S$3:$S$10000,1)/(COUNTIFS(Evaluations!$G$3:$G$10000,$A58,Evaluations!$S$3:$S$10000,1)+COUNTIFS(Evaluations!$G$3:$G$10000,$A58,Evaluations!$S$3:$S$10000,0)),2),""))</f>
        <v/>
      </c>
      <c r="J58" s="10" t="str">
        <f>IF($A58="","",IFERROR(ROUND(100*COUNTIFS(Evaluations!$G$3:$G$10000,$A58,Evaluations!$T$3:$T$10000,1)/(COUNTIFS(Evaluations!$G$3:$G$10000,$A58,Evaluations!$T$3:$T$10000,1)+COUNTIFS(Evaluations!$G$3:$G$10000,$A58,Evaluations!$T$3:$T$10000,0)),2),""))</f>
        <v/>
      </c>
      <c r="K58" s="10" t="str">
        <f>IF($A58="","",COUNTIFS(Evaluations!$G$3:$G$10000,$A58,Evaluations!$M$3:$M$10000,"عدم پاسخ"))</f>
        <v/>
      </c>
      <c r="L58" s="10" t="str">
        <f>IF($A58="","",COUNTIFS(Evaluations!$G$3:$G$10000,$A58,Evaluations!$O$3:$O$10000,"رعایت نشده"))</f>
        <v/>
      </c>
    </row>
    <row r="59">
      <c r="A59" s="10"/>
      <c r="B59" s="10" t="str">
        <f t="array" ref="B59">_xlfn.XLOOKUP(A59,DATA!D:D,DATA!E:E,"")</f>
        <v/>
      </c>
      <c r="C59" s="10" t="str">
        <f>IF($A59="","",COUNTIFS(Evaluations!$G$3:$G$10000,$A59,Evaluations!$U$3:$U$10000,"&gt;=0",Evaluations!$U$3:$U$10000,"&lt;=100"))</f>
        <v/>
      </c>
      <c r="D59" s="10" t="str">
        <f>IF(OR($A59="",C59=0),"",ROUND(SUMIFS(Evaluations!$U$3:$U$10000,Evaluations!$G$3:$G$10000,$A59)/C59,2))</f>
        <v/>
      </c>
      <c r="E59" s="10" t="str">
        <f>IF($A59="","",COUNTIFS(Evaluations!$G$3:$G$10000,$A59,Evaluations!$M$3:$M$10000,"پاسخ داده شده"))</f>
        <v/>
      </c>
      <c r="F59" s="10" t="str">
        <f>IF($A59="","",IFERROR(COUNTIFS(Evaluations!$G$3:$G$10000,$A59,Evaluations!$O$3:$O$10000,"رعایت شده")/(COUNTIFS(Evaluations!$G$3:$G$10000,$A59,Evaluations!$O$3:$O$10000,"رعایت شده")+COUNTIFS(Evaluations!$G$3:$G$10000,$A59,Evaluations!$O$3:$O$10000,"رعایت نشده")),""))</f>
        <v/>
      </c>
      <c r="G59" s="10" t="str">
        <f>IF($A59="","",IFERROR(ROUND(100*COUNTIFS(Evaluations!$G$3:$G$10000,$A59,Evaluations!$Q$3:$Q$10000,1)/(COUNTIFS(Evaluations!$G$3:$G$10000,$A59,Evaluations!$Q$3:$Q$10000,1)+COUNTIFS(Evaluations!$G$3:$G$10000,$A59,Evaluations!$Q$3:$Q$10000,0)),2),""))</f>
        <v/>
      </c>
      <c r="H59" s="10" t="str">
        <f>IF($A59="","",IFERROR(ROUND(100*COUNTIFS(Evaluations!$G$3:$G$10000,$A59,Evaluations!$R$3:$R$10000,1)/(COUNTIFS(Evaluations!$G$3:$G$10000,$A59,Evaluations!$R$3:$R$10000,1)+COUNTIFS(Evaluations!$G$3:$G$10000,$A59,Evaluations!$R$3:$R$10000,0)),2),""))</f>
        <v/>
      </c>
      <c r="I59" s="10" t="str">
        <f>IF($A59="","",IFERROR(ROUND(100*COUNTIFS(Evaluations!$G$3:$G$10000,$A59,Evaluations!$S$3:$S$10000,1)/(COUNTIFS(Evaluations!$G$3:$G$10000,$A59,Evaluations!$S$3:$S$10000,1)+COUNTIFS(Evaluations!$G$3:$G$10000,$A59,Evaluations!$S$3:$S$10000,0)),2),""))</f>
        <v/>
      </c>
      <c r="J59" s="10" t="str">
        <f>IF($A59="","",IFERROR(ROUND(100*COUNTIFS(Evaluations!$G$3:$G$10000,$A59,Evaluations!$T$3:$T$10000,1)/(COUNTIFS(Evaluations!$G$3:$G$10000,$A59,Evaluations!$T$3:$T$10000,1)+COUNTIFS(Evaluations!$G$3:$G$10000,$A59,Evaluations!$T$3:$T$10000,0)),2),""))</f>
        <v/>
      </c>
      <c r="K59" s="10" t="str">
        <f>IF($A59="","",COUNTIFS(Evaluations!$G$3:$G$10000,$A59,Evaluations!$M$3:$M$10000,"عدم پاسخ"))</f>
        <v/>
      </c>
      <c r="L59" s="10" t="str">
        <f>IF($A59="","",COUNTIFS(Evaluations!$G$3:$G$10000,$A59,Evaluations!$O$3:$O$10000,"رعایت نشده"))</f>
        <v/>
      </c>
    </row>
    <row r="60">
      <c r="A60" s="10"/>
      <c r="B60" s="10" t="str">
        <f t="array" ref="B60">_xlfn.XLOOKUP(A60,DATA!D:D,DATA!E:E,"")</f>
        <v/>
      </c>
      <c r="C60" s="10" t="str">
        <f>IF($A60="","",COUNTIFS(Evaluations!$G$3:$G$10000,$A60,Evaluations!$U$3:$U$10000,"&gt;=0",Evaluations!$U$3:$U$10000,"&lt;=100"))</f>
        <v/>
      </c>
      <c r="D60" s="10" t="str">
        <f>IF(OR($A60="",C60=0),"",ROUND(SUMIFS(Evaluations!$U$3:$U$10000,Evaluations!$G$3:$G$10000,$A60)/C60,2))</f>
        <v/>
      </c>
      <c r="E60" s="10" t="str">
        <f>IF($A60="","",COUNTIFS(Evaluations!$G$3:$G$10000,$A60,Evaluations!$M$3:$M$10000,"پاسخ داده شده"))</f>
        <v/>
      </c>
      <c r="F60" s="10" t="str">
        <f>IF($A60="","",IFERROR(COUNTIFS(Evaluations!$G$3:$G$10000,$A60,Evaluations!$O$3:$O$10000,"رعایت شده")/(COUNTIFS(Evaluations!$G$3:$G$10000,$A60,Evaluations!$O$3:$O$10000,"رعایت شده")+COUNTIFS(Evaluations!$G$3:$G$10000,$A60,Evaluations!$O$3:$O$10000,"رعایت نشده")),""))</f>
        <v/>
      </c>
      <c r="G60" s="10" t="str">
        <f>IF($A60="","",IFERROR(ROUND(100*COUNTIFS(Evaluations!$G$3:$G$10000,$A60,Evaluations!$Q$3:$Q$10000,1)/(COUNTIFS(Evaluations!$G$3:$G$10000,$A60,Evaluations!$Q$3:$Q$10000,1)+COUNTIFS(Evaluations!$G$3:$G$10000,$A60,Evaluations!$Q$3:$Q$10000,0)),2),""))</f>
        <v/>
      </c>
      <c r="H60" s="10" t="str">
        <f>IF($A60="","",IFERROR(ROUND(100*COUNTIFS(Evaluations!$G$3:$G$10000,$A60,Evaluations!$R$3:$R$10000,1)/(COUNTIFS(Evaluations!$G$3:$G$10000,$A60,Evaluations!$R$3:$R$10000,1)+COUNTIFS(Evaluations!$G$3:$G$10000,$A60,Evaluations!$R$3:$R$10000,0)),2),""))</f>
        <v/>
      </c>
      <c r="I60" s="10" t="str">
        <f>IF($A60="","",IFERROR(ROUND(100*COUNTIFS(Evaluations!$G$3:$G$10000,$A60,Evaluations!$S$3:$S$10000,1)/(COUNTIFS(Evaluations!$G$3:$G$10000,$A60,Evaluations!$S$3:$S$10000,1)+COUNTIFS(Evaluations!$G$3:$G$10000,$A60,Evaluations!$S$3:$S$10000,0)),2),""))</f>
        <v/>
      </c>
      <c r="J60" s="10" t="str">
        <f>IF($A60="","",IFERROR(ROUND(100*COUNTIFS(Evaluations!$G$3:$G$10000,$A60,Evaluations!$T$3:$T$10000,1)/(COUNTIFS(Evaluations!$G$3:$G$10000,$A60,Evaluations!$T$3:$T$10000,1)+COUNTIFS(Evaluations!$G$3:$G$10000,$A60,Evaluations!$T$3:$T$10000,0)),2),""))</f>
        <v/>
      </c>
      <c r="K60" s="10" t="str">
        <f>IF($A60="","",COUNTIFS(Evaluations!$G$3:$G$10000,$A60,Evaluations!$M$3:$M$10000,"عدم پاسخ"))</f>
        <v/>
      </c>
      <c r="L60" s="10" t="str">
        <f>IF($A60="","",COUNTIFS(Evaluations!$G$3:$G$10000,$A60,Evaluations!$O$3:$O$10000,"رعایت نشده"))</f>
        <v/>
      </c>
    </row>
    <row r="61">
      <c r="A61" s="10"/>
      <c r="B61" s="10" t="str">
        <f t="array" ref="B61">_xlfn.XLOOKUP(A61,DATA!D:D,DATA!E:E,"")</f>
        <v/>
      </c>
      <c r="C61" s="10" t="str">
        <f>IF($A61="","",COUNTIFS(Evaluations!$G$3:$G$10000,$A61,Evaluations!$U$3:$U$10000,"&gt;=0",Evaluations!$U$3:$U$10000,"&lt;=100"))</f>
        <v/>
      </c>
      <c r="D61" s="10" t="str">
        <f>IF(OR($A61="",C61=0),"",ROUND(SUMIFS(Evaluations!$U$3:$U$10000,Evaluations!$G$3:$G$10000,$A61)/C61,2))</f>
        <v/>
      </c>
      <c r="E61" s="10" t="str">
        <f>IF($A61="","",COUNTIFS(Evaluations!$G$3:$G$10000,$A61,Evaluations!$M$3:$M$10000,"پاسخ داده شده"))</f>
        <v/>
      </c>
      <c r="F61" s="10" t="str">
        <f>IF($A61="","",IFERROR(COUNTIFS(Evaluations!$G$3:$G$10000,$A61,Evaluations!$O$3:$O$10000,"رعایت شده")/(COUNTIFS(Evaluations!$G$3:$G$10000,$A61,Evaluations!$O$3:$O$10000,"رعایت شده")+COUNTIFS(Evaluations!$G$3:$G$10000,$A61,Evaluations!$O$3:$O$10000,"رعایت نشده")),""))</f>
        <v/>
      </c>
      <c r="G61" s="10" t="str">
        <f>IF($A61="","",IFERROR(ROUND(100*COUNTIFS(Evaluations!$G$3:$G$10000,$A61,Evaluations!$Q$3:$Q$10000,1)/(COUNTIFS(Evaluations!$G$3:$G$10000,$A61,Evaluations!$Q$3:$Q$10000,1)+COUNTIFS(Evaluations!$G$3:$G$10000,$A61,Evaluations!$Q$3:$Q$10000,0)),2),""))</f>
        <v/>
      </c>
      <c r="H61" s="10" t="str">
        <f>IF($A61="","",IFERROR(ROUND(100*COUNTIFS(Evaluations!$G$3:$G$10000,$A61,Evaluations!$R$3:$R$10000,1)/(COUNTIFS(Evaluations!$G$3:$G$10000,$A61,Evaluations!$R$3:$R$10000,1)+COUNTIFS(Evaluations!$G$3:$G$10000,$A61,Evaluations!$R$3:$R$10000,0)),2),""))</f>
        <v/>
      </c>
      <c r="I61" s="10" t="str">
        <f>IF($A61="","",IFERROR(ROUND(100*COUNTIFS(Evaluations!$G$3:$G$10000,$A61,Evaluations!$S$3:$S$10000,1)/(COUNTIFS(Evaluations!$G$3:$G$10000,$A61,Evaluations!$S$3:$S$10000,1)+COUNTIFS(Evaluations!$G$3:$G$10000,$A61,Evaluations!$S$3:$S$10000,0)),2),""))</f>
        <v/>
      </c>
      <c r="J61" s="10" t="str">
        <f>IF($A61="","",IFERROR(ROUND(100*COUNTIFS(Evaluations!$G$3:$G$10000,$A61,Evaluations!$T$3:$T$10000,1)/(COUNTIFS(Evaluations!$G$3:$G$10000,$A61,Evaluations!$T$3:$T$10000,1)+COUNTIFS(Evaluations!$G$3:$G$10000,$A61,Evaluations!$T$3:$T$10000,0)),2),""))</f>
        <v/>
      </c>
      <c r="K61" s="10" t="str">
        <f>IF($A61="","",COUNTIFS(Evaluations!$G$3:$G$10000,$A61,Evaluations!$M$3:$M$10000,"عدم پاسخ"))</f>
        <v/>
      </c>
      <c r="L61" s="10" t="str">
        <f>IF($A61="","",COUNTIFS(Evaluations!$G$3:$G$10000,$A61,Evaluations!$O$3:$O$10000,"رعایت نشده"))</f>
        <v/>
      </c>
    </row>
    <row r="62">
      <c r="A62" s="10"/>
      <c r="B62" s="10" t="str">
        <f t="array" ref="B62">_xlfn.XLOOKUP(A62,DATA!D:D,DATA!E:E,"")</f>
        <v/>
      </c>
      <c r="C62" s="10" t="str">
        <f>IF($A62="","",COUNTIFS(Evaluations!$G$3:$G$10000,$A62,Evaluations!$U$3:$U$10000,"&gt;=0",Evaluations!$U$3:$U$10000,"&lt;=100"))</f>
        <v/>
      </c>
      <c r="D62" s="10" t="str">
        <f>IF(OR($A62="",C62=0),"",ROUND(SUMIFS(Evaluations!$U$3:$U$10000,Evaluations!$G$3:$G$10000,$A62)/C62,2))</f>
        <v/>
      </c>
      <c r="E62" s="10" t="str">
        <f>IF($A62="","",COUNTIFS(Evaluations!$G$3:$G$10000,$A62,Evaluations!$M$3:$M$10000,"پاسخ داده شده"))</f>
        <v/>
      </c>
      <c r="F62" s="10" t="str">
        <f>IF($A62="","",IFERROR(COUNTIFS(Evaluations!$G$3:$G$10000,$A62,Evaluations!$O$3:$O$10000,"رعایت شده")/(COUNTIFS(Evaluations!$G$3:$G$10000,$A62,Evaluations!$O$3:$O$10000,"رعایت شده")+COUNTIFS(Evaluations!$G$3:$G$10000,$A62,Evaluations!$O$3:$O$10000,"رعایت نشده")),""))</f>
        <v/>
      </c>
      <c r="G62" s="10" t="str">
        <f>IF($A62="","",IFERROR(ROUND(100*COUNTIFS(Evaluations!$G$3:$G$10000,$A62,Evaluations!$Q$3:$Q$10000,1)/(COUNTIFS(Evaluations!$G$3:$G$10000,$A62,Evaluations!$Q$3:$Q$10000,1)+COUNTIFS(Evaluations!$G$3:$G$10000,$A62,Evaluations!$Q$3:$Q$10000,0)),2),""))</f>
        <v/>
      </c>
      <c r="H62" s="10" t="str">
        <f>IF($A62="","",IFERROR(ROUND(100*COUNTIFS(Evaluations!$G$3:$G$10000,$A62,Evaluations!$R$3:$R$10000,1)/(COUNTIFS(Evaluations!$G$3:$G$10000,$A62,Evaluations!$R$3:$R$10000,1)+COUNTIFS(Evaluations!$G$3:$G$10000,$A62,Evaluations!$R$3:$R$10000,0)),2),""))</f>
        <v/>
      </c>
      <c r="I62" s="10" t="str">
        <f>IF($A62="","",IFERROR(ROUND(100*COUNTIFS(Evaluations!$G$3:$G$10000,$A62,Evaluations!$S$3:$S$10000,1)/(COUNTIFS(Evaluations!$G$3:$G$10000,$A62,Evaluations!$S$3:$S$10000,1)+COUNTIFS(Evaluations!$G$3:$G$10000,$A62,Evaluations!$S$3:$S$10000,0)),2),""))</f>
        <v/>
      </c>
      <c r="J62" s="10" t="str">
        <f>IF($A62="","",IFERROR(ROUND(100*COUNTIFS(Evaluations!$G$3:$G$10000,$A62,Evaluations!$T$3:$T$10000,1)/(COUNTIFS(Evaluations!$G$3:$G$10000,$A62,Evaluations!$T$3:$T$10000,1)+COUNTIFS(Evaluations!$G$3:$G$10000,$A62,Evaluations!$T$3:$T$10000,0)),2),""))</f>
        <v/>
      </c>
      <c r="K62" s="10" t="str">
        <f>IF($A62="","",COUNTIFS(Evaluations!$G$3:$G$10000,$A62,Evaluations!$M$3:$M$10000,"عدم پاسخ"))</f>
        <v/>
      </c>
      <c r="L62" s="10" t="str">
        <f>IF($A62="","",COUNTIFS(Evaluations!$G$3:$G$10000,$A62,Evaluations!$O$3:$O$10000,"رعایت نشده"))</f>
        <v/>
      </c>
    </row>
    <row r="63">
      <c r="A63" s="10"/>
      <c r="B63" s="10" t="str">
        <f t="array" ref="B63">_xlfn.XLOOKUP(A63,DATA!D:D,DATA!E:E,"")</f>
        <v/>
      </c>
      <c r="C63" s="10" t="str">
        <f>IF($A63="","",COUNTIFS(Evaluations!$G$3:$G$10000,$A63,Evaluations!$U$3:$U$10000,"&gt;=0",Evaluations!$U$3:$U$10000,"&lt;=100"))</f>
        <v/>
      </c>
      <c r="D63" s="10" t="str">
        <f>IF(OR($A63="",C63=0),"",ROUND(SUMIFS(Evaluations!$U$3:$U$10000,Evaluations!$G$3:$G$10000,$A63)/C63,2))</f>
        <v/>
      </c>
      <c r="E63" s="10" t="str">
        <f>IF($A63="","",COUNTIFS(Evaluations!$G$3:$G$10000,$A63,Evaluations!$M$3:$M$10000,"پاسخ داده شده"))</f>
        <v/>
      </c>
      <c r="F63" s="10" t="str">
        <f>IF($A63="","",IFERROR(COUNTIFS(Evaluations!$G$3:$G$10000,$A63,Evaluations!$O$3:$O$10000,"رعایت شده")/(COUNTIFS(Evaluations!$G$3:$G$10000,$A63,Evaluations!$O$3:$O$10000,"رعایت شده")+COUNTIFS(Evaluations!$G$3:$G$10000,$A63,Evaluations!$O$3:$O$10000,"رعایت نشده")),""))</f>
        <v/>
      </c>
      <c r="G63" s="10" t="str">
        <f>IF($A63="","",IFERROR(ROUND(100*COUNTIFS(Evaluations!$G$3:$G$10000,$A63,Evaluations!$Q$3:$Q$10000,1)/(COUNTIFS(Evaluations!$G$3:$G$10000,$A63,Evaluations!$Q$3:$Q$10000,1)+COUNTIFS(Evaluations!$G$3:$G$10000,$A63,Evaluations!$Q$3:$Q$10000,0)),2),""))</f>
        <v/>
      </c>
      <c r="H63" s="10" t="str">
        <f>IF($A63="","",IFERROR(ROUND(100*COUNTIFS(Evaluations!$G$3:$G$10000,$A63,Evaluations!$R$3:$R$10000,1)/(COUNTIFS(Evaluations!$G$3:$G$10000,$A63,Evaluations!$R$3:$R$10000,1)+COUNTIFS(Evaluations!$G$3:$G$10000,$A63,Evaluations!$R$3:$R$10000,0)),2),""))</f>
        <v/>
      </c>
      <c r="I63" s="10" t="str">
        <f>IF($A63="","",IFERROR(ROUND(100*COUNTIFS(Evaluations!$G$3:$G$10000,$A63,Evaluations!$S$3:$S$10000,1)/(COUNTIFS(Evaluations!$G$3:$G$10000,$A63,Evaluations!$S$3:$S$10000,1)+COUNTIFS(Evaluations!$G$3:$G$10000,$A63,Evaluations!$S$3:$S$10000,0)),2),""))</f>
        <v/>
      </c>
      <c r="J63" s="10" t="str">
        <f>IF($A63="","",IFERROR(ROUND(100*COUNTIFS(Evaluations!$G$3:$G$10000,$A63,Evaluations!$T$3:$T$10000,1)/(COUNTIFS(Evaluations!$G$3:$G$10000,$A63,Evaluations!$T$3:$T$10000,1)+COUNTIFS(Evaluations!$G$3:$G$10000,$A63,Evaluations!$T$3:$T$10000,0)),2),""))</f>
        <v/>
      </c>
      <c r="K63" s="10" t="str">
        <f>IF($A63="","",COUNTIFS(Evaluations!$G$3:$G$10000,$A63,Evaluations!$M$3:$M$10000,"عدم پاسخ"))</f>
        <v/>
      </c>
      <c r="L63" s="10" t="str">
        <f>IF($A63="","",COUNTIFS(Evaluations!$G$3:$G$10000,$A63,Evaluations!$O$3:$O$10000,"رعایت نشده"))</f>
        <v/>
      </c>
    </row>
    <row r="64">
      <c r="A64" s="10"/>
      <c r="B64" s="10" t="str">
        <f t="array" ref="B64">_xlfn.XLOOKUP(A64,DATA!D:D,DATA!E:E,"")</f>
        <v/>
      </c>
      <c r="C64" s="10" t="str">
        <f>IF($A64="","",COUNTIFS(Evaluations!$G$3:$G$10000,$A64,Evaluations!$U$3:$U$10000,"&gt;=0",Evaluations!$U$3:$U$10000,"&lt;=100"))</f>
        <v/>
      </c>
      <c r="D64" s="10" t="str">
        <f>IF(OR($A64="",C64=0),"",ROUND(SUMIFS(Evaluations!$U$3:$U$10000,Evaluations!$G$3:$G$10000,$A64)/C64,2))</f>
        <v/>
      </c>
      <c r="E64" s="10" t="str">
        <f>IF($A64="","",COUNTIFS(Evaluations!$G$3:$G$10000,$A64,Evaluations!$M$3:$M$10000,"پاسخ داده شده"))</f>
        <v/>
      </c>
      <c r="F64" s="10" t="str">
        <f>IF($A64="","",IFERROR(COUNTIFS(Evaluations!$G$3:$G$10000,$A64,Evaluations!$O$3:$O$10000,"رعایت شده")/(COUNTIFS(Evaluations!$G$3:$G$10000,$A64,Evaluations!$O$3:$O$10000,"رعایت شده")+COUNTIFS(Evaluations!$G$3:$G$10000,$A64,Evaluations!$O$3:$O$10000,"رعایت نشده")),""))</f>
        <v/>
      </c>
      <c r="G64" s="10" t="str">
        <f>IF($A64="","",IFERROR(ROUND(100*COUNTIFS(Evaluations!$G$3:$G$10000,$A64,Evaluations!$Q$3:$Q$10000,1)/(COUNTIFS(Evaluations!$G$3:$G$10000,$A64,Evaluations!$Q$3:$Q$10000,1)+COUNTIFS(Evaluations!$G$3:$G$10000,$A64,Evaluations!$Q$3:$Q$10000,0)),2),""))</f>
        <v/>
      </c>
      <c r="H64" s="10" t="str">
        <f>IF($A64="","",IFERROR(ROUND(100*COUNTIFS(Evaluations!$G$3:$G$10000,$A64,Evaluations!$R$3:$R$10000,1)/(COUNTIFS(Evaluations!$G$3:$G$10000,$A64,Evaluations!$R$3:$R$10000,1)+COUNTIFS(Evaluations!$G$3:$G$10000,$A64,Evaluations!$R$3:$R$10000,0)),2),""))</f>
        <v/>
      </c>
      <c r="I64" s="10" t="str">
        <f>IF($A64="","",IFERROR(ROUND(100*COUNTIFS(Evaluations!$G$3:$G$10000,$A64,Evaluations!$S$3:$S$10000,1)/(COUNTIFS(Evaluations!$G$3:$G$10000,$A64,Evaluations!$S$3:$S$10000,1)+COUNTIFS(Evaluations!$G$3:$G$10000,$A64,Evaluations!$S$3:$S$10000,0)),2),""))</f>
        <v/>
      </c>
      <c r="J64" s="10" t="str">
        <f>IF($A64="","",IFERROR(ROUND(100*COUNTIFS(Evaluations!$G$3:$G$10000,$A64,Evaluations!$T$3:$T$10000,1)/(COUNTIFS(Evaluations!$G$3:$G$10000,$A64,Evaluations!$T$3:$T$10000,1)+COUNTIFS(Evaluations!$G$3:$G$10000,$A64,Evaluations!$T$3:$T$10000,0)),2),""))</f>
        <v/>
      </c>
      <c r="K64" s="10" t="str">
        <f>IF($A64="","",COUNTIFS(Evaluations!$G$3:$G$10000,$A64,Evaluations!$M$3:$M$10000,"عدم پاسخ"))</f>
        <v/>
      </c>
      <c r="L64" s="10" t="str">
        <f>IF($A64="","",COUNTIFS(Evaluations!$G$3:$G$10000,$A64,Evaluations!$O$3:$O$10000,"رعایت نشده"))</f>
        <v/>
      </c>
    </row>
    <row r="65">
      <c r="A65" s="10"/>
      <c r="B65" s="10" t="str">
        <f t="array" ref="B65">_xlfn.XLOOKUP(A65,DATA!D:D,DATA!E:E,"")</f>
        <v/>
      </c>
      <c r="C65" s="10" t="str">
        <f>IF($A65="","",COUNTIFS(Evaluations!$G$3:$G$10000,$A65,Evaluations!$U$3:$U$10000,"&gt;=0",Evaluations!$U$3:$U$10000,"&lt;=100"))</f>
        <v/>
      </c>
      <c r="D65" s="10" t="str">
        <f>IF(OR($A65="",C65=0),"",ROUND(SUMIFS(Evaluations!$U$3:$U$10000,Evaluations!$G$3:$G$10000,$A65)/C65,2))</f>
        <v/>
      </c>
      <c r="E65" s="10" t="str">
        <f>IF($A65="","",COUNTIFS(Evaluations!$G$3:$G$10000,$A65,Evaluations!$M$3:$M$10000,"پاسخ داده شده"))</f>
        <v/>
      </c>
      <c r="F65" s="10" t="str">
        <f>IF($A65="","",IFERROR(COUNTIFS(Evaluations!$G$3:$G$10000,$A65,Evaluations!$O$3:$O$10000,"رعایت شده")/(COUNTIFS(Evaluations!$G$3:$G$10000,$A65,Evaluations!$O$3:$O$10000,"رعایت شده")+COUNTIFS(Evaluations!$G$3:$G$10000,$A65,Evaluations!$O$3:$O$10000,"رعایت نشده")),""))</f>
        <v/>
      </c>
      <c r="G65" s="10" t="str">
        <f>IF($A65="","",IFERROR(ROUND(100*COUNTIFS(Evaluations!$G$3:$G$10000,$A65,Evaluations!$Q$3:$Q$10000,1)/(COUNTIFS(Evaluations!$G$3:$G$10000,$A65,Evaluations!$Q$3:$Q$10000,1)+COUNTIFS(Evaluations!$G$3:$G$10000,$A65,Evaluations!$Q$3:$Q$10000,0)),2),""))</f>
        <v/>
      </c>
      <c r="H65" s="10" t="str">
        <f>IF($A65="","",IFERROR(ROUND(100*COUNTIFS(Evaluations!$G$3:$G$10000,$A65,Evaluations!$R$3:$R$10000,1)/(COUNTIFS(Evaluations!$G$3:$G$10000,$A65,Evaluations!$R$3:$R$10000,1)+COUNTIFS(Evaluations!$G$3:$G$10000,$A65,Evaluations!$R$3:$R$10000,0)),2),""))</f>
        <v/>
      </c>
      <c r="I65" s="10" t="str">
        <f>IF($A65="","",IFERROR(ROUND(100*COUNTIFS(Evaluations!$G$3:$G$10000,$A65,Evaluations!$S$3:$S$10000,1)/(COUNTIFS(Evaluations!$G$3:$G$10000,$A65,Evaluations!$S$3:$S$10000,1)+COUNTIFS(Evaluations!$G$3:$G$10000,$A65,Evaluations!$S$3:$S$10000,0)),2),""))</f>
        <v/>
      </c>
      <c r="J65" s="10" t="str">
        <f>IF($A65="","",IFERROR(ROUND(100*COUNTIFS(Evaluations!$G$3:$G$10000,$A65,Evaluations!$T$3:$T$10000,1)/(COUNTIFS(Evaluations!$G$3:$G$10000,$A65,Evaluations!$T$3:$T$10000,1)+COUNTIFS(Evaluations!$G$3:$G$10000,$A65,Evaluations!$T$3:$T$10000,0)),2),""))</f>
        <v/>
      </c>
      <c r="K65" s="10" t="str">
        <f>IF($A65="","",COUNTIFS(Evaluations!$G$3:$G$10000,$A65,Evaluations!$M$3:$M$10000,"عدم پاسخ"))</f>
        <v/>
      </c>
      <c r="L65" s="10" t="str">
        <f>IF($A65="","",COUNTIFS(Evaluations!$G$3:$G$10000,$A65,Evaluations!$O$3:$O$10000,"رعایت نشده"))</f>
        <v/>
      </c>
    </row>
    <row r="66">
      <c r="A66" s="10"/>
      <c r="B66" s="10" t="str">
        <f t="array" ref="B66">_xlfn.XLOOKUP(A66,DATA!D:D,DATA!E:E,"")</f>
        <v/>
      </c>
      <c r="C66" s="10" t="str">
        <f>IF($A66="","",COUNTIFS(Evaluations!$G$3:$G$10000,$A66,Evaluations!$U$3:$U$10000,"&gt;=0",Evaluations!$U$3:$U$10000,"&lt;=100"))</f>
        <v/>
      </c>
      <c r="D66" s="10" t="str">
        <f>IF(OR($A66="",C66=0),"",ROUND(SUMIFS(Evaluations!$U$3:$U$10000,Evaluations!$G$3:$G$10000,$A66)/C66,2))</f>
        <v/>
      </c>
      <c r="E66" s="10" t="str">
        <f>IF($A66="","",COUNTIFS(Evaluations!$G$3:$G$10000,$A66,Evaluations!$M$3:$M$10000,"پاسخ داده شده"))</f>
        <v/>
      </c>
      <c r="F66" s="10" t="str">
        <f>IF($A66="","",IFERROR(COUNTIFS(Evaluations!$G$3:$G$10000,$A66,Evaluations!$O$3:$O$10000,"رعایت شده")/(COUNTIFS(Evaluations!$G$3:$G$10000,$A66,Evaluations!$O$3:$O$10000,"رعایت شده")+COUNTIFS(Evaluations!$G$3:$G$10000,$A66,Evaluations!$O$3:$O$10000,"رعایت نشده")),""))</f>
        <v/>
      </c>
      <c r="G66" s="10" t="str">
        <f>IF($A66="","",IFERROR(ROUND(100*COUNTIFS(Evaluations!$G$3:$G$10000,$A66,Evaluations!$Q$3:$Q$10000,1)/(COUNTIFS(Evaluations!$G$3:$G$10000,$A66,Evaluations!$Q$3:$Q$10000,1)+COUNTIFS(Evaluations!$G$3:$G$10000,$A66,Evaluations!$Q$3:$Q$10000,0)),2),""))</f>
        <v/>
      </c>
      <c r="H66" s="10" t="str">
        <f>IF($A66="","",IFERROR(ROUND(100*COUNTIFS(Evaluations!$G$3:$G$10000,$A66,Evaluations!$R$3:$R$10000,1)/(COUNTIFS(Evaluations!$G$3:$G$10000,$A66,Evaluations!$R$3:$R$10000,1)+COUNTIFS(Evaluations!$G$3:$G$10000,$A66,Evaluations!$R$3:$R$10000,0)),2),""))</f>
        <v/>
      </c>
      <c r="I66" s="10" t="str">
        <f>IF($A66="","",IFERROR(ROUND(100*COUNTIFS(Evaluations!$G$3:$G$10000,$A66,Evaluations!$S$3:$S$10000,1)/(COUNTIFS(Evaluations!$G$3:$G$10000,$A66,Evaluations!$S$3:$S$10000,1)+COUNTIFS(Evaluations!$G$3:$G$10000,$A66,Evaluations!$S$3:$S$10000,0)),2),""))</f>
        <v/>
      </c>
      <c r="J66" s="10" t="str">
        <f>IF($A66="","",IFERROR(ROUND(100*COUNTIFS(Evaluations!$G$3:$G$10000,$A66,Evaluations!$T$3:$T$10000,1)/(COUNTIFS(Evaluations!$G$3:$G$10000,$A66,Evaluations!$T$3:$T$10000,1)+COUNTIFS(Evaluations!$G$3:$G$10000,$A66,Evaluations!$T$3:$T$10000,0)),2),""))</f>
        <v/>
      </c>
      <c r="K66" s="10" t="str">
        <f>IF($A66="","",COUNTIFS(Evaluations!$G$3:$G$10000,$A66,Evaluations!$M$3:$M$10000,"عدم پاسخ"))</f>
        <v/>
      </c>
      <c r="L66" s="10" t="str">
        <f>IF($A66="","",COUNTIFS(Evaluations!$G$3:$G$10000,$A66,Evaluations!$O$3:$O$10000,"رعایت نشده"))</f>
        <v/>
      </c>
    </row>
    <row r="67">
      <c r="A67" s="10"/>
      <c r="B67" s="10" t="str">
        <f t="array" ref="B67">_xlfn.XLOOKUP(A67,DATA!D:D,DATA!E:E,"")</f>
        <v/>
      </c>
      <c r="C67" s="10" t="str">
        <f>IF($A67="","",COUNTIFS(Evaluations!$G$3:$G$10000,$A67,Evaluations!$U$3:$U$10000,"&gt;=0",Evaluations!$U$3:$U$10000,"&lt;=100"))</f>
        <v/>
      </c>
      <c r="D67" s="10" t="str">
        <f>IF(OR($A67="",C67=0),"",ROUND(SUMIFS(Evaluations!$U$3:$U$10000,Evaluations!$G$3:$G$10000,$A67)/C67,2))</f>
        <v/>
      </c>
      <c r="E67" s="10" t="str">
        <f>IF($A67="","",COUNTIFS(Evaluations!$G$3:$G$10000,$A67,Evaluations!$M$3:$M$10000,"پاسخ داده شده"))</f>
        <v/>
      </c>
      <c r="F67" s="10" t="str">
        <f>IF($A67="","",IFERROR(COUNTIFS(Evaluations!$G$3:$G$10000,$A67,Evaluations!$O$3:$O$10000,"رعایت شده")/(COUNTIFS(Evaluations!$G$3:$G$10000,$A67,Evaluations!$O$3:$O$10000,"رعایت شده")+COUNTIFS(Evaluations!$G$3:$G$10000,$A67,Evaluations!$O$3:$O$10000,"رعایت نشده")),""))</f>
        <v/>
      </c>
      <c r="G67" s="10" t="str">
        <f>IF($A67="","",IFERROR(ROUND(100*COUNTIFS(Evaluations!$G$3:$G$10000,$A67,Evaluations!$Q$3:$Q$10000,1)/(COUNTIFS(Evaluations!$G$3:$G$10000,$A67,Evaluations!$Q$3:$Q$10000,1)+COUNTIFS(Evaluations!$G$3:$G$10000,$A67,Evaluations!$Q$3:$Q$10000,0)),2),""))</f>
        <v/>
      </c>
      <c r="H67" s="10" t="str">
        <f>IF($A67="","",IFERROR(ROUND(100*COUNTIFS(Evaluations!$G$3:$G$10000,$A67,Evaluations!$R$3:$R$10000,1)/(COUNTIFS(Evaluations!$G$3:$G$10000,$A67,Evaluations!$R$3:$R$10000,1)+COUNTIFS(Evaluations!$G$3:$G$10000,$A67,Evaluations!$R$3:$R$10000,0)),2),""))</f>
        <v/>
      </c>
      <c r="I67" s="10" t="str">
        <f>IF($A67="","",IFERROR(ROUND(100*COUNTIFS(Evaluations!$G$3:$G$10000,$A67,Evaluations!$S$3:$S$10000,1)/(COUNTIFS(Evaluations!$G$3:$G$10000,$A67,Evaluations!$S$3:$S$10000,1)+COUNTIFS(Evaluations!$G$3:$G$10000,$A67,Evaluations!$S$3:$S$10000,0)),2),""))</f>
        <v/>
      </c>
      <c r="J67" s="10" t="str">
        <f>IF($A67="","",IFERROR(ROUND(100*COUNTIFS(Evaluations!$G$3:$G$10000,$A67,Evaluations!$T$3:$T$10000,1)/(COUNTIFS(Evaluations!$G$3:$G$10000,$A67,Evaluations!$T$3:$T$10000,1)+COUNTIFS(Evaluations!$G$3:$G$10000,$A67,Evaluations!$T$3:$T$10000,0)),2),""))</f>
        <v/>
      </c>
      <c r="K67" s="10" t="str">
        <f>IF($A67="","",COUNTIFS(Evaluations!$G$3:$G$10000,$A67,Evaluations!$M$3:$M$10000,"عدم پاسخ"))</f>
        <v/>
      </c>
      <c r="L67" s="10" t="str">
        <f>IF($A67="","",COUNTIFS(Evaluations!$G$3:$G$10000,$A67,Evaluations!$O$3:$O$10000,"رعایت نشده"))</f>
        <v/>
      </c>
    </row>
    <row r="68">
      <c r="A68" s="10"/>
      <c r="B68" s="10" t="str">
        <f t="array" ref="B68">_xlfn.XLOOKUP(A68,DATA!D:D,DATA!E:E,"")</f>
        <v/>
      </c>
      <c r="C68" s="10" t="str">
        <f>IF($A68="","",COUNTIFS(Evaluations!$G$3:$G$10000,$A68,Evaluations!$U$3:$U$10000,"&gt;=0",Evaluations!$U$3:$U$10000,"&lt;=100"))</f>
        <v/>
      </c>
      <c r="D68" s="10" t="str">
        <f>IF(OR($A68="",C68=0),"",ROUND(SUMIFS(Evaluations!$U$3:$U$10000,Evaluations!$G$3:$G$10000,$A68)/C68,2))</f>
        <v/>
      </c>
      <c r="E68" s="10" t="str">
        <f>IF($A68="","",COUNTIFS(Evaluations!$G$3:$G$10000,$A68,Evaluations!$M$3:$M$10000,"پاسخ داده شده"))</f>
        <v/>
      </c>
      <c r="F68" s="10" t="str">
        <f>IF($A68="","",IFERROR(COUNTIFS(Evaluations!$G$3:$G$10000,$A68,Evaluations!$O$3:$O$10000,"رعایت شده")/(COUNTIFS(Evaluations!$G$3:$G$10000,$A68,Evaluations!$O$3:$O$10000,"رعایت شده")+COUNTIFS(Evaluations!$G$3:$G$10000,$A68,Evaluations!$O$3:$O$10000,"رعایت نشده")),""))</f>
        <v/>
      </c>
      <c r="G68" s="10" t="str">
        <f>IF($A68="","",IFERROR(ROUND(100*COUNTIFS(Evaluations!$G$3:$G$10000,$A68,Evaluations!$Q$3:$Q$10000,1)/(COUNTIFS(Evaluations!$G$3:$G$10000,$A68,Evaluations!$Q$3:$Q$10000,1)+COUNTIFS(Evaluations!$G$3:$G$10000,$A68,Evaluations!$Q$3:$Q$10000,0)),2),""))</f>
        <v/>
      </c>
      <c r="H68" s="10" t="str">
        <f>IF($A68="","",IFERROR(ROUND(100*COUNTIFS(Evaluations!$G$3:$G$10000,$A68,Evaluations!$R$3:$R$10000,1)/(COUNTIFS(Evaluations!$G$3:$G$10000,$A68,Evaluations!$R$3:$R$10000,1)+COUNTIFS(Evaluations!$G$3:$G$10000,$A68,Evaluations!$R$3:$R$10000,0)),2),""))</f>
        <v/>
      </c>
      <c r="I68" s="10" t="str">
        <f>IF($A68="","",IFERROR(ROUND(100*COUNTIFS(Evaluations!$G$3:$G$10000,$A68,Evaluations!$S$3:$S$10000,1)/(COUNTIFS(Evaluations!$G$3:$G$10000,$A68,Evaluations!$S$3:$S$10000,1)+COUNTIFS(Evaluations!$G$3:$G$10000,$A68,Evaluations!$S$3:$S$10000,0)),2),""))</f>
        <v/>
      </c>
      <c r="J68" s="10" t="str">
        <f>IF($A68="","",IFERROR(ROUND(100*COUNTIFS(Evaluations!$G$3:$G$10000,$A68,Evaluations!$T$3:$T$10000,1)/(COUNTIFS(Evaluations!$G$3:$G$10000,$A68,Evaluations!$T$3:$T$10000,1)+COUNTIFS(Evaluations!$G$3:$G$10000,$A68,Evaluations!$T$3:$T$10000,0)),2),""))</f>
        <v/>
      </c>
      <c r="K68" s="10" t="str">
        <f>IF($A68="","",COUNTIFS(Evaluations!$G$3:$G$10000,$A68,Evaluations!$M$3:$M$10000,"عدم پاسخ"))</f>
        <v/>
      </c>
      <c r="L68" s="10" t="str">
        <f>IF($A68="","",COUNTIFS(Evaluations!$G$3:$G$10000,$A68,Evaluations!$O$3:$O$10000,"رعایت نشده"))</f>
        <v/>
      </c>
    </row>
    <row r="69">
      <c r="A69" s="10"/>
      <c r="B69" s="10" t="str">
        <f t="array" ref="B69">_xlfn.XLOOKUP(A69,DATA!D:D,DATA!E:E,"")</f>
        <v/>
      </c>
      <c r="C69" s="10" t="str">
        <f>IF($A69="","",COUNTIFS(Evaluations!$G$3:$G$10000,$A69,Evaluations!$U$3:$U$10000,"&gt;=0",Evaluations!$U$3:$U$10000,"&lt;=100"))</f>
        <v/>
      </c>
      <c r="D69" s="10" t="str">
        <f>IF(OR($A69="",C69=0),"",ROUND(SUMIFS(Evaluations!$U$3:$U$10000,Evaluations!$G$3:$G$10000,$A69)/C69,2))</f>
        <v/>
      </c>
      <c r="E69" s="10" t="str">
        <f>IF($A69="","",COUNTIFS(Evaluations!$G$3:$G$10000,$A69,Evaluations!$M$3:$M$10000,"پاسخ داده شده"))</f>
        <v/>
      </c>
      <c r="F69" s="10" t="str">
        <f>IF($A69="","",IFERROR(COUNTIFS(Evaluations!$G$3:$G$10000,$A69,Evaluations!$O$3:$O$10000,"رعایت شده")/(COUNTIFS(Evaluations!$G$3:$G$10000,$A69,Evaluations!$O$3:$O$10000,"رعایت شده")+COUNTIFS(Evaluations!$G$3:$G$10000,$A69,Evaluations!$O$3:$O$10000,"رعایت نشده")),""))</f>
        <v/>
      </c>
      <c r="G69" s="10" t="str">
        <f>IF($A69="","",IFERROR(ROUND(100*COUNTIFS(Evaluations!$G$3:$G$10000,$A69,Evaluations!$Q$3:$Q$10000,1)/(COUNTIFS(Evaluations!$G$3:$G$10000,$A69,Evaluations!$Q$3:$Q$10000,1)+COUNTIFS(Evaluations!$G$3:$G$10000,$A69,Evaluations!$Q$3:$Q$10000,0)),2),""))</f>
        <v/>
      </c>
      <c r="H69" s="10" t="str">
        <f>IF($A69="","",IFERROR(ROUND(100*COUNTIFS(Evaluations!$G$3:$G$10000,$A69,Evaluations!$R$3:$R$10000,1)/(COUNTIFS(Evaluations!$G$3:$G$10000,$A69,Evaluations!$R$3:$R$10000,1)+COUNTIFS(Evaluations!$G$3:$G$10000,$A69,Evaluations!$R$3:$R$10000,0)),2),""))</f>
        <v/>
      </c>
      <c r="I69" s="10" t="str">
        <f>IF($A69="","",IFERROR(ROUND(100*COUNTIFS(Evaluations!$G$3:$G$10000,$A69,Evaluations!$S$3:$S$10000,1)/(COUNTIFS(Evaluations!$G$3:$G$10000,$A69,Evaluations!$S$3:$S$10000,1)+COUNTIFS(Evaluations!$G$3:$G$10000,$A69,Evaluations!$S$3:$S$10000,0)),2),""))</f>
        <v/>
      </c>
      <c r="J69" s="10" t="str">
        <f>IF($A69="","",IFERROR(ROUND(100*COUNTIFS(Evaluations!$G$3:$G$10000,$A69,Evaluations!$T$3:$T$10000,1)/(COUNTIFS(Evaluations!$G$3:$G$10000,$A69,Evaluations!$T$3:$T$10000,1)+COUNTIFS(Evaluations!$G$3:$G$10000,$A69,Evaluations!$T$3:$T$10000,0)),2),""))</f>
        <v/>
      </c>
      <c r="K69" s="10" t="str">
        <f>IF($A69="","",COUNTIFS(Evaluations!$G$3:$G$10000,$A69,Evaluations!$M$3:$M$10000,"عدم پاسخ"))</f>
        <v/>
      </c>
      <c r="L69" s="10" t="str">
        <f>IF($A69="","",COUNTIFS(Evaluations!$G$3:$G$10000,$A69,Evaluations!$O$3:$O$10000,"رعایت نشده"))</f>
        <v/>
      </c>
    </row>
    <row r="70">
      <c r="A70" s="10"/>
      <c r="B70" s="10" t="str">
        <f t="array" ref="B70">_xlfn.XLOOKUP(A70,DATA!D:D,DATA!E:E,"")</f>
        <v/>
      </c>
      <c r="C70" s="10" t="str">
        <f>IF($A70="","",COUNTIFS(Evaluations!$G$3:$G$10000,$A70,Evaluations!$U$3:$U$10000,"&gt;=0",Evaluations!$U$3:$U$10000,"&lt;=100"))</f>
        <v/>
      </c>
      <c r="D70" s="10" t="str">
        <f>IF(OR($A70="",C70=0),"",ROUND(SUMIFS(Evaluations!$U$3:$U$10000,Evaluations!$G$3:$G$10000,$A70)/C70,2))</f>
        <v/>
      </c>
      <c r="E70" s="10" t="str">
        <f>IF($A70="","",COUNTIFS(Evaluations!$G$3:$G$10000,$A70,Evaluations!$M$3:$M$10000,"پاسخ داده شده"))</f>
        <v/>
      </c>
      <c r="F70" s="10" t="str">
        <f>IF($A70="","",IFERROR(COUNTIFS(Evaluations!$G$3:$G$10000,$A70,Evaluations!$O$3:$O$10000,"رعایت شده")/(COUNTIFS(Evaluations!$G$3:$G$10000,$A70,Evaluations!$O$3:$O$10000,"رعایت شده")+COUNTIFS(Evaluations!$G$3:$G$10000,$A70,Evaluations!$O$3:$O$10000,"رعایت نشده")),""))</f>
        <v/>
      </c>
      <c r="G70" s="10" t="str">
        <f>IF($A70="","",IFERROR(ROUND(100*COUNTIFS(Evaluations!$G$3:$G$10000,$A70,Evaluations!$Q$3:$Q$10000,1)/(COUNTIFS(Evaluations!$G$3:$G$10000,$A70,Evaluations!$Q$3:$Q$10000,1)+COUNTIFS(Evaluations!$G$3:$G$10000,$A70,Evaluations!$Q$3:$Q$10000,0)),2),""))</f>
        <v/>
      </c>
      <c r="H70" s="10" t="str">
        <f>IF($A70="","",IFERROR(ROUND(100*COUNTIFS(Evaluations!$G$3:$G$10000,$A70,Evaluations!$R$3:$R$10000,1)/(COUNTIFS(Evaluations!$G$3:$G$10000,$A70,Evaluations!$R$3:$R$10000,1)+COUNTIFS(Evaluations!$G$3:$G$10000,$A70,Evaluations!$R$3:$R$10000,0)),2),""))</f>
        <v/>
      </c>
      <c r="I70" s="10" t="str">
        <f>IF($A70="","",IFERROR(ROUND(100*COUNTIFS(Evaluations!$G$3:$G$10000,$A70,Evaluations!$S$3:$S$10000,1)/(COUNTIFS(Evaluations!$G$3:$G$10000,$A70,Evaluations!$S$3:$S$10000,1)+COUNTIFS(Evaluations!$G$3:$G$10000,$A70,Evaluations!$S$3:$S$10000,0)),2),""))</f>
        <v/>
      </c>
      <c r="J70" s="10" t="str">
        <f>IF($A70="","",IFERROR(ROUND(100*COUNTIFS(Evaluations!$G$3:$G$10000,$A70,Evaluations!$T$3:$T$10000,1)/(COUNTIFS(Evaluations!$G$3:$G$10000,$A70,Evaluations!$T$3:$T$10000,1)+COUNTIFS(Evaluations!$G$3:$G$10000,$A70,Evaluations!$T$3:$T$10000,0)),2),""))</f>
        <v/>
      </c>
      <c r="K70" s="10" t="str">
        <f>IF($A70="","",COUNTIFS(Evaluations!$G$3:$G$10000,$A70,Evaluations!$M$3:$M$10000,"عدم پاسخ"))</f>
        <v/>
      </c>
      <c r="L70" s="10" t="str">
        <f>IF($A70="","",COUNTIFS(Evaluations!$G$3:$G$10000,$A70,Evaluations!$O$3:$O$10000,"رعایت نشده"))</f>
        <v/>
      </c>
    </row>
    <row r="71">
      <c r="A71" s="10"/>
      <c r="B71" s="10" t="str">
        <f t="array" ref="B71">_xlfn.XLOOKUP(A71,DATA!D:D,DATA!E:E,"")</f>
        <v/>
      </c>
      <c r="C71" s="10" t="str">
        <f>IF($A71="","",COUNTIFS(Evaluations!$G$3:$G$10000,$A71,Evaluations!$U$3:$U$10000,"&gt;=0",Evaluations!$U$3:$U$10000,"&lt;=100"))</f>
        <v/>
      </c>
      <c r="D71" s="10" t="str">
        <f>IF(OR($A71="",C71=0),"",ROUND(SUMIFS(Evaluations!$U$3:$U$10000,Evaluations!$G$3:$G$10000,$A71)/C71,2))</f>
        <v/>
      </c>
      <c r="E71" s="10" t="str">
        <f>IF($A71="","",COUNTIFS(Evaluations!$G$3:$G$10000,$A71,Evaluations!$M$3:$M$10000,"پاسخ داده شده"))</f>
        <v/>
      </c>
      <c r="F71" s="10" t="str">
        <f>IF($A71="","",IFERROR(COUNTIFS(Evaluations!$G$3:$G$10000,$A71,Evaluations!$O$3:$O$10000,"رعایت شده")/(COUNTIFS(Evaluations!$G$3:$G$10000,$A71,Evaluations!$O$3:$O$10000,"رعایت شده")+COUNTIFS(Evaluations!$G$3:$G$10000,$A71,Evaluations!$O$3:$O$10000,"رعایت نشده")),""))</f>
        <v/>
      </c>
      <c r="G71" s="10" t="str">
        <f>IF($A71="","",IFERROR(ROUND(100*COUNTIFS(Evaluations!$G$3:$G$10000,$A71,Evaluations!$Q$3:$Q$10000,1)/(COUNTIFS(Evaluations!$G$3:$G$10000,$A71,Evaluations!$Q$3:$Q$10000,1)+COUNTIFS(Evaluations!$G$3:$G$10000,$A71,Evaluations!$Q$3:$Q$10000,0)),2),""))</f>
        <v/>
      </c>
      <c r="H71" s="10" t="str">
        <f>IF($A71="","",IFERROR(ROUND(100*COUNTIFS(Evaluations!$G$3:$G$10000,$A71,Evaluations!$R$3:$R$10000,1)/(COUNTIFS(Evaluations!$G$3:$G$10000,$A71,Evaluations!$R$3:$R$10000,1)+COUNTIFS(Evaluations!$G$3:$G$10000,$A71,Evaluations!$R$3:$R$10000,0)),2),""))</f>
        <v/>
      </c>
      <c r="I71" s="10" t="str">
        <f>IF($A71="","",IFERROR(ROUND(100*COUNTIFS(Evaluations!$G$3:$G$10000,$A71,Evaluations!$S$3:$S$10000,1)/(COUNTIFS(Evaluations!$G$3:$G$10000,$A71,Evaluations!$S$3:$S$10000,1)+COUNTIFS(Evaluations!$G$3:$G$10000,$A71,Evaluations!$S$3:$S$10000,0)),2),""))</f>
        <v/>
      </c>
      <c r="J71" s="10" t="str">
        <f>IF($A71="","",IFERROR(ROUND(100*COUNTIFS(Evaluations!$G$3:$G$10000,$A71,Evaluations!$T$3:$T$10000,1)/(COUNTIFS(Evaluations!$G$3:$G$10000,$A71,Evaluations!$T$3:$T$10000,1)+COUNTIFS(Evaluations!$G$3:$G$10000,$A71,Evaluations!$T$3:$T$10000,0)),2),""))</f>
        <v/>
      </c>
      <c r="K71" s="10" t="str">
        <f>IF($A71="","",COUNTIFS(Evaluations!$G$3:$G$10000,$A71,Evaluations!$M$3:$M$10000,"عدم پاسخ"))</f>
        <v/>
      </c>
      <c r="L71" s="10" t="str">
        <f>IF($A71="","",COUNTIFS(Evaluations!$G$3:$G$10000,$A71,Evaluations!$O$3:$O$10000,"رعایت نشده"))</f>
        <v/>
      </c>
    </row>
    <row r="72">
      <c r="A72" s="10"/>
      <c r="B72" s="10" t="str">
        <f t="array" ref="B72">_xlfn.XLOOKUP(A72,DATA!D:D,DATA!E:E,"")</f>
        <v/>
      </c>
      <c r="C72" s="10" t="str">
        <f>IF($A72="","",COUNTIFS(Evaluations!$G$3:$G$10000,$A72,Evaluations!$U$3:$U$10000,"&gt;=0",Evaluations!$U$3:$U$10000,"&lt;=100"))</f>
        <v/>
      </c>
      <c r="D72" s="10" t="str">
        <f>IF(OR($A72="",C72=0),"",ROUND(SUMIFS(Evaluations!$U$3:$U$10000,Evaluations!$G$3:$G$10000,$A72)/C72,2))</f>
        <v/>
      </c>
      <c r="E72" s="10" t="str">
        <f>IF($A72="","",COUNTIFS(Evaluations!$G$3:$G$10000,$A72,Evaluations!$M$3:$M$10000,"پاسخ داده شده"))</f>
        <v/>
      </c>
      <c r="F72" s="10" t="str">
        <f>IF($A72="","",IFERROR(COUNTIFS(Evaluations!$G$3:$G$10000,$A72,Evaluations!$O$3:$O$10000,"رعایت شده")/(COUNTIFS(Evaluations!$G$3:$G$10000,$A72,Evaluations!$O$3:$O$10000,"رعایت شده")+COUNTIFS(Evaluations!$G$3:$G$10000,$A72,Evaluations!$O$3:$O$10000,"رعایت نشده")),""))</f>
        <v/>
      </c>
      <c r="G72" s="10" t="str">
        <f>IF($A72="","",IFERROR(ROUND(100*COUNTIFS(Evaluations!$G$3:$G$10000,$A72,Evaluations!$Q$3:$Q$10000,1)/(COUNTIFS(Evaluations!$G$3:$G$10000,$A72,Evaluations!$Q$3:$Q$10000,1)+COUNTIFS(Evaluations!$G$3:$G$10000,$A72,Evaluations!$Q$3:$Q$10000,0)),2),""))</f>
        <v/>
      </c>
      <c r="H72" s="10" t="str">
        <f>IF($A72="","",IFERROR(ROUND(100*COUNTIFS(Evaluations!$G$3:$G$10000,$A72,Evaluations!$R$3:$R$10000,1)/(COUNTIFS(Evaluations!$G$3:$G$10000,$A72,Evaluations!$R$3:$R$10000,1)+COUNTIFS(Evaluations!$G$3:$G$10000,$A72,Evaluations!$R$3:$R$10000,0)),2),""))</f>
        <v/>
      </c>
      <c r="I72" s="10" t="str">
        <f>IF($A72="","",IFERROR(ROUND(100*COUNTIFS(Evaluations!$G$3:$G$10000,$A72,Evaluations!$S$3:$S$10000,1)/(COUNTIFS(Evaluations!$G$3:$G$10000,$A72,Evaluations!$S$3:$S$10000,1)+COUNTIFS(Evaluations!$G$3:$G$10000,$A72,Evaluations!$S$3:$S$10000,0)),2),""))</f>
        <v/>
      </c>
      <c r="J72" s="10" t="str">
        <f>IF($A72="","",IFERROR(ROUND(100*COUNTIFS(Evaluations!$G$3:$G$10000,$A72,Evaluations!$T$3:$T$10000,1)/(COUNTIFS(Evaluations!$G$3:$G$10000,$A72,Evaluations!$T$3:$T$10000,1)+COUNTIFS(Evaluations!$G$3:$G$10000,$A72,Evaluations!$T$3:$T$10000,0)),2),""))</f>
        <v/>
      </c>
      <c r="K72" s="10" t="str">
        <f>IF($A72="","",COUNTIFS(Evaluations!$G$3:$G$10000,$A72,Evaluations!$M$3:$M$10000,"عدم پاسخ"))</f>
        <v/>
      </c>
      <c r="L72" s="10" t="str">
        <f>IF($A72="","",COUNTIFS(Evaluations!$G$3:$G$10000,$A72,Evaluations!$O$3:$O$10000,"رعایت نشده"))</f>
        <v/>
      </c>
    </row>
    <row r="73">
      <c r="A73" s="10"/>
      <c r="B73" s="10" t="str">
        <f t="array" ref="B73">_xlfn.XLOOKUP(A73,DATA!D:D,DATA!E:E,"")</f>
        <v/>
      </c>
      <c r="C73" s="10" t="str">
        <f>IF($A73="","",COUNTIFS(Evaluations!$G$3:$G$10000,$A73,Evaluations!$U$3:$U$10000,"&gt;=0",Evaluations!$U$3:$U$10000,"&lt;=100"))</f>
        <v/>
      </c>
      <c r="D73" s="10" t="str">
        <f>IF(OR($A73="",C73=0),"",ROUND(SUMIFS(Evaluations!$U$3:$U$10000,Evaluations!$G$3:$G$10000,$A73)/C73,2))</f>
        <v/>
      </c>
      <c r="E73" s="10" t="str">
        <f>IF($A73="","",COUNTIFS(Evaluations!$G$3:$G$10000,$A73,Evaluations!$M$3:$M$10000,"پاسخ داده شده"))</f>
        <v/>
      </c>
      <c r="F73" s="10" t="str">
        <f>IF($A73="","",IFERROR(COUNTIFS(Evaluations!$G$3:$G$10000,$A73,Evaluations!$O$3:$O$10000,"رعایت شده")/(COUNTIFS(Evaluations!$G$3:$G$10000,$A73,Evaluations!$O$3:$O$10000,"رعایت شده")+COUNTIFS(Evaluations!$G$3:$G$10000,$A73,Evaluations!$O$3:$O$10000,"رعایت نشده")),""))</f>
        <v/>
      </c>
      <c r="G73" s="10" t="str">
        <f>IF($A73="","",IFERROR(ROUND(100*COUNTIFS(Evaluations!$G$3:$G$10000,$A73,Evaluations!$Q$3:$Q$10000,1)/(COUNTIFS(Evaluations!$G$3:$G$10000,$A73,Evaluations!$Q$3:$Q$10000,1)+COUNTIFS(Evaluations!$G$3:$G$10000,$A73,Evaluations!$Q$3:$Q$10000,0)),2),""))</f>
        <v/>
      </c>
      <c r="H73" s="10" t="str">
        <f>IF($A73="","",IFERROR(ROUND(100*COUNTIFS(Evaluations!$G$3:$G$10000,$A73,Evaluations!$R$3:$R$10000,1)/(COUNTIFS(Evaluations!$G$3:$G$10000,$A73,Evaluations!$R$3:$R$10000,1)+COUNTIFS(Evaluations!$G$3:$G$10000,$A73,Evaluations!$R$3:$R$10000,0)),2),""))</f>
        <v/>
      </c>
      <c r="I73" s="10" t="str">
        <f>IF($A73="","",IFERROR(ROUND(100*COUNTIFS(Evaluations!$G$3:$G$10000,$A73,Evaluations!$S$3:$S$10000,1)/(COUNTIFS(Evaluations!$G$3:$G$10000,$A73,Evaluations!$S$3:$S$10000,1)+COUNTIFS(Evaluations!$G$3:$G$10000,$A73,Evaluations!$S$3:$S$10000,0)),2),""))</f>
        <v/>
      </c>
      <c r="J73" s="10" t="str">
        <f>IF($A73="","",IFERROR(ROUND(100*COUNTIFS(Evaluations!$G$3:$G$10000,$A73,Evaluations!$T$3:$T$10000,1)/(COUNTIFS(Evaluations!$G$3:$G$10000,$A73,Evaluations!$T$3:$T$10000,1)+COUNTIFS(Evaluations!$G$3:$G$10000,$A73,Evaluations!$T$3:$T$10000,0)),2),""))</f>
        <v/>
      </c>
      <c r="K73" s="10" t="str">
        <f>IF($A73="","",COUNTIFS(Evaluations!$G$3:$G$10000,$A73,Evaluations!$M$3:$M$10000,"عدم پاسخ"))</f>
        <v/>
      </c>
      <c r="L73" s="10" t="str">
        <f>IF($A73="","",COUNTIFS(Evaluations!$G$3:$G$10000,$A73,Evaluations!$O$3:$O$10000,"رعایت نشده"))</f>
        <v/>
      </c>
    </row>
    <row r="74">
      <c r="A74" s="10"/>
      <c r="B74" s="10" t="str">
        <f t="array" ref="B74">_xlfn.XLOOKUP(A74,DATA!D:D,DATA!E:E,"")</f>
        <v/>
      </c>
      <c r="C74" s="10" t="str">
        <f>IF($A74="","",COUNTIFS(Evaluations!$G$3:$G$10000,$A74,Evaluations!$U$3:$U$10000,"&gt;=0",Evaluations!$U$3:$U$10000,"&lt;=100"))</f>
        <v/>
      </c>
      <c r="D74" s="10" t="str">
        <f>IF(OR($A74="",C74=0),"",ROUND(SUMIFS(Evaluations!$U$3:$U$10000,Evaluations!$G$3:$G$10000,$A74)/C74,2))</f>
        <v/>
      </c>
      <c r="E74" s="10" t="str">
        <f>IF($A74="","",COUNTIFS(Evaluations!$G$3:$G$10000,$A74,Evaluations!$M$3:$M$10000,"پاسخ داده شده"))</f>
        <v/>
      </c>
      <c r="F74" s="10" t="str">
        <f>IF($A74="","",IFERROR(COUNTIFS(Evaluations!$G$3:$G$10000,$A74,Evaluations!$O$3:$O$10000,"رعایت شده")/(COUNTIFS(Evaluations!$G$3:$G$10000,$A74,Evaluations!$O$3:$O$10000,"رعایت شده")+COUNTIFS(Evaluations!$G$3:$G$10000,$A74,Evaluations!$O$3:$O$10000,"رعایت نشده")),""))</f>
        <v/>
      </c>
      <c r="G74" s="10" t="str">
        <f>IF($A74="","",IFERROR(ROUND(100*COUNTIFS(Evaluations!$G$3:$G$10000,$A74,Evaluations!$Q$3:$Q$10000,1)/(COUNTIFS(Evaluations!$G$3:$G$10000,$A74,Evaluations!$Q$3:$Q$10000,1)+COUNTIFS(Evaluations!$G$3:$G$10000,$A74,Evaluations!$Q$3:$Q$10000,0)),2),""))</f>
        <v/>
      </c>
      <c r="H74" s="10" t="str">
        <f>IF($A74="","",IFERROR(ROUND(100*COUNTIFS(Evaluations!$G$3:$G$10000,$A74,Evaluations!$R$3:$R$10000,1)/(COUNTIFS(Evaluations!$G$3:$G$10000,$A74,Evaluations!$R$3:$R$10000,1)+COUNTIFS(Evaluations!$G$3:$G$10000,$A74,Evaluations!$R$3:$R$10000,0)),2),""))</f>
        <v/>
      </c>
      <c r="I74" s="10" t="str">
        <f>IF($A74="","",IFERROR(ROUND(100*COUNTIFS(Evaluations!$G$3:$G$10000,$A74,Evaluations!$S$3:$S$10000,1)/(COUNTIFS(Evaluations!$G$3:$G$10000,$A74,Evaluations!$S$3:$S$10000,1)+COUNTIFS(Evaluations!$G$3:$G$10000,$A74,Evaluations!$S$3:$S$10000,0)),2),""))</f>
        <v/>
      </c>
      <c r="J74" s="10" t="str">
        <f>IF($A74="","",IFERROR(ROUND(100*COUNTIFS(Evaluations!$G$3:$G$10000,$A74,Evaluations!$T$3:$T$10000,1)/(COUNTIFS(Evaluations!$G$3:$G$10000,$A74,Evaluations!$T$3:$T$10000,1)+COUNTIFS(Evaluations!$G$3:$G$10000,$A74,Evaluations!$T$3:$T$10000,0)),2),""))</f>
        <v/>
      </c>
      <c r="K74" s="10" t="str">
        <f>IF($A74="","",COUNTIFS(Evaluations!$G$3:$G$10000,$A74,Evaluations!$M$3:$M$10000,"عدم پاسخ"))</f>
        <v/>
      </c>
      <c r="L74" s="10" t="str">
        <f>IF($A74="","",COUNTIFS(Evaluations!$G$3:$G$10000,$A74,Evaluations!$O$3:$O$10000,"رعایت نشده"))</f>
        <v/>
      </c>
    </row>
    <row r="75">
      <c r="A75" s="10"/>
      <c r="B75" s="10" t="str">
        <f t="array" ref="B75">_xlfn.XLOOKUP(A75,DATA!D:D,DATA!E:E,"")</f>
        <v/>
      </c>
      <c r="C75" s="10" t="str">
        <f>IF($A75="","",COUNTIFS(Evaluations!$G$3:$G$10000,$A75,Evaluations!$U$3:$U$10000,"&gt;=0",Evaluations!$U$3:$U$10000,"&lt;=100"))</f>
        <v/>
      </c>
      <c r="D75" s="10" t="str">
        <f>IF(OR($A75="",C75=0),"",ROUND(SUMIFS(Evaluations!$U$3:$U$10000,Evaluations!$G$3:$G$10000,$A75)/C75,2))</f>
        <v/>
      </c>
      <c r="E75" s="10" t="str">
        <f>IF($A75="","",COUNTIFS(Evaluations!$G$3:$G$10000,$A75,Evaluations!$M$3:$M$10000,"پاسخ داده شده"))</f>
        <v/>
      </c>
      <c r="F75" s="10" t="str">
        <f>IF($A75="","",IFERROR(COUNTIFS(Evaluations!$G$3:$G$10000,$A75,Evaluations!$O$3:$O$10000,"رعایت شده")/(COUNTIFS(Evaluations!$G$3:$G$10000,$A75,Evaluations!$O$3:$O$10000,"رعایت شده")+COUNTIFS(Evaluations!$G$3:$G$10000,$A75,Evaluations!$O$3:$O$10000,"رعایت نشده")),""))</f>
        <v/>
      </c>
      <c r="G75" s="10" t="str">
        <f>IF($A75="","",IFERROR(ROUND(100*COUNTIFS(Evaluations!$G$3:$G$10000,$A75,Evaluations!$Q$3:$Q$10000,1)/(COUNTIFS(Evaluations!$G$3:$G$10000,$A75,Evaluations!$Q$3:$Q$10000,1)+COUNTIFS(Evaluations!$G$3:$G$10000,$A75,Evaluations!$Q$3:$Q$10000,0)),2),""))</f>
        <v/>
      </c>
      <c r="H75" s="10" t="str">
        <f>IF($A75="","",IFERROR(ROUND(100*COUNTIFS(Evaluations!$G$3:$G$10000,$A75,Evaluations!$R$3:$R$10000,1)/(COUNTIFS(Evaluations!$G$3:$G$10000,$A75,Evaluations!$R$3:$R$10000,1)+COUNTIFS(Evaluations!$G$3:$G$10000,$A75,Evaluations!$R$3:$R$10000,0)),2),""))</f>
        <v/>
      </c>
      <c r="I75" s="10" t="str">
        <f>IF($A75="","",IFERROR(ROUND(100*COUNTIFS(Evaluations!$G$3:$G$10000,$A75,Evaluations!$S$3:$S$10000,1)/(COUNTIFS(Evaluations!$G$3:$G$10000,$A75,Evaluations!$S$3:$S$10000,1)+COUNTIFS(Evaluations!$G$3:$G$10000,$A75,Evaluations!$S$3:$S$10000,0)),2),""))</f>
        <v/>
      </c>
      <c r="J75" s="10" t="str">
        <f>IF($A75="","",IFERROR(ROUND(100*COUNTIFS(Evaluations!$G$3:$G$10000,$A75,Evaluations!$T$3:$T$10000,1)/(COUNTIFS(Evaluations!$G$3:$G$10000,$A75,Evaluations!$T$3:$T$10000,1)+COUNTIFS(Evaluations!$G$3:$G$10000,$A75,Evaluations!$T$3:$T$10000,0)),2),""))</f>
        <v/>
      </c>
      <c r="K75" s="10" t="str">
        <f>IF($A75="","",COUNTIFS(Evaluations!$G$3:$G$10000,$A75,Evaluations!$M$3:$M$10000,"عدم پاسخ"))</f>
        <v/>
      </c>
      <c r="L75" s="10" t="str">
        <f>IF($A75="","",COUNTIFS(Evaluations!$G$3:$G$10000,$A75,Evaluations!$O$3:$O$10000,"رعایت نشده"))</f>
        <v/>
      </c>
    </row>
    <row r="76">
      <c r="A76" s="10"/>
      <c r="B76" s="10" t="str">
        <f t="array" ref="B76">_xlfn.XLOOKUP(A76,DATA!D:D,DATA!E:E,"")</f>
        <v/>
      </c>
      <c r="C76" s="10" t="str">
        <f>IF($A76="","",COUNTIFS(Evaluations!$G$3:$G$10000,$A76,Evaluations!$U$3:$U$10000,"&gt;=0",Evaluations!$U$3:$U$10000,"&lt;=100"))</f>
        <v/>
      </c>
      <c r="D76" s="10" t="str">
        <f>IF(OR($A76="",C76=0),"",ROUND(SUMIFS(Evaluations!$U$3:$U$10000,Evaluations!$G$3:$G$10000,$A76)/C76,2))</f>
        <v/>
      </c>
      <c r="E76" s="10" t="str">
        <f>IF($A76="","",COUNTIFS(Evaluations!$G$3:$G$10000,$A76,Evaluations!$M$3:$M$10000,"پاسخ داده شده"))</f>
        <v/>
      </c>
      <c r="F76" s="10" t="str">
        <f>IF($A76="","",IFERROR(COUNTIFS(Evaluations!$G$3:$G$10000,$A76,Evaluations!$O$3:$O$10000,"رعایت شده")/(COUNTIFS(Evaluations!$G$3:$G$10000,$A76,Evaluations!$O$3:$O$10000,"رعایت شده")+COUNTIFS(Evaluations!$G$3:$G$10000,$A76,Evaluations!$O$3:$O$10000,"رعایت نشده")),""))</f>
        <v/>
      </c>
      <c r="G76" s="10" t="str">
        <f>IF($A76="","",IFERROR(ROUND(100*COUNTIFS(Evaluations!$G$3:$G$10000,$A76,Evaluations!$Q$3:$Q$10000,1)/(COUNTIFS(Evaluations!$G$3:$G$10000,$A76,Evaluations!$Q$3:$Q$10000,1)+COUNTIFS(Evaluations!$G$3:$G$10000,$A76,Evaluations!$Q$3:$Q$10000,0)),2),""))</f>
        <v/>
      </c>
      <c r="H76" s="10" t="str">
        <f>IF($A76="","",IFERROR(ROUND(100*COUNTIFS(Evaluations!$G$3:$G$10000,$A76,Evaluations!$R$3:$R$10000,1)/(COUNTIFS(Evaluations!$G$3:$G$10000,$A76,Evaluations!$R$3:$R$10000,1)+COUNTIFS(Evaluations!$G$3:$G$10000,$A76,Evaluations!$R$3:$R$10000,0)),2),""))</f>
        <v/>
      </c>
      <c r="I76" s="10" t="str">
        <f>IF($A76="","",IFERROR(ROUND(100*COUNTIFS(Evaluations!$G$3:$G$10000,$A76,Evaluations!$S$3:$S$10000,1)/(COUNTIFS(Evaluations!$G$3:$G$10000,$A76,Evaluations!$S$3:$S$10000,1)+COUNTIFS(Evaluations!$G$3:$G$10000,$A76,Evaluations!$S$3:$S$10000,0)),2),""))</f>
        <v/>
      </c>
      <c r="J76" s="10" t="str">
        <f>IF($A76="","",IFERROR(ROUND(100*COUNTIFS(Evaluations!$G$3:$G$10000,$A76,Evaluations!$T$3:$T$10000,1)/(COUNTIFS(Evaluations!$G$3:$G$10000,$A76,Evaluations!$T$3:$T$10000,1)+COUNTIFS(Evaluations!$G$3:$G$10000,$A76,Evaluations!$T$3:$T$10000,0)),2),""))</f>
        <v/>
      </c>
      <c r="K76" s="10" t="str">
        <f>IF($A76="","",COUNTIFS(Evaluations!$G$3:$G$10000,$A76,Evaluations!$M$3:$M$10000,"عدم پاسخ"))</f>
        <v/>
      </c>
      <c r="L76" s="10" t="str">
        <f>IF($A76="","",COUNTIFS(Evaluations!$G$3:$G$10000,$A76,Evaluations!$O$3:$O$10000,"رعایت نشده"))</f>
        <v/>
      </c>
    </row>
    <row r="77">
      <c r="A77" s="10"/>
      <c r="B77" s="10" t="str">
        <f t="array" ref="B77">_xlfn.XLOOKUP(A77,DATA!D:D,DATA!E:E,"")</f>
        <v/>
      </c>
      <c r="C77" s="10" t="str">
        <f>IF($A77="","",COUNTIFS(Evaluations!$G$3:$G$10000,$A77,Evaluations!$U$3:$U$10000,"&gt;=0",Evaluations!$U$3:$U$10000,"&lt;=100"))</f>
        <v/>
      </c>
      <c r="D77" s="10" t="str">
        <f>IF(OR($A77="",C77=0),"",ROUND(SUMIFS(Evaluations!$U$3:$U$10000,Evaluations!$G$3:$G$10000,$A77)/C77,2))</f>
        <v/>
      </c>
      <c r="E77" s="10" t="str">
        <f>IF($A77="","",COUNTIFS(Evaluations!$G$3:$G$10000,$A77,Evaluations!$M$3:$M$10000,"پاسخ داده شده"))</f>
        <v/>
      </c>
      <c r="F77" s="10" t="str">
        <f>IF($A77="","",IFERROR(COUNTIFS(Evaluations!$G$3:$G$10000,$A77,Evaluations!$O$3:$O$10000,"رعایت شده")/(COUNTIFS(Evaluations!$G$3:$G$10000,$A77,Evaluations!$O$3:$O$10000,"رعایت شده")+COUNTIFS(Evaluations!$G$3:$G$10000,$A77,Evaluations!$O$3:$O$10000,"رعایت نشده")),""))</f>
        <v/>
      </c>
      <c r="G77" s="10" t="str">
        <f>IF($A77="","",IFERROR(ROUND(100*COUNTIFS(Evaluations!$G$3:$G$10000,$A77,Evaluations!$Q$3:$Q$10000,1)/(COUNTIFS(Evaluations!$G$3:$G$10000,$A77,Evaluations!$Q$3:$Q$10000,1)+COUNTIFS(Evaluations!$G$3:$G$10000,$A77,Evaluations!$Q$3:$Q$10000,0)),2),""))</f>
        <v/>
      </c>
      <c r="H77" s="10" t="str">
        <f>IF($A77="","",IFERROR(ROUND(100*COUNTIFS(Evaluations!$G$3:$G$10000,$A77,Evaluations!$R$3:$R$10000,1)/(COUNTIFS(Evaluations!$G$3:$G$10000,$A77,Evaluations!$R$3:$R$10000,1)+COUNTIFS(Evaluations!$G$3:$G$10000,$A77,Evaluations!$R$3:$R$10000,0)),2),""))</f>
        <v/>
      </c>
      <c r="I77" s="10" t="str">
        <f>IF($A77="","",IFERROR(ROUND(100*COUNTIFS(Evaluations!$G$3:$G$10000,$A77,Evaluations!$S$3:$S$10000,1)/(COUNTIFS(Evaluations!$G$3:$G$10000,$A77,Evaluations!$S$3:$S$10000,1)+COUNTIFS(Evaluations!$G$3:$G$10000,$A77,Evaluations!$S$3:$S$10000,0)),2),""))</f>
        <v/>
      </c>
      <c r="J77" s="10" t="str">
        <f>IF($A77="","",IFERROR(ROUND(100*COUNTIFS(Evaluations!$G$3:$G$10000,$A77,Evaluations!$T$3:$T$10000,1)/(COUNTIFS(Evaluations!$G$3:$G$10000,$A77,Evaluations!$T$3:$T$10000,1)+COUNTIFS(Evaluations!$G$3:$G$10000,$A77,Evaluations!$T$3:$T$10000,0)),2),""))</f>
        <v/>
      </c>
      <c r="K77" s="10" t="str">
        <f>IF($A77="","",COUNTIFS(Evaluations!$G$3:$G$10000,$A77,Evaluations!$M$3:$M$10000,"عدم پاسخ"))</f>
        <v/>
      </c>
      <c r="L77" s="10" t="str">
        <f>IF($A77="","",COUNTIFS(Evaluations!$G$3:$G$10000,$A77,Evaluations!$O$3:$O$10000,"رعایت نشده"))</f>
        <v/>
      </c>
    </row>
    <row r="78">
      <c r="A78" s="10"/>
      <c r="B78" s="10" t="str">
        <f t="array" ref="B78">_xlfn.XLOOKUP(A78,DATA!D:D,DATA!E:E,"")</f>
        <v/>
      </c>
      <c r="C78" s="10" t="str">
        <f>IF($A78="","",COUNTIFS(Evaluations!$G$3:$G$10000,$A78,Evaluations!$U$3:$U$10000,"&gt;=0",Evaluations!$U$3:$U$10000,"&lt;=100"))</f>
        <v/>
      </c>
      <c r="D78" s="10" t="str">
        <f>IF(OR($A78="",C78=0),"",ROUND(SUMIFS(Evaluations!$U$3:$U$10000,Evaluations!$G$3:$G$10000,$A78)/C78,2))</f>
        <v/>
      </c>
      <c r="E78" s="10" t="str">
        <f>IF($A78="","",COUNTIFS(Evaluations!$G$3:$G$10000,$A78,Evaluations!$M$3:$M$10000,"پاسخ داده شده"))</f>
        <v/>
      </c>
      <c r="F78" s="10" t="str">
        <f>IF($A78="","",IFERROR(COUNTIFS(Evaluations!$G$3:$G$10000,$A78,Evaluations!$O$3:$O$10000,"رعایت شده")/(COUNTIFS(Evaluations!$G$3:$G$10000,$A78,Evaluations!$O$3:$O$10000,"رعایت شده")+COUNTIFS(Evaluations!$G$3:$G$10000,$A78,Evaluations!$O$3:$O$10000,"رعایت نشده")),""))</f>
        <v/>
      </c>
      <c r="G78" s="10" t="str">
        <f>IF($A78="","",IFERROR(ROUND(100*COUNTIFS(Evaluations!$G$3:$G$10000,$A78,Evaluations!$Q$3:$Q$10000,1)/(COUNTIFS(Evaluations!$G$3:$G$10000,$A78,Evaluations!$Q$3:$Q$10000,1)+COUNTIFS(Evaluations!$G$3:$G$10000,$A78,Evaluations!$Q$3:$Q$10000,0)),2),""))</f>
        <v/>
      </c>
      <c r="H78" s="10" t="str">
        <f>IF($A78="","",IFERROR(ROUND(100*COUNTIFS(Evaluations!$G$3:$G$10000,$A78,Evaluations!$R$3:$R$10000,1)/(COUNTIFS(Evaluations!$G$3:$G$10000,$A78,Evaluations!$R$3:$R$10000,1)+COUNTIFS(Evaluations!$G$3:$G$10000,$A78,Evaluations!$R$3:$R$10000,0)),2),""))</f>
        <v/>
      </c>
      <c r="I78" s="10" t="str">
        <f>IF($A78="","",IFERROR(ROUND(100*COUNTIFS(Evaluations!$G$3:$G$10000,$A78,Evaluations!$S$3:$S$10000,1)/(COUNTIFS(Evaluations!$G$3:$G$10000,$A78,Evaluations!$S$3:$S$10000,1)+COUNTIFS(Evaluations!$G$3:$G$10000,$A78,Evaluations!$S$3:$S$10000,0)),2),""))</f>
        <v/>
      </c>
      <c r="J78" s="10" t="str">
        <f>IF($A78="","",IFERROR(ROUND(100*COUNTIFS(Evaluations!$G$3:$G$10000,$A78,Evaluations!$T$3:$T$10000,1)/(COUNTIFS(Evaluations!$G$3:$G$10000,$A78,Evaluations!$T$3:$T$10000,1)+COUNTIFS(Evaluations!$G$3:$G$10000,$A78,Evaluations!$T$3:$T$10000,0)),2),""))</f>
        <v/>
      </c>
      <c r="K78" s="10" t="str">
        <f>IF($A78="","",COUNTIFS(Evaluations!$G$3:$G$10000,$A78,Evaluations!$M$3:$M$10000,"عدم پاسخ"))</f>
        <v/>
      </c>
      <c r="L78" s="10" t="str">
        <f>IF($A78="","",COUNTIFS(Evaluations!$G$3:$G$10000,$A78,Evaluations!$O$3:$O$10000,"رعایت نشده"))</f>
        <v/>
      </c>
    </row>
    <row r="79">
      <c r="A79" s="10"/>
      <c r="B79" s="10" t="str">
        <f t="array" ref="B79">_xlfn.XLOOKUP(A79,DATA!D:D,DATA!E:E,"")</f>
        <v/>
      </c>
      <c r="C79" s="10" t="str">
        <f>IF($A79="","",COUNTIFS(Evaluations!$G$3:$G$10000,$A79,Evaluations!$U$3:$U$10000,"&gt;=0",Evaluations!$U$3:$U$10000,"&lt;=100"))</f>
        <v/>
      </c>
      <c r="D79" s="10" t="str">
        <f>IF(OR($A79="",C79=0),"",ROUND(SUMIFS(Evaluations!$U$3:$U$10000,Evaluations!$G$3:$G$10000,$A79)/C79,2))</f>
        <v/>
      </c>
      <c r="E79" s="10" t="str">
        <f>IF($A79="","",COUNTIFS(Evaluations!$G$3:$G$10000,$A79,Evaluations!$M$3:$M$10000,"پاسخ داده شده"))</f>
        <v/>
      </c>
      <c r="F79" s="10" t="str">
        <f>IF($A79="","",IFERROR(COUNTIFS(Evaluations!$G$3:$G$10000,$A79,Evaluations!$O$3:$O$10000,"رعایت شده")/(COUNTIFS(Evaluations!$G$3:$G$10000,$A79,Evaluations!$O$3:$O$10000,"رعایت شده")+COUNTIFS(Evaluations!$G$3:$G$10000,$A79,Evaluations!$O$3:$O$10000,"رعایت نشده")),""))</f>
        <v/>
      </c>
      <c r="G79" s="10" t="str">
        <f>IF($A79="","",IFERROR(ROUND(100*COUNTIFS(Evaluations!$G$3:$G$10000,$A79,Evaluations!$Q$3:$Q$10000,1)/(COUNTIFS(Evaluations!$G$3:$G$10000,$A79,Evaluations!$Q$3:$Q$10000,1)+COUNTIFS(Evaluations!$G$3:$G$10000,$A79,Evaluations!$Q$3:$Q$10000,0)),2),""))</f>
        <v/>
      </c>
      <c r="H79" s="10" t="str">
        <f>IF($A79="","",IFERROR(ROUND(100*COUNTIFS(Evaluations!$G$3:$G$10000,$A79,Evaluations!$R$3:$R$10000,1)/(COUNTIFS(Evaluations!$G$3:$G$10000,$A79,Evaluations!$R$3:$R$10000,1)+COUNTIFS(Evaluations!$G$3:$G$10000,$A79,Evaluations!$R$3:$R$10000,0)),2),""))</f>
        <v/>
      </c>
      <c r="I79" s="10" t="str">
        <f>IF($A79="","",IFERROR(ROUND(100*COUNTIFS(Evaluations!$G$3:$G$10000,$A79,Evaluations!$S$3:$S$10000,1)/(COUNTIFS(Evaluations!$G$3:$G$10000,$A79,Evaluations!$S$3:$S$10000,1)+COUNTIFS(Evaluations!$G$3:$G$10000,$A79,Evaluations!$S$3:$S$10000,0)),2),""))</f>
        <v/>
      </c>
      <c r="J79" s="10" t="str">
        <f>IF($A79="","",IFERROR(ROUND(100*COUNTIFS(Evaluations!$G$3:$G$10000,$A79,Evaluations!$T$3:$T$10000,1)/(COUNTIFS(Evaluations!$G$3:$G$10000,$A79,Evaluations!$T$3:$T$10000,1)+COUNTIFS(Evaluations!$G$3:$G$10000,$A79,Evaluations!$T$3:$T$10000,0)),2),""))</f>
        <v/>
      </c>
      <c r="K79" s="10" t="str">
        <f>IF($A79="","",COUNTIFS(Evaluations!$G$3:$G$10000,$A79,Evaluations!$M$3:$M$10000,"عدم پاسخ"))</f>
        <v/>
      </c>
      <c r="L79" s="10" t="str">
        <f>IF($A79="","",COUNTIFS(Evaluations!$G$3:$G$10000,$A79,Evaluations!$O$3:$O$10000,"رعایت نشده"))</f>
        <v/>
      </c>
    </row>
    <row r="80">
      <c r="A80" s="10"/>
      <c r="B80" s="10" t="str">
        <f t="array" ref="B80">_xlfn.XLOOKUP(A80,DATA!D:D,DATA!E:E,"")</f>
        <v/>
      </c>
      <c r="C80" s="10" t="str">
        <f>IF($A80="","",COUNTIFS(Evaluations!$G$3:$G$10000,$A80,Evaluations!$U$3:$U$10000,"&gt;=0",Evaluations!$U$3:$U$10000,"&lt;=100"))</f>
        <v/>
      </c>
      <c r="D80" s="10" t="str">
        <f>IF(OR($A80="",C80=0),"",ROUND(SUMIFS(Evaluations!$U$3:$U$10000,Evaluations!$G$3:$G$10000,$A80)/C80,2))</f>
        <v/>
      </c>
      <c r="E80" s="10" t="str">
        <f>IF($A80="","",COUNTIFS(Evaluations!$G$3:$G$10000,$A80,Evaluations!$M$3:$M$10000,"پاسخ داده شده"))</f>
        <v/>
      </c>
      <c r="F80" s="10" t="str">
        <f>IF($A80="","",IFERROR(COUNTIFS(Evaluations!$G$3:$G$10000,$A80,Evaluations!$O$3:$O$10000,"رعایت شده")/(COUNTIFS(Evaluations!$G$3:$G$10000,$A80,Evaluations!$O$3:$O$10000,"رعایت شده")+COUNTIFS(Evaluations!$G$3:$G$10000,$A80,Evaluations!$O$3:$O$10000,"رعایت نشده")),""))</f>
        <v/>
      </c>
      <c r="G80" s="10" t="str">
        <f>IF($A80="","",IFERROR(ROUND(100*COUNTIFS(Evaluations!$G$3:$G$10000,$A80,Evaluations!$Q$3:$Q$10000,1)/(COUNTIFS(Evaluations!$G$3:$G$10000,$A80,Evaluations!$Q$3:$Q$10000,1)+COUNTIFS(Evaluations!$G$3:$G$10000,$A80,Evaluations!$Q$3:$Q$10000,0)),2),""))</f>
        <v/>
      </c>
      <c r="H80" s="10" t="str">
        <f>IF($A80="","",IFERROR(ROUND(100*COUNTIFS(Evaluations!$G$3:$G$10000,$A80,Evaluations!$R$3:$R$10000,1)/(COUNTIFS(Evaluations!$G$3:$G$10000,$A80,Evaluations!$R$3:$R$10000,1)+COUNTIFS(Evaluations!$G$3:$G$10000,$A80,Evaluations!$R$3:$R$10000,0)),2),""))</f>
        <v/>
      </c>
      <c r="I80" s="10" t="str">
        <f>IF($A80="","",IFERROR(ROUND(100*COUNTIFS(Evaluations!$G$3:$G$10000,$A80,Evaluations!$S$3:$S$10000,1)/(COUNTIFS(Evaluations!$G$3:$G$10000,$A80,Evaluations!$S$3:$S$10000,1)+COUNTIFS(Evaluations!$G$3:$G$10000,$A80,Evaluations!$S$3:$S$10000,0)),2),""))</f>
        <v/>
      </c>
      <c r="J80" s="10" t="str">
        <f>IF($A80="","",IFERROR(ROUND(100*COUNTIFS(Evaluations!$G$3:$G$10000,$A80,Evaluations!$T$3:$T$10000,1)/(COUNTIFS(Evaluations!$G$3:$G$10000,$A80,Evaluations!$T$3:$T$10000,1)+COUNTIFS(Evaluations!$G$3:$G$10000,$A80,Evaluations!$T$3:$T$10000,0)),2),""))</f>
        <v/>
      </c>
      <c r="K80" s="10" t="str">
        <f>IF($A80="","",COUNTIFS(Evaluations!$G$3:$G$10000,$A80,Evaluations!$M$3:$M$10000,"عدم پاسخ"))</f>
        <v/>
      </c>
      <c r="L80" s="10" t="str">
        <f>IF($A80="","",COUNTIFS(Evaluations!$G$3:$G$10000,$A80,Evaluations!$O$3:$O$10000,"رعایت نشده"))</f>
        <v/>
      </c>
    </row>
    <row r="81">
      <c r="A81" s="10"/>
      <c r="B81" s="10" t="str">
        <f t="array" ref="B81">_xlfn.XLOOKUP(A81,DATA!D:D,DATA!E:E,"")</f>
        <v/>
      </c>
      <c r="C81" s="10" t="str">
        <f>IF($A81="","",COUNTIFS(Evaluations!$G$3:$G$10000,$A81,Evaluations!$U$3:$U$10000,"&gt;=0",Evaluations!$U$3:$U$10000,"&lt;=100"))</f>
        <v/>
      </c>
      <c r="D81" s="10" t="str">
        <f>IF(OR($A81="",C81=0),"",ROUND(SUMIFS(Evaluations!$U$3:$U$10000,Evaluations!$G$3:$G$10000,$A81)/C81,2))</f>
        <v/>
      </c>
      <c r="E81" s="10" t="str">
        <f>IF($A81="","",COUNTIFS(Evaluations!$G$3:$G$10000,$A81,Evaluations!$M$3:$M$10000,"پاسخ داده شده"))</f>
        <v/>
      </c>
      <c r="F81" s="10" t="str">
        <f>IF($A81="","",IFERROR(COUNTIFS(Evaluations!$G$3:$G$10000,$A81,Evaluations!$O$3:$O$10000,"رعایت شده")/(COUNTIFS(Evaluations!$G$3:$G$10000,$A81,Evaluations!$O$3:$O$10000,"رعایت شده")+COUNTIFS(Evaluations!$G$3:$G$10000,$A81,Evaluations!$O$3:$O$10000,"رعایت نشده")),""))</f>
        <v/>
      </c>
      <c r="G81" s="10" t="str">
        <f>IF($A81="","",IFERROR(ROUND(100*COUNTIFS(Evaluations!$G$3:$G$10000,$A81,Evaluations!$Q$3:$Q$10000,1)/(COUNTIFS(Evaluations!$G$3:$G$10000,$A81,Evaluations!$Q$3:$Q$10000,1)+COUNTIFS(Evaluations!$G$3:$G$10000,$A81,Evaluations!$Q$3:$Q$10000,0)),2),""))</f>
        <v/>
      </c>
      <c r="H81" s="10" t="str">
        <f>IF($A81="","",IFERROR(ROUND(100*COUNTIFS(Evaluations!$G$3:$G$10000,$A81,Evaluations!$R$3:$R$10000,1)/(COUNTIFS(Evaluations!$G$3:$G$10000,$A81,Evaluations!$R$3:$R$10000,1)+COUNTIFS(Evaluations!$G$3:$G$10000,$A81,Evaluations!$R$3:$R$10000,0)),2),""))</f>
        <v/>
      </c>
      <c r="I81" s="10" t="str">
        <f>IF($A81="","",IFERROR(ROUND(100*COUNTIFS(Evaluations!$G$3:$G$10000,$A81,Evaluations!$S$3:$S$10000,1)/(COUNTIFS(Evaluations!$G$3:$G$10000,$A81,Evaluations!$S$3:$S$10000,1)+COUNTIFS(Evaluations!$G$3:$G$10000,$A81,Evaluations!$S$3:$S$10000,0)),2),""))</f>
        <v/>
      </c>
      <c r="J81" s="10" t="str">
        <f>IF($A81="","",IFERROR(ROUND(100*COUNTIFS(Evaluations!$G$3:$G$10000,$A81,Evaluations!$T$3:$T$10000,1)/(COUNTIFS(Evaluations!$G$3:$G$10000,$A81,Evaluations!$T$3:$T$10000,1)+COUNTIFS(Evaluations!$G$3:$G$10000,$A81,Evaluations!$T$3:$T$10000,0)),2),""))</f>
        <v/>
      </c>
      <c r="K81" s="10" t="str">
        <f>IF($A81="","",COUNTIFS(Evaluations!$G$3:$G$10000,$A81,Evaluations!$M$3:$M$10000,"عدم پاسخ"))</f>
        <v/>
      </c>
      <c r="L81" s="10" t="str">
        <f>IF($A81="","",COUNTIFS(Evaluations!$G$3:$G$10000,$A81,Evaluations!$O$3:$O$10000,"رعایت نشده"))</f>
        <v/>
      </c>
    </row>
    <row r="82">
      <c r="A82" s="10"/>
      <c r="B82" s="10" t="str">
        <f t="array" ref="B82">_xlfn.XLOOKUP(A82,DATA!D:D,DATA!E:E,"")</f>
        <v/>
      </c>
      <c r="C82" s="10" t="str">
        <f>IF($A82="","",COUNTIFS(Evaluations!$G$3:$G$10000,$A82,Evaluations!$U$3:$U$10000,"&gt;=0",Evaluations!$U$3:$U$10000,"&lt;=100"))</f>
        <v/>
      </c>
      <c r="D82" s="10" t="str">
        <f>IF(OR($A82="",C82=0),"",ROUND(SUMIFS(Evaluations!$U$3:$U$10000,Evaluations!$G$3:$G$10000,$A82)/C82,2))</f>
        <v/>
      </c>
      <c r="E82" s="10" t="str">
        <f>IF($A82="","",COUNTIFS(Evaluations!$G$3:$G$10000,$A82,Evaluations!$M$3:$M$10000,"پاسخ داده شده"))</f>
        <v/>
      </c>
      <c r="F82" s="10" t="str">
        <f>IF($A82="","",IFERROR(COUNTIFS(Evaluations!$G$3:$G$10000,$A82,Evaluations!$O$3:$O$10000,"رعایت شده")/(COUNTIFS(Evaluations!$G$3:$G$10000,$A82,Evaluations!$O$3:$O$10000,"رعایت شده")+COUNTIFS(Evaluations!$G$3:$G$10000,$A82,Evaluations!$O$3:$O$10000,"رعایت نشده")),""))</f>
        <v/>
      </c>
      <c r="G82" s="10" t="str">
        <f>IF($A82="","",IFERROR(ROUND(100*COUNTIFS(Evaluations!$G$3:$G$10000,$A82,Evaluations!$Q$3:$Q$10000,1)/(COUNTIFS(Evaluations!$G$3:$G$10000,$A82,Evaluations!$Q$3:$Q$10000,1)+COUNTIFS(Evaluations!$G$3:$G$10000,$A82,Evaluations!$Q$3:$Q$10000,0)),2),""))</f>
        <v/>
      </c>
      <c r="H82" s="10" t="str">
        <f>IF($A82="","",IFERROR(ROUND(100*COUNTIFS(Evaluations!$G$3:$G$10000,$A82,Evaluations!$R$3:$R$10000,1)/(COUNTIFS(Evaluations!$G$3:$G$10000,$A82,Evaluations!$R$3:$R$10000,1)+COUNTIFS(Evaluations!$G$3:$G$10000,$A82,Evaluations!$R$3:$R$10000,0)),2),""))</f>
        <v/>
      </c>
      <c r="I82" s="10" t="str">
        <f>IF($A82="","",IFERROR(ROUND(100*COUNTIFS(Evaluations!$G$3:$G$10000,$A82,Evaluations!$S$3:$S$10000,1)/(COUNTIFS(Evaluations!$G$3:$G$10000,$A82,Evaluations!$S$3:$S$10000,1)+COUNTIFS(Evaluations!$G$3:$G$10000,$A82,Evaluations!$S$3:$S$10000,0)),2),""))</f>
        <v/>
      </c>
      <c r="J82" s="10" t="str">
        <f>IF($A82="","",IFERROR(ROUND(100*COUNTIFS(Evaluations!$G$3:$G$10000,$A82,Evaluations!$T$3:$T$10000,1)/(COUNTIFS(Evaluations!$G$3:$G$10000,$A82,Evaluations!$T$3:$T$10000,1)+COUNTIFS(Evaluations!$G$3:$G$10000,$A82,Evaluations!$T$3:$T$10000,0)),2),""))</f>
        <v/>
      </c>
      <c r="K82" s="10" t="str">
        <f>IF($A82="","",COUNTIFS(Evaluations!$G$3:$G$10000,$A82,Evaluations!$M$3:$M$10000,"عدم پاسخ"))</f>
        <v/>
      </c>
      <c r="L82" s="10" t="str">
        <f>IF($A82="","",COUNTIFS(Evaluations!$G$3:$G$10000,$A82,Evaluations!$O$3:$O$10000,"رعایت نشده"))</f>
        <v/>
      </c>
    </row>
    <row r="83">
      <c r="A83" s="10"/>
      <c r="B83" s="10" t="str">
        <f t="array" ref="B83">_xlfn.XLOOKUP(A83,DATA!D:D,DATA!E:E,"")</f>
        <v/>
      </c>
      <c r="C83" s="10" t="str">
        <f>IF($A83="","",COUNTIFS(Evaluations!$G$3:$G$10000,$A83,Evaluations!$U$3:$U$10000,"&gt;=0",Evaluations!$U$3:$U$10000,"&lt;=100"))</f>
        <v/>
      </c>
      <c r="D83" s="10" t="str">
        <f>IF(OR($A83="",C83=0),"",ROUND(SUMIFS(Evaluations!$U$3:$U$10000,Evaluations!$G$3:$G$10000,$A83)/C83,2))</f>
        <v/>
      </c>
      <c r="E83" s="10" t="str">
        <f>IF($A83="","",COUNTIFS(Evaluations!$G$3:$G$10000,$A83,Evaluations!$M$3:$M$10000,"پاسخ داده شده"))</f>
        <v/>
      </c>
      <c r="F83" s="10" t="str">
        <f>IF($A83="","",IFERROR(COUNTIFS(Evaluations!$G$3:$G$10000,$A83,Evaluations!$O$3:$O$10000,"رعایت شده")/(COUNTIFS(Evaluations!$G$3:$G$10000,$A83,Evaluations!$O$3:$O$10000,"رعایت شده")+COUNTIFS(Evaluations!$G$3:$G$10000,$A83,Evaluations!$O$3:$O$10000,"رعایت نشده")),""))</f>
        <v/>
      </c>
      <c r="G83" s="10" t="str">
        <f>IF($A83="","",IFERROR(ROUND(100*COUNTIFS(Evaluations!$G$3:$G$10000,$A83,Evaluations!$Q$3:$Q$10000,1)/(COUNTIFS(Evaluations!$G$3:$G$10000,$A83,Evaluations!$Q$3:$Q$10000,1)+COUNTIFS(Evaluations!$G$3:$G$10000,$A83,Evaluations!$Q$3:$Q$10000,0)),2),""))</f>
        <v/>
      </c>
      <c r="H83" s="10" t="str">
        <f>IF($A83="","",IFERROR(ROUND(100*COUNTIFS(Evaluations!$G$3:$G$10000,$A83,Evaluations!$R$3:$R$10000,1)/(COUNTIFS(Evaluations!$G$3:$G$10000,$A83,Evaluations!$R$3:$R$10000,1)+COUNTIFS(Evaluations!$G$3:$G$10000,$A83,Evaluations!$R$3:$R$10000,0)),2),""))</f>
        <v/>
      </c>
      <c r="I83" s="10" t="str">
        <f>IF($A83="","",IFERROR(ROUND(100*COUNTIFS(Evaluations!$G$3:$G$10000,$A83,Evaluations!$S$3:$S$10000,1)/(COUNTIFS(Evaluations!$G$3:$G$10000,$A83,Evaluations!$S$3:$S$10000,1)+COUNTIFS(Evaluations!$G$3:$G$10000,$A83,Evaluations!$S$3:$S$10000,0)),2),""))</f>
        <v/>
      </c>
      <c r="J83" s="10" t="str">
        <f>IF($A83="","",IFERROR(ROUND(100*COUNTIFS(Evaluations!$G$3:$G$10000,$A83,Evaluations!$T$3:$T$10000,1)/(COUNTIFS(Evaluations!$G$3:$G$10000,$A83,Evaluations!$T$3:$T$10000,1)+COUNTIFS(Evaluations!$G$3:$G$10000,$A83,Evaluations!$T$3:$T$10000,0)),2),""))</f>
        <v/>
      </c>
      <c r="K83" s="10" t="str">
        <f>IF($A83="","",COUNTIFS(Evaluations!$G$3:$G$10000,$A83,Evaluations!$M$3:$M$10000,"عدم پاسخ"))</f>
        <v/>
      </c>
      <c r="L83" s="10" t="str">
        <f>IF($A83="","",COUNTIFS(Evaluations!$G$3:$G$10000,$A83,Evaluations!$O$3:$O$10000,"رعایت نشده"))</f>
        <v/>
      </c>
    </row>
    <row r="84">
      <c r="A84" s="10"/>
      <c r="B84" s="10" t="str">
        <f t="array" ref="B84">_xlfn.XLOOKUP(A84,DATA!D:D,DATA!E:E,"")</f>
        <v/>
      </c>
      <c r="C84" s="10" t="str">
        <f>IF($A84="","",COUNTIFS(Evaluations!$G$3:$G$10000,$A84,Evaluations!$U$3:$U$10000,"&gt;=0",Evaluations!$U$3:$U$10000,"&lt;=100"))</f>
        <v/>
      </c>
      <c r="D84" s="10" t="str">
        <f>IF(OR($A84="",C84=0),"",ROUND(SUMIFS(Evaluations!$U$3:$U$10000,Evaluations!$G$3:$G$10000,$A84)/C84,2))</f>
        <v/>
      </c>
      <c r="E84" s="10" t="str">
        <f>IF($A84="","",COUNTIFS(Evaluations!$G$3:$G$10000,$A84,Evaluations!$M$3:$M$10000,"پاسخ داده شده"))</f>
        <v/>
      </c>
      <c r="F84" s="10" t="str">
        <f>IF($A84="","",IFERROR(COUNTIFS(Evaluations!$G$3:$G$10000,$A84,Evaluations!$O$3:$O$10000,"رعایت شده")/(COUNTIFS(Evaluations!$G$3:$G$10000,$A84,Evaluations!$O$3:$O$10000,"رعایت شده")+COUNTIFS(Evaluations!$G$3:$G$10000,$A84,Evaluations!$O$3:$O$10000,"رعایت نشده")),""))</f>
        <v/>
      </c>
      <c r="G84" s="10" t="str">
        <f>IF($A84="","",IFERROR(ROUND(100*COUNTIFS(Evaluations!$G$3:$G$10000,$A84,Evaluations!$Q$3:$Q$10000,1)/(COUNTIFS(Evaluations!$G$3:$G$10000,$A84,Evaluations!$Q$3:$Q$10000,1)+COUNTIFS(Evaluations!$G$3:$G$10000,$A84,Evaluations!$Q$3:$Q$10000,0)),2),""))</f>
        <v/>
      </c>
      <c r="H84" s="10" t="str">
        <f>IF($A84="","",IFERROR(ROUND(100*COUNTIFS(Evaluations!$G$3:$G$10000,$A84,Evaluations!$R$3:$R$10000,1)/(COUNTIFS(Evaluations!$G$3:$G$10000,$A84,Evaluations!$R$3:$R$10000,1)+COUNTIFS(Evaluations!$G$3:$G$10000,$A84,Evaluations!$R$3:$R$10000,0)),2),""))</f>
        <v/>
      </c>
      <c r="I84" s="10" t="str">
        <f>IF($A84="","",IFERROR(ROUND(100*COUNTIFS(Evaluations!$G$3:$G$10000,$A84,Evaluations!$S$3:$S$10000,1)/(COUNTIFS(Evaluations!$G$3:$G$10000,$A84,Evaluations!$S$3:$S$10000,1)+COUNTIFS(Evaluations!$G$3:$G$10000,$A84,Evaluations!$S$3:$S$10000,0)),2),""))</f>
        <v/>
      </c>
      <c r="J84" s="10" t="str">
        <f>IF($A84="","",IFERROR(ROUND(100*COUNTIFS(Evaluations!$G$3:$G$10000,$A84,Evaluations!$T$3:$T$10000,1)/(COUNTIFS(Evaluations!$G$3:$G$10000,$A84,Evaluations!$T$3:$T$10000,1)+COUNTIFS(Evaluations!$G$3:$G$10000,$A84,Evaluations!$T$3:$T$10000,0)),2),""))</f>
        <v/>
      </c>
      <c r="K84" s="10" t="str">
        <f>IF($A84="","",COUNTIFS(Evaluations!$G$3:$G$10000,$A84,Evaluations!$M$3:$M$10000,"عدم پاسخ"))</f>
        <v/>
      </c>
      <c r="L84" s="10" t="str">
        <f>IF($A84="","",COUNTIFS(Evaluations!$G$3:$G$10000,$A84,Evaluations!$O$3:$O$10000,"رعایت نشده"))</f>
        <v/>
      </c>
    </row>
    <row r="85">
      <c r="A85" s="10"/>
      <c r="B85" s="10" t="str">
        <f t="array" ref="B85">_xlfn.XLOOKUP(A85,DATA!D:D,DATA!E:E,"")</f>
        <v/>
      </c>
      <c r="C85" s="10" t="str">
        <f>IF($A85="","",COUNTIFS(Evaluations!$G$3:$G$10000,$A85,Evaluations!$U$3:$U$10000,"&gt;=0",Evaluations!$U$3:$U$10000,"&lt;=100"))</f>
        <v/>
      </c>
      <c r="D85" s="10" t="str">
        <f>IF(OR($A85="",C85=0),"",ROUND(SUMIFS(Evaluations!$U$3:$U$10000,Evaluations!$G$3:$G$10000,$A85)/C85,2))</f>
        <v/>
      </c>
      <c r="E85" s="10" t="str">
        <f>IF($A85="","",COUNTIFS(Evaluations!$G$3:$G$10000,$A85,Evaluations!$M$3:$M$10000,"پاسخ داده شده"))</f>
        <v/>
      </c>
      <c r="F85" s="10" t="str">
        <f>IF($A85="","",IFERROR(COUNTIFS(Evaluations!$G$3:$G$10000,$A85,Evaluations!$O$3:$O$10000,"رعایت شده")/(COUNTIFS(Evaluations!$G$3:$G$10000,$A85,Evaluations!$O$3:$O$10000,"رعایت شده")+COUNTIFS(Evaluations!$G$3:$G$10000,$A85,Evaluations!$O$3:$O$10000,"رعایت نشده")),""))</f>
        <v/>
      </c>
      <c r="G85" s="10" t="str">
        <f>IF($A85="","",IFERROR(ROUND(100*COUNTIFS(Evaluations!$G$3:$G$10000,$A85,Evaluations!$Q$3:$Q$10000,1)/(COUNTIFS(Evaluations!$G$3:$G$10000,$A85,Evaluations!$Q$3:$Q$10000,1)+COUNTIFS(Evaluations!$G$3:$G$10000,$A85,Evaluations!$Q$3:$Q$10000,0)),2),""))</f>
        <v/>
      </c>
      <c r="H85" s="10" t="str">
        <f>IF($A85="","",IFERROR(ROUND(100*COUNTIFS(Evaluations!$G$3:$G$10000,$A85,Evaluations!$R$3:$R$10000,1)/(COUNTIFS(Evaluations!$G$3:$G$10000,$A85,Evaluations!$R$3:$R$10000,1)+COUNTIFS(Evaluations!$G$3:$G$10000,$A85,Evaluations!$R$3:$R$10000,0)),2),""))</f>
        <v/>
      </c>
      <c r="I85" s="10" t="str">
        <f>IF($A85="","",IFERROR(ROUND(100*COUNTIFS(Evaluations!$G$3:$G$10000,$A85,Evaluations!$S$3:$S$10000,1)/(COUNTIFS(Evaluations!$G$3:$G$10000,$A85,Evaluations!$S$3:$S$10000,1)+COUNTIFS(Evaluations!$G$3:$G$10000,$A85,Evaluations!$S$3:$S$10000,0)),2),""))</f>
        <v/>
      </c>
      <c r="J85" s="10" t="str">
        <f>IF($A85="","",IFERROR(ROUND(100*COUNTIFS(Evaluations!$G$3:$G$10000,$A85,Evaluations!$T$3:$T$10000,1)/(COUNTIFS(Evaluations!$G$3:$G$10000,$A85,Evaluations!$T$3:$T$10000,1)+COUNTIFS(Evaluations!$G$3:$G$10000,$A85,Evaluations!$T$3:$T$10000,0)),2),""))</f>
        <v/>
      </c>
      <c r="K85" s="10" t="str">
        <f>IF($A85="","",COUNTIFS(Evaluations!$G$3:$G$10000,$A85,Evaluations!$M$3:$M$10000,"عدم پاسخ"))</f>
        <v/>
      </c>
      <c r="L85" s="10" t="str">
        <f>IF($A85="","",COUNTIFS(Evaluations!$G$3:$G$10000,$A85,Evaluations!$O$3:$O$10000,"رعایت نشده"))</f>
        <v/>
      </c>
    </row>
    <row r="86">
      <c r="A86" s="10"/>
      <c r="B86" s="10" t="str">
        <f t="array" ref="B86">_xlfn.XLOOKUP(A86,DATA!D:D,DATA!E:E,"")</f>
        <v/>
      </c>
      <c r="C86" s="10" t="str">
        <f>IF($A86="","",COUNTIFS(Evaluations!$G$3:$G$10000,$A86,Evaluations!$U$3:$U$10000,"&gt;=0",Evaluations!$U$3:$U$10000,"&lt;=100"))</f>
        <v/>
      </c>
      <c r="D86" s="10" t="str">
        <f>IF(OR($A86="",C86=0),"",ROUND(SUMIFS(Evaluations!$U$3:$U$10000,Evaluations!$G$3:$G$10000,$A86)/C86,2))</f>
        <v/>
      </c>
      <c r="E86" s="10" t="str">
        <f>IF($A86="","",COUNTIFS(Evaluations!$G$3:$G$10000,$A86,Evaluations!$M$3:$M$10000,"پاسخ داده شده"))</f>
        <v/>
      </c>
      <c r="F86" s="10" t="str">
        <f>IF($A86="","",IFERROR(COUNTIFS(Evaluations!$G$3:$G$10000,$A86,Evaluations!$O$3:$O$10000,"رعایت شده")/(COUNTIFS(Evaluations!$G$3:$G$10000,$A86,Evaluations!$O$3:$O$10000,"رعایت شده")+COUNTIFS(Evaluations!$G$3:$G$10000,$A86,Evaluations!$O$3:$O$10000,"رعایت نشده")),""))</f>
        <v/>
      </c>
      <c r="G86" s="10" t="str">
        <f>IF($A86="","",IFERROR(ROUND(100*COUNTIFS(Evaluations!$G$3:$G$10000,$A86,Evaluations!$Q$3:$Q$10000,1)/(COUNTIFS(Evaluations!$G$3:$G$10000,$A86,Evaluations!$Q$3:$Q$10000,1)+COUNTIFS(Evaluations!$G$3:$G$10000,$A86,Evaluations!$Q$3:$Q$10000,0)),2),""))</f>
        <v/>
      </c>
      <c r="H86" s="10" t="str">
        <f>IF($A86="","",IFERROR(ROUND(100*COUNTIFS(Evaluations!$G$3:$G$10000,$A86,Evaluations!$R$3:$R$10000,1)/(COUNTIFS(Evaluations!$G$3:$G$10000,$A86,Evaluations!$R$3:$R$10000,1)+COUNTIFS(Evaluations!$G$3:$G$10000,$A86,Evaluations!$R$3:$R$10000,0)),2),""))</f>
        <v/>
      </c>
      <c r="I86" s="10" t="str">
        <f>IF($A86="","",IFERROR(ROUND(100*COUNTIFS(Evaluations!$G$3:$G$10000,$A86,Evaluations!$S$3:$S$10000,1)/(COUNTIFS(Evaluations!$G$3:$G$10000,$A86,Evaluations!$S$3:$S$10000,1)+COUNTIFS(Evaluations!$G$3:$G$10000,$A86,Evaluations!$S$3:$S$10000,0)),2),""))</f>
        <v/>
      </c>
      <c r="J86" s="10" t="str">
        <f>IF($A86="","",IFERROR(ROUND(100*COUNTIFS(Evaluations!$G$3:$G$10000,$A86,Evaluations!$T$3:$T$10000,1)/(COUNTIFS(Evaluations!$G$3:$G$10000,$A86,Evaluations!$T$3:$T$10000,1)+COUNTIFS(Evaluations!$G$3:$G$10000,$A86,Evaluations!$T$3:$T$10000,0)),2),""))</f>
        <v/>
      </c>
      <c r="K86" s="10" t="str">
        <f>IF($A86="","",COUNTIFS(Evaluations!$G$3:$G$10000,$A86,Evaluations!$M$3:$M$10000,"عدم پاسخ"))</f>
        <v/>
      </c>
      <c r="L86" s="10" t="str">
        <f>IF($A86="","",COUNTIFS(Evaluations!$G$3:$G$10000,$A86,Evaluations!$O$3:$O$10000,"رعایت نشده"))</f>
        <v/>
      </c>
    </row>
    <row r="87">
      <c r="A87" s="10"/>
      <c r="B87" s="10" t="str">
        <f t="array" ref="B87">_xlfn.XLOOKUP(A87,DATA!D:D,DATA!E:E,"")</f>
        <v/>
      </c>
      <c r="C87" s="10" t="str">
        <f>IF($A87="","",COUNTIFS(Evaluations!$G$3:$G$10000,$A87,Evaluations!$U$3:$U$10000,"&gt;=0",Evaluations!$U$3:$U$10000,"&lt;=100"))</f>
        <v/>
      </c>
      <c r="D87" s="10" t="str">
        <f>IF(OR($A87="",C87=0),"",ROUND(SUMIFS(Evaluations!$U$3:$U$10000,Evaluations!$G$3:$G$10000,$A87)/C87,2))</f>
        <v/>
      </c>
      <c r="E87" s="10" t="str">
        <f>IF($A87="","",COUNTIFS(Evaluations!$G$3:$G$10000,$A87,Evaluations!$M$3:$M$10000,"پاسخ داده شده"))</f>
        <v/>
      </c>
      <c r="F87" s="10" t="str">
        <f>IF($A87="","",IFERROR(COUNTIFS(Evaluations!$G$3:$G$10000,$A87,Evaluations!$O$3:$O$10000,"رعایت شده")/(COUNTIFS(Evaluations!$G$3:$G$10000,$A87,Evaluations!$O$3:$O$10000,"رعایت شده")+COUNTIFS(Evaluations!$G$3:$G$10000,$A87,Evaluations!$O$3:$O$10000,"رعایت نشده")),""))</f>
        <v/>
      </c>
      <c r="G87" s="10" t="str">
        <f>IF($A87="","",IFERROR(ROUND(100*COUNTIFS(Evaluations!$G$3:$G$10000,$A87,Evaluations!$Q$3:$Q$10000,1)/(COUNTIFS(Evaluations!$G$3:$G$10000,$A87,Evaluations!$Q$3:$Q$10000,1)+COUNTIFS(Evaluations!$G$3:$G$10000,$A87,Evaluations!$Q$3:$Q$10000,0)),2),""))</f>
        <v/>
      </c>
      <c r="H87" s="10" t="str">
        <f>IF($A87="","",IFERROR(ROUND(100*COUNTIFS(Evaluations!$G$3:$G$10000,$A87,Evaluations!$R$3:$R$10000,1)/(COUNTIFS(Evaluations!$G$3:$G$10000,$A87,Evaluations!$R$3:$R$10000,1)+COUNTIFS(Evaluations!$G$3:$G$10000,$A87,Evaluations!$R$3:$R$10000,0)),2),""))</f>
        <v/>
      </c>
      <c r="I87" s="10" t="str">
        <f>IF($A87="","",IFERROR(ROUND(100*COUNTIFS(Evaluations!$G$3:$G$10000,$A87,Evaluations!$S$3:$S$10000,1)/(COUNTIFS(Evaluations!$G$3:$G$10000,$A87,Evaluations!$S$3:$S$10000,1)+COUNTIFS(Evaluations!$G$3:$G$10000,$A87,Evaluations!$S$3:$S$10000,0)),2),""))</f>
        <v/>
      </c>
      <c r="J87" s="10" t="str">
        <f>IF($A87="","",IFERROR(ROUND(100*COUNTIFS(Evaluations!$G$3:$G$10000,$A87,Evaluations!$T$3:$T$10000,1)/(COUNTIFS(Evaluations!$G$3:$G$10000,$A87,Evaluations!$T$3:$T$10000,1)+COUNTIFS(Evaluations!$G$3:$G$10000,$A87,Evaluations!$T$3:$T$10000,0)),2),""))</f>
        <v/>
      </c>
      <c r="K87" s="10" t="str">
        <f>IF($A87="","",COUNTIFS(Evaluations!$G$3:$G$10000,$A87,Evaluations!$M$3:$M$10000,"عدم پاسخ"))</f>
        <v/>
      </c>
      <c r="L87" s="10" t="str">
        <f>IF($A87="","",COUNTIFS(Evaluations!$G$3:$G$10000,$A87,Evaluations!$O$3:$O$10000,"رعایت نشده"))</f>
        <v/>
      </c>
    </row>
    <row r="88">
      <c r="A88" s="10"/>
      <c r="B88" s="10" t="str">
        <f t="array" ref="B88">_xlfn.XLOOKUP(A88,DATA!D:D,DATA!E:E,"")</f>
        <v/>
      </c>
      <c r="C88" s="10" t="str">
        <f>IF($A88="","",COUNTIFS(Evaluations!$G$3:$G$10000,$A88,Evaluations!$U$3:$U$10000,"&gt;=0",Evaluations!$U$3:$U$10000,"&lt;=100"))</f>
        <v/>
      </c>
      <c r="D88" s="10" t="str">
        <f>IF(OR($A88="",C88=0),"",ROUND(SUMIFS(Evaluations!$U$3:$U$10000,Evaluations!$G$3:$G$10000,$A88)/C88,2))</f>
        <v/>
      </c>
      <c r="E88" s="10" t="str">
        <f>IF($A88="","",COUNTIFS(Evaluations!$G$3:$G$10000,$A88,Evaluations!$M$3:$M$10000,"پاسخ داده شده"))</f>
        <v/>
      </c>
      <c r="F88" s="10" t="str">
        <f>IF($A88="","",IFERROR(COUNTIFS(Evaluations!$G$3:$G$10000,$A88,Evaluations!$O$3:$O$10000,"رعایت شده")/(COUNTIFS(Evaluations!$G$3:$G$10000,$A88,Evaluations!$O$3:$O$10000,"رعایت شده")+COUNTIFS(Evaluations!$G$3:$G$10000,$A88,Evaluations!$O$3:$O$10000,"رعایت نشده")),""))</f>
        <v/>
      </c>
      <c r="G88" s="10" t="str">
        <f>IF($A88="","",IFERROR(ROUND(100*COUNTIFS(Evaluations!$G$3:$G$10000,$A88,Evaluations!$Q$3:$Q$10000,1)/(COUNTIFS(Evaluations!$G$3:$G$10000,$A88,Evaluations!$Q$3:$Q$10000,1)+COUNTIFS(Evaluations!$G$3:$G$10000,$A88,Evaluations!$Q$3:$Q$10000,0)),2),""))</f>
        <v/>
      </c>
      <c r="H88" s="10" t="str">
        <f>IF($A88="","",IFERROR(ROUND(100*COUNTIFS(Evaluations!$G$3:$G$10000,$A88,Evaluations!$R$3:$R$10000,1)/(COUNTIFS(Evaluations!$G$3:$G$10000,$A88,Evaluations!$R$3:$R$10000,1)+COUNTIFS(Evaluations!$G$3:$G$10000,$A88,Evaluations!$R$3:$R$10000,0)),2),""))</f>
        <v/>
      </c>
      <c r="I88" s="10" t="str">
        <f>IF($A88="","",IFERROR(ROUND(100*COUNTIFS(Evaluations!$G$3:$G$10000,$A88,Evaluations!$S$3:$S$10000,1)/(COUNTIFS(Evaluations!$G$3:$G$10000,$A88,Evaluations!$S$3:$S$10000,1)+COUNTIFS(Evaluations!$G$3:$G$10000,$A88,Evaluations!$S$3:$S$10000,0)),2),""))</f>
        <v/>
      </c>
      <c r="J88" s="10" t="str">
        <f>IF($A88="","",IFERROR(ROUND(100*COUNTIFS(Evaluations!$G$3:$G$10000,$A88,Evaluations!$T$3:$T$10000,1)/(COUNTIFS(Evaluations!$G$3:$G$10000,$A88,Evaluations!$T$3:$T$10000,1)+COUNTIFS(Evaluations!$G$3:$G$10000,$A88,Evaluations!$T$3:$T$10000,0)),2),""))</f>
        <v/>
      </c>
      <c r="K88" s="10" t="str">
        <f>IF($A88="","",COUNTIFS(Evaluations!$G$3:$G$10000,$A88,Evaluations!$M$3:$M$10000,"عدم پاسخ"))</f>
        <v/>
      </c>
      <c r="L88" s="10" t="str">
        <f>IF($A88="","",COUNTIFS(Evaluations!$G$3:$G$10000,$A88,Evaluations!$O$3:$O$10000,"رعایت نشده"))</f>
        <v/>
      </c>
    </row>
    <row r="89">
      <c r="A89" s="10"/>
      <c r="B89" s="10" t="str">
        <f t="array" ref="B89">_xlfn.XLOOKUP(A89,DATA!D:D,DATA!E:E,"")</f>
        <v/>
      </c>
      <c r="C89" s="10" t="str">
        <f>IF($A89="","",COUNTIFS(Evaluations!$G$3:$G$10000,$A89,Evaluations!$U$3:$U$10000,"&gt;=0",Evaluations!$U$3:$U$10000,"&lt;=100"))</f>
        <v/>
      </c>
      <c r="D89" s="10" t="str">
        <f>IF(OR($A89="",C89=0),"",ROUND(SUMIFS(Evaluations!$U$3:$U$10000,Evaluations!$G$3:$G$10000,$A89)/C89,2))</f>
        <v/>
      </c>
      <c r="E89" s="10" t="str">
        <f>IF($A89="","",COUNTIFS(Evaluations!$G$3:$G$10000,$A89,Evaluations!$M$3:$M$10000,"پاسخ داده شده"))</f>
        <v/>
      </c>
      <c r="F89" s="10" t="str">
        <f>IF($A89="","",IFERROR(COUNTIFS(Evaluations!$G$3:$G$10000,$A89,Evaluations!$O$3:$O$10000,"رعایت شده")/(COUNTIFS(Evaluations!$G$3:$G$10000,$A89,Evaluations!$O$3:$O$10000,"رعایت شده")+COUNTIFS(Evaluations!$G$3:$G$10000,$A89,Evaluations!$O$3:$O$10000,"رعایت نشده")),""))</f>
        <v/>
      </c>
      <c r="G89" s="10" t="str">
        <f>IF($A89="","",IFERROR(ROUND(100*COUNTIFS(Evaluations!$G$3:$G$10000,$A89,Evaluations!$Q$3:$Q$10000,1)/(COUNTIFS(Evaluations!$G$3:$G$10000,$A89,Evaluations!$Q$3:$Q$10000,1)+COUNTIFS(Evaluations!$G$3:$G$10000,$A89,Evaluations!$Q$3:$Q$10000,0)),2),""))</f>
        <v/>
      </c>
      <c r="H89" s="10" t="str">
        <f>IF($A89="","",IFERROR(ROUND(100*COUNTIFS(Evaluations!$G$3:$G$10000,$A89,Evaluations!$R$3:$R$10000,1)/(COUNTIFS(Evaluations!$G$3:$G$10000,$A89,Evaluations!$R$3:$R$10000,1)+COUNTIFS(Evaluations!$G$3:$G$10000,$A89,Evaluations!$R$3:$R$10000,0)),2),""))</f>
        <v/>
      </c>
      <c r="I89" s="10" t="str">
        <f>IF($A89="","",IFERROR(ROUND(100*COUNTIFS(Evaluations!$G$3:$G$10000,$A89,Evaluations!$S$3:$S$10000,1)/(COUNTIFS(Evaluations!$G$3:$G$10000,$A89,Evaluations!$S$3:$S$10000,1)+COUNTIFS(Evaluations!$G$3:$G$10000,$A89,Evaluations!$S$3:$S$10000,0)),2),""))</f>
        <v/>
      </c>
      <c r="J89" s="10" t="str">
        <f>IF($A89="","",IFERROR(ROUND(100*COUNTIFS(Evaluations!$G$3:$G$10000,$A89,Evaluations!$T$3:$T$10000,1)/(COUNTIFS(Evaluations!$G$3:$G$10000,$A89,Evaluations!$T$3:$T$10000,1)+COUNTIFS(Evaluations!$G$3:$G$10000,$A89,Evaluations!$T$3:$T$10000,0)),2),""))</f>
        <v/>
      </c>
      <c r="K89" s="10" t="str">
        <f>IF($A89="","",COUNTIFS(Evaluations!$G$3:$G$10000,$A89,Evaluations!$M$3:$M$10000,"عدم پاسخ"))</f>
        <v/>
      </c>
      <c r="L89" s="10" t="str">
        <f>IF($A89="","",COUNTIFS(Evaluations!$G$3:$G$10000,$A89,Evaluations!$O$3:$O$10000,"رعایت نشده"))</f>
        <v/>
      </c>
    </row>
    <row r="90">
      <c r="A90" s="10"/>
      <c r="B90" s="10" t="str">
        <f t="array" ref="B90">_xlfn.XLOOKUP(A90,DATA!D:D,DATA!E:E,"")</f>
        <v/>
      </c>
      <c r="C90" s="10" t="str">
        <f>IF($A90="","",COUNTIFS(Evaluations!$G$3:$G$10000,$A90,Evaluations!$U$3:$U$10000,"&gt;=0",Evaluations!$U$3:$U$10000,"&lt;=100"))</f>
        <v/>
      </c>
      <c r="D90" s="10" t="str">
        <f>IF(OR($A90="",C90=0),"",ROUND(SUMIFS(Evaluations!$U$3:$U$10000,Evaluations!$G$3:$G$10000,$A90)/C90,2))</f>
        <v/>
      </c>
      <c r="E90" s="10" t="str">
        <f>IF($A90="","",COUNTIFS(Evaluations!$G$3:$G$10000,$A90,Evaluations!$M$3:$M$10000,"پاسخ داده شده"))</f>
        <v/>
      </c>
      <c r="F90" s="10" t="str">
        <f>IF($A90="","",IFERROR(COUNTIFS(Evaluations!$G$3:$G$10000,$A90,Evaluations!$O$3:$O$10000,"رعایت شده")/(COUNTIFS(Evaluations!$G$3:$G$10000,$A90,Evaluations!$O$3:$O$10000,"رعایت شده")+COUNTIFS(Evaluations!$G$3:$G$10000,$A90,Evaluations!$O$3:$O$10000,"رعایت نشده")),""))</f>
        <v/>
      </c>
      <c r="G90" s="10" t="str">
        <f>IF($A90="","",IFERROR(ROUND(100*COUNTIFS(Evaluations!$G$3:$G$10000,$A90,Evaluations!$Q$3:$Q$10000,1)/(COUNTIFS(Evaluations!$G$3:$G$10000,$A90,Evaluations!$Q$3:$Q$10000,1)+COUNTIFS(Evaluations!$G$3:$G$10000,$A90,Evaluations!$Q$3:$Q$10000,0)),2),""))</f>
        <v/>
      </c>
      <c r="H90" s="10" t="str">
        <f>IF($A90="","",IFERROR(ROUND(100*COUNTIFS(Evaluations!$G$3:$G$10000,$A90,Evaluations!$R$3:$R$10000,1)/(COUNTIFS(Evaluations!$G$3:$G$10000,$A90,Evaluations!$R$3:$R$10000,1)+COUNTIFS(Evaluations!$G$3:$G$10000,$A90,Evaluations!$R$3:$R$10000,0)),2),""))</f>
        <v/>
      </c>
      <c r="I90" s="10" t="str">
        <f>IF($A90="","",IFERROR(ROUND(100*COUNTIFS(Evaluations!$G$3:$G$10000,$A90,Evaluations!$S$3:$S$10000,1)/(COUNTIFS(Evaluations!$G$3:$G$10000,$A90,Evaluations!$S$3:$S$10000,1)+COUNTIFS(Evaluations!$G$3:$G$10000,$A90,Evaluations!$S$3:$S$10000,0)),2),""))</f>
        <v/>
      </c>
      <c r="J90" s="10" t="str">
        <f>IF($A90="","",IFERROR(ROUND(100*COUNTIFS(Evaluations!$G$3:$G$10000,$A90,Evaluations!$T$3:$T$10000,1)/(COUNTIFS(Evaluations!$G$3:$G$10000,$A90,Evaluations!$T$3:$T$10000,1)+COUNTIFS(Evaluations!$G$3:$G$10000,$A90,Evaluations!$T$3:$T$10000,0)),2),""))</f>
        <v/>
      </c>
      <c r="K90" s="10" t="str">
        <f>IF($A90="","",COUNTIFS(Evaluations!$G$3:$G$10000,$A90,Evaluations!$M$3:$M$10000,"عدم پاسخ"))</f>
        <v/>
      </c>
      <c r="L90" s="10" t="str">
        <f>IF($A90="","",COUNTIFS(Evaluations!$G$3:$G$10000,$A90,Evaluations!$O$3:$O$10000,"رعایت نشده"))</f>
        <v/>
      </c>
    </row>
    <row r="91">
      <c r="A91" s="10"/>
      <c r="B91" s="10" t="str">
        <f t="array" ref="B91">_xlfn.XLOOKUP(A91,DATA!D:D,DATA!E:E,"")</f>
        <v/>
      </c>
      <c r="C91" s="10" t="str">
        <f>IF($A91="","",COUNTIFS(Evaluations!$G$3:$G$10000,$A91,Evaluations!$U$3:$U$10000,"&gt;=0",Evaluations!$U$3:$U$10000,"&lt;=100"))</f>
        <v/>
      </c>
      <c r="D91" s="10" t="str">
        <f>IF(OR($A91="",C91=0),"",ROUND(SUMIFS(Evaluations!$U$3:$U$10000,Evaluations!$G$3:$G$10000,$A91)/C91,2))</f>
        <v/>
      </c>
      <c r="E91" s="10" t="str">
        <f>IF($A91="","",COUNTIFS(Evaluations!$G$3:$G$10000,$A91,Evaluations!$M$3:$M$10000,"پاسخ داده شده"))</f>
        <v/>
      </c>
      <c r="F91" s="10" t="str">
        <f>IF($A91="","",IFERROR(COUNTIFS(Evaluations!$G$3:$G$10000,$A91,Evaluations!$O$3:$O$10000,"رعایت شده")/(COUNTIFS(Evaluations!$G$3:$G$10000,$A91,Evaluations!$O$3:$O$10000,"رعایت شده")+COUNTIFS(Evaluations!$G$3:$G$10000,$A91,Evaluations!$O$3:$O$10000,"رعایت نشده")),""))</f>
        <v/>
      </c>
      <c r="G91" s="10" t="str">
        <f>IF($A91="","",IFERROR(ROUND(100*COUNTIFS(Evaluations!$G$3:$G$10000,$A91,Evaluations!$Q$3:$Q$10000,1)/(COUNTIFS(Evaluations!$G$3:$G$10000,$A91,Evaluations!$Q$3:$Q$10000,1)+COUNTIFS(Evaluations!$G$3:$G$10000,$A91,Evaluations!$Q$3:$Q$10000,0)),2),""))</f>
        <v/>
      </c>
      <c r="H91" s="10" t="str">
        <f>IF($A91="","",IFERROR(ROUND(100*COUNTIFS(Evaluations!$G$3:$G$10000,$A91,Evaluations!$R$3:$R$10000,1)/(COUNTIFS(Evaluations!$G$3:$G$10000,$A91,Evaluations!$R$3:$R$10000,1)+COUNTIFS(Evaluations!$G$3:$G$10000,$A91,Evaluations!$R$3:$R$10000,0)),2),""))</f>
        <v/>
      </c>
      <c r="I91" s="10" t="str">
        <f>IF($A91="","",IFERROR(ROUND(100*COUNTIFS(Evaluations!$G$3:$G$10000,$A91,Evaluations!$S$3:$S$10000,1)/(COUNTIFS(Evaluations!$G$3:$G$10000,$A91,Evaluations!$S$3:$S$10000,1)+COUNTIFS(Evaluations!$G$3:$G$10000,$A91,Evaluations!$S$3:$S$10000,0)),2),""))</f>
        <v/>
      </c>
      <c r="J91" s="10" t="str">
        <f>IF($A91="","",IFERROR(ROUND(100*COUNTIFS(Evaluations!$G$3:$G$10000,$A91,Evaluations!$T$3:$T$10000,1)/(COUNTIFS(Evaluations!$G$3:$G$10000,$A91,Evaluations!$T$3:$T$10000,1)+COUNTIFS(Evaluations!$G$3:$G$10000,$A91,Evaluations!$T$3:$T$10000,0)),2),""))</f>
        <v/>
      </c>
      <c r="K91" s="10" t="str">
        <f>IF($A91="","",COUNTIFS(Evaluations!$G$3:$G$10000,$A91,Evaluations!$M$3:$M$10000,"عدم پاسخ"))</f>
        <v/>
      </c>
      <c r="L91" s="10" t="str">
        <f>IF($A91="","",COUNTIFS(Evaluations!$G$3:$G$10000,$A91,Evaluations!$O$3:$O$10000,"رعایت نشده"))</f>
        <v/>
      </c>
    </row>
    <row r="92">
      <c r="A92" s="10"/>
      <c r="B92" s="10" t="str">
        <f t="array" ref="B92">_xlfn.XLOOKUP(A92,DATA!D:D,DATA!E:E,"")</f>
        <v/>
      </c>
      <c r="C92" s="10" t="str">
        <f>IF($A92="","",COUNTIFS(Evaluations!$G$3:$G$10000,$A92,Evaluations!$U$3:$U$10000,"&gt;=0",Evaluations!$U$3:$U$10000,"&lt;=100"))</f>
        <v/>
      </c>
      <c r="D92" s="10" t="str">
        <f>IF(OR($A92="",C92=0),"",ROUND(SUMIFS(Evaluations!$U$3:$U$10000,Evaluations!$G$3:$G$10000,$A92)/C92,2))</f>
        <v/>
      </c>
      <c r="E92" s="10" t="str">
        <f>IF($A92="","",COUNTIFS(Evaluations!$G$3:$G$10000,$A92,Evaluations!$M$3:$M$10000,"پاسخ داده شده"))</f>
        <v/>
      </c>
      <c r="F92" s="10" t="str">
        <f>IF($A92="","",IFERROR(COUNTIFS(Evaluations!$G$3:$G$10000,$A92,Evaluations!$O$3:$O$10000,"رعایت شده")/(COUNTIFS(Evaluations!$G$3:$G$10000,$A92,Evaluations!$O$3:$O$10000,"رعایت شده")+COUNTIFS(Evaluations!$G$3:$G$10000,$A92,Evaluations!$O$3:$O$10000,"رعایت نشده")),""))</f>
        <v/>
      </c>
      <c r="G92" s="10" t="str">
        <f>IF($A92="","",IFERROR(ROUND(100*COUNTIFS(Evaluations!$G$3:$G$10000,$A92,Evaluations!$Q$3:$Q$10000,1)/(COUNTIFS(Evaluations!$G$3:$G$10000,$A92,Evaluations!$Q$3:$Q$10000,1)+COUNTIFS(Evaluations!$G$3:$G$10000,$A92,Evaluations!$Q$3:$Q$10000,0)),2),""))</f>
        <v/>
      </c>
      <c r="H92" s="10" t="str">
        <f>IF($A92="","",IFERROR(ROUND(100*COUNTIFS(Evaluations!$G$3:$G$10000,$A92,Evaluations!$R$3:$R$10000,1)/(COUNTIFS(Evaluations!$G$3:$G$10000,$A92,Evaluations!$R$3:$R$10000,1)+COUNTIFS(Evaluations!$G$3:$G$10000,$A92,Evaluations!$R$3:$R$10000,0)),2),""))</f>
        <v/>
      </c>
      <c r="I92" s="10" t="str">
        <f>IF($A92="","",IFERROR(ROUND(100*COUNTIFS(Evaluations!$G$3:$G$10000,$A92,Evaluations!$S$3:$S$10000,1)/(COUNTIFS(Evaluations!$G$3:$G$10000,$A92,Evaluations!$S$3:$S$10000,1)+COUNTIFS(Evaluations!$G$3:$G$10000,$A92,Evaluations!$S$3:$S$10000,0)),2),""))</f>
        <v/>
      </c>
      <c r="J92" s="10" t="str">
        <f>IF($A92="","",IFERROR(ROUND(100*COUNTIFS(Evaluations!$G$3:$G$10000,$A92,Evaluations!$T$3:$T$10000,1)/(COUNTIFS(Evaluations!$G$3:$G$10000,$A92,Evaluations!$T$3:$T$10000,1)+COUNTIFS(Evaluations!$G$3:$G$10000,$A92,Evaluations!$T$3:$T$10000,0)),2),""))</f>
        <v/>
      </c>
      <c r="K92" s="10" t="str">
        <f>IF($A92="","",COUNTIFS(Evaluations!$G$3:$G$10000,$A92,Evaluations!$M$3:$M$10000,"عدم پاسخ"))</f>
        <v/>
      </c>
      <c r="L92" s="10" t="str">
        <f>IF($A92="","",COUNTIFS(Evaluations!$G$3:$G$10000,$A92,Evaluations!$O$3:$O$10000,"رعایت نشده"))</f>
        <v/>
      </c>
    </row>
    <row r="93">
      <c r="A93" s="10"/>
      <c r="B93" s="10" t="str">
        <f t="array" ref="B93">_xlfn.XLOOKUP(A93,DATA!D:D,DATA!E:E,"")</f>
        <v/>
      </c>
      <c r="C93" s="10" t="str">
        <f>IF($A93="","",COUNTIFS(Evaluations!$G$3:$G$10000,$A93,Evaluations!$U$3:$U$10000,"&gt;=0",Evaluations!$U$3:$U$10000,"&lt;=100"))</f>
        <v/>
      </c>
      <c r="D93" s="10" t="str">
        <f>IF(OR($A93="",C93=0),"",ROUND(SUMIFS(Evaluations!$U$3:$U$10000,Evaluations!$G$3:$G$10000,$A93)/C93,2))</f>
        <v/>
      </c>
      <c r="E93" s="10" t="str">
        <f>IF($A93="","",COUNTIFS(Evaluations!$G$3:$G$10000,$A93,Evaluations!$M$3:$M$10000,"پاسخ داده شده"))</f>
        <v/>
      </c>
      <c r="F93" s="10" t="str">
        <f>IF($A93="","",IFERROR(COUNTIFS(Evaluations!$G$3:$G$10000,$A93,Evaluations!$O$3:$O$10000,"رعایت شده")/(COUNTIFS(Evaluations!$G$3:$G$10000,$A93,Evaluations!$O$3:$O$10000,"رعایت شده")+COUNTIFS(Evaluations!$G$3:$G$10000,$A93,Evaluations!$O$3:$O$10000,"رعایت نشده")),""))</f>
        <v/>
      </c>
      <c r="G93" s="10" t="str">
        <f>IF($A93="","",IFERROR(ROUND(100*COUNTIFS(Evaluations!$G$3:$G$10000,$A93,Evaluations!$Q$3:$Q$10000,1)/(COUNTIFS(Evaluations!$G$3:$G$10000,$A93,Evaluations!$Q$3:$Q$10000,1)+COUNTIFS(Evaluations!$G$3:$G$10000,$A93,Evaluations!$Q$3:$Q$10000,0)),2),""))</f>
        <v/>
      </c>
      <c r="H93" s="10" t="str">
        <f>IF($A93="","",IFERROR(ROUND(100*COUNTIFS(Evaluations!$G$3:$G$10000,$A93,Evaluations!$R$3:$R$10000,1)/(COUNTIFS(Evaluations!$G$3:$G$10000,$A93,Evaluations!$R$3:$R$10000,1)+COUNTIFS(Evaluations!$G$3:$G$10000,$A93,Evaluations!$R$3:$R$10000,0)),2),""))</f>
        <v/>
      </c>
      <c r="I93" s="10" t="str">
        <f>IF($A93="","",IFERROR(ROUND(100*COUNTIFS(Evaluations!$G$3:$G$10000,$A93,Evaluations!$S$3:$S$10000,1)/(COUNTIFS(Evaluations!$G$3:$G$10000,$A93,Evaluations!$S$3:$S$10000,1)+COUNTIFS(Evaluations!$G$3:$G$10000,$A93,Evaluations!$S$3:$S$10000,0)),2),""))</f>
        <v/>
      </c>
      <c r="J93" s="10" t="str">
        <f>IF($A93="","",IFERROR(ROUND(100*COUNTIFS(Evaluations!$G$3:$G$10000,$A93,Evaluations!$T$3:$T$10000,1)/(COUNTIFS(Evaluations!$G$3:$G$10000,$A93,Evaluations!$T$3:$T$10000,1)+COUNTIFS(Evaluations!$G$3:$G$10000,$A93,Evaluations!$T$3:$T$10000,0)),2),""))</f>
        <v/>
      </c>
      <c r="K93" s="10" t="str">
        <f>IF($A93="","",COUNTIFS(Evaluations!$G$3:$G$10000,$A93,Evaluations!$M$3:$M$10000,"عدم پاسخ"))</f>
        <v/>
      </c>
      <c r="L93" s="10" t="str">
        <f>IF($A93="","",COUNTIFS(Evaluations!$G$3:$G$10000,$A93,Evaluations!$O$3:$O$10000,"رعایت نشده"))</f>
        <v/>
      </c>
    </row>
    <row r="94">
      <c r="A94" s="10"/>
      <c r="B94" s="10" t="str">
        <f t="array" ref="B94">_xlfn.XLOOKUP(A94,DATA!D:D,DATA!E:E,"")</f>
        <v/>
      </c>
      <c r="C94" s="10" t="str">
        <f>IF($A94="","",COUNTIFS(Evaluations!$G$3:$G$10000,$A94,Evaluations!$U$3:$U$10000,"&gt;=0",Evaluations!$U$3:$U$10000,"&lt;=100"))</f>
        <v/>
      </c>
      <c r="D94" s="10" t="str">
        <f>IF(OR($A94="",C94=0),"",ROUND(SUMIFS(Evaluations!$U$3:$U$10000,Evaluations!$G$3:$G$10000,$A94)/C94,2))</f>
        <v/>
      </c>
      <c r="E94" s="10" t="str">
        <f>IF($A94="","",COUNTIFS(Evaluations!$G$3:$G$10000,$A94,Evaluations!$M$3:$M$10000,"پاسخ داده شده"))</f>
        <v/>
      </c>
      <c r="F94" s="10" t="str">
        <f>IF($A94="","",IFERROR(COUNTIFS(Evaluations!$G$3:$G$10000,$A94,Evaluations!$O$3:$O$10000,"رعایت شده")/(COUNTIFS(Evaluations!$G$3:$G$10000,$A94,Evaluations!$O$3:$O$10000,"رعایت شده")+COUNTIFS(Evaluations!$G$3:$G$10000,$A94,Evaluations!$O$3:$O$10000,"رعایت نشده")),""))</f>
        <v/>
      </c>
      <c r="G94" s="10" t="str">
        <f>IF($A94="","",IFERROR(ROUND(100*COUNTIFS(Evaluations!$G$3:$G$10000,$A94,Evaluations!$Q$3:$Q$10000,1)/(COUNTIFS(Evaluations!$G$3:$G$10000,$A94,Evaluations!$Q$3:$Q$10000,1)+COUNTIFS(Evaluations!$G$3:$G$10000,$A94,Evaluations!$Q$3:$Q$10000,0)),2),""))</f>
        <v/>
      </c>
      <c r="H94" s="10" t="str">
        <f>IF($A94="","",IFERROR(ROUND(100*COUNTIFS(Evaluations!$G$3:$G$10000,$A94,Evaluations!$R$3:$R$10000,1)/(COUNTIFS(Evaluations!$G$3:$G$10000,$A94,Evaluations!$R$3:$R$10000,1)+COUNTIFS(Evaluations!$G$3:$G$10000,$A94,Evaluations!$R$3:$R$10000,0)),2),""))</f>
        <v/>
      </c>
      <c r="I94" s="10" t="str">
        <f>IF($A94="","",IFERROR(ROUND(100*COUNTIFS(Evaluations!$G$3:$G$10000,$A94,Evaluations!$S$3:$S$10000,1)/(COUNTIFS(Evaluations!$G$3:$G$10000,$A94,Evaluations!$S$3:$S$10000,1)+COUNTIFS(Evaluations!$G$3:$G$10000,$A94,Evaluations!$S$3:$S$10000,0)),2),""))</f>
        <v/>
      </c>
      <c r="J94" s="10" t="str">
        <f>IF($A94="","",IFERROR(ROUND(100*COUNTIFS(Evaluations!$G$3:$G$10000,$A94,Evaluations!$T$3:$T$10000,1)/(COUNTIFS(Evaluations!$G$3:$G$10000,$A94,Evaluations!$T$3:$T$10000,1)+COUNTIFS(Evaluations!$G$3:$G$10000,$A94,Evaluations!$T$3:$T$10000,0)),2),""))</f>
        <v/>
      </c>
      <c r="K94" s="10" t="str">
        <f>IF($A94="","",COUNTIFS(Evaluations!$G$3:$G$10000,$A94,Evaluations!$M$3:$M$10000,"عدم پاسخ"))</f>
        <v/>
      </c>
      <c r="L94" s="10" t="str">
        <f>IF($A94="","",COUNTIFS(Evaluations!$G$3:$G$10000,$A94,Evaluations!$O$3:$O$10000,"رعایت نشده"))</f>
        <v/>
      </c>
    </row>
    <row r="95">
      <c r="A95" s="10"/>
      <c r="B95" s="10" t="str">
        <f t="array" ref="B95">_xlfn.XLOOKUP(A95,DATA!D:D,DATA!E:E,"")</f>
        <v/>
      </c>
      <c r="C95" s="10" t="str">
        <f>IF($A95="","",COUNTIFS(Evaluations!$G$3:$G$10000,$A95,Evaluations!$U$3:$U$10000,"&gt;=0",Evaluations!$U$3:$U$10000,"&lt;=100"))</f>
        <v/>
      </c>
      <c r="D95" s="10" t="str">
        <f>IF(OR($A95="",C95=0),"",ROUND(SUMIFS(Evaluations!$U$3:$U$10000,Evaluations!$G$3:$G$10000,$A95)/C95,2))</f>
        <v/>
      </c>
      <c r="E95" s="10" t="str">
        <f>IF($A95="","",COUNTIFS(Evaluations!$G$3:$G$10000,$A95,Evaluations!$M$3:$M$10000,"پاسخ داده شده"))</f>
        <v/>
      </c>
      <c r="F95" s="10" t="str">
        <f>IF($A95="","",IFERROR(COUNTIFS(Evaluations!$G$3:$G$10000,$A95,Evaluations!$O$3:$O$10000,"رعایت شده")/(COUNTIFS(Evaluations!$G$3:$G$10000,$A95,Evaluations!$O$3:$O$10000,"رعایت شده")+COUNTIFS(Evaluations!$G$3:$G$10000,$A95,Evaluations!$O$3:$O$10000,"رعایت نشده")),""))</f>
        <v/>
      </c>
      <c r="G95" s="10" t="str">
        <f>IF($A95="","",IFERROR(ROUND(100*COUNTIFS(Evaluations!$G$3:$G$10000,$A95,Evaluations!$Q$3:$Q$10000,1)/(COUNTIFS(Evaluations!$G$3:$G$10000,$A95,Evaluations!$Q$3:$Q$10000,1)+COUNTIFS(Evaluations!$G$3:$G$10000,$A95,Evaluations!$Q$3:$Q$10000,0)),2),""))</f>
        <v/>
      </c>
      <c r="H95" s="10" t="str">
        <f>IF($A95="","",IFERROR(ROUND(100*COUNTIFS(Evaluations!$G$3:$G$10000,$A95,Evaluations!$R$3:$R$10000,1)/(COUNTIFS(Evaluations!$G$3:$G$10000,$A95,Evaluations!$R$3:$R$10000,1)+COUNTIFS(Evaluations!$G$3:$G$10000,$A95,Evaluations!$R$3:$R$10000,0)),2),""))</f>
        <v/>
      </c>
      <c r="I95" s="10" t="str">
        <f>IF($A95="","",IFERROR(ROUND(100*COUNTIFS(Evaluations!$G$3:$G$10000,$A95,Evaluations!$S$3:$S$10000,1)/(COUNTIFS(Evaluations!$G$3:$G$10000,$A95,Evaluations!$S$3:$S$10000,1)+COUNTIFS(Evaluations!$G$3:$G$10000,$A95,Evaluations!$S$3:$S$10000,0)),2),""))</f>
        <v/>
      </c>
      <c r="J95" s="10" t="str">
        <f>IF($A95="","",IFERROR(ROUND(100*COUNTIFS(Evaluations!$G$3:$G$10000,$A95,Evaluations!$T$3:$T$10000,1)/(COUNTIFS(Evaluations!$G$3:$G$10000,$A95,Evaluations!$T$3:$T$10000,1)+COUNTIFS(Evaluations!$G$3:$G$10000,$A95,Evaluations!$T$3:$T$10000,0)),2),""))</f>
        <v/>
      </c>
      <c r="K95" s="10" t="str">
        <f>IF($A95="","",COUNTIFS(Evaluations!$G$3:$G$10000,$A95,Evaluations!$M$3:$M$10000,"عدم پاسخ"))</f>
        <v/>
      </c>
      <c r="L95" s="10" t="str">
        <f>IF($A95="","",COUNTIFS(Evaluations!$G$3:$G$10000,$A95,Evaluations!$O$3:$O$10000,"رعایت نشده"))</f>
        <v/>
      </c>
    </row>
    <row r="96">
      <c r="A96" s="10"/>
      <c r="B96" s="10" t="str">
        <f t="array" ref="B96">_xlfn.XLOOKUP(A96,DATA!D:D,DATA!E:E,"")</f>
        <v/>
      </c>
      <c r="C96" s="10" t="str">
        <f>IF($A96="","",COUNTIFS(Evaluations!$G$3:$G$10000,$A96,Evaluations!$U$3:$U$10000,"&gt;=0",Evaluations!$U$3:$U$10000,"&lt;=100"))</f>
        <v/>
      </c>
      <c r="D96" s="10" t="str">
        <f>IF(OR($A96="",C96=0),"",ROUND(SUMIFS(Evaluations!$U$3:$U$10000,Evaluations!$G$3:$G$10000,$A96)/C96,2))</f>
        <v/>
      </c>
      <c r="E96" s="10" t="str">
        <f>IF($A96="","",COUNTIFS(Evaluations!$G$3:$G$10000,$A96,Evaluations!$M$3:$M$10000,"پاسخ داده شده"))</f>
        <v/>
      </c>
      <c r="F96" s="10" t="str">
        <f>IF($A96="","",IFERROR(COUNTIFS(Evaluations!$G$3:$G$10000,$A96,Evaluations!$O$3:$O$10000,"رعایت شده")/(COUNTIFS(Evaluations!$G$3:$G$10000,$A96,Evaluations!$O$3:$O$10000,"رعایت شده")+COUNTIFS(Evaluations!$G$3:$G$10000,$A96,Evaluations!$O$3:$O$10000,"رعایت نشده")),""))</f>
        <v/>
      </c>
      <c r="G96" s="10" t="str">
        <f>IF($A96="","",IFERROR(ROUND(100*COUNTIFS(Evaluations!$G$3:$G$10000,$A96,Evaluations!$Q$3:$Q$10000,1)/(COUNTIFS(Evaluations!$G$3:$G$10000,$A96,Evaluations!$Q$3:$Q$10000,1)+COUNTIFS(Evaluations!$G$3:$G$10000,$A96,Evaluations!$Q$3:$Q$10000,0)),2),""))</f>
        <v/>
      </c>
      <c r="H96" s="10" t="str">
        <f>IF($A96="","",IFERROR(ROUND(100*COUNTIFS(Evaluations!$G$3:$G$10000,$A96,Evaluations!$R$3:$R$10000,1)/(COUNTIFS(Evaluations!$G$3:$G$10000,$A96,Evaluations!$R$3:$R$10000,1)+COUNTIFS(Evaluations!$G$3:$G$10000,$A96,Evaluations!$R$3:$R$10000,0)),2),""))</f>
        <v/>
      </c>
      <c r="I96" s="10" t="str">
        <f>IF($A96="","",IFERROR(ROUND(100*COUNTIFS(Evaluations!$G$3:$G$10000,$A96,Evaluations!$S$3:$S$10000,1)/(COUNTIFS(Evaluations!$G$3:$G$10000,$A96,Evaluations!$S$3:$S$10000,1)+COUNTIFS(Evaluations!$G$3:$G$10000,$A96,Evaluations!$S$3:$S$10000,0)),2),""))</f>
        <v/>
      </c>
      <c r="J96" s="10" t="str">
        <f>IF($A96="","",IFERROR(ROUND(100*COUNTIFS(Evaluations!$G$3:$G$10000,$A96,Evaluations!$T$3:$T$10000,1)/(COUNTIFS(Evaluations!$G$3:$G$10000,$A96,Evaluations!$T$3:$T$10000,1)+COUNTIFS(Evaluations!$G$3:$G$10000,$A96,Evaluations!$T$3:$T$10000,0)),2),""))</f>
        <v/>
      </c>
      <c r="K96" s="10" t="str">
        <f>IF($A96="","",COUNTIFS(Evaluations!$G$3:$G$10000,$A96,Evaluations!$M$3:$M$10000,"عدم پاسخ"))</f>
        <v/>
      </c>
      <c r="L96" s="10" t="str">
        <f>IF($A96="","",COUNTIFS(Evaluations!$G$3:$G$10000,$A96,Evaluations!$O$3:$O$10000,"رعایت نشده"))</f>
        <v/>
      </c>
    </row>
    <row r="97">
      <c r="A97" s="10"/>
      <c r="B97" s="10" t="str">
        <f t="array" ref="B97">_xlfn.XLOOKUP(A97,DATA!D:D,DATA!E:E,"")</f>
        <v/>
      </c>
      <c r="C97" s="10" t="str">
        <f>IF($A97="","",COUNTIFS(Evaluations!$G$3:$G$10000,$A97,Evaluations!$U$3:$U$10000,"&gt;=0",Evaluations!$U$3:$U$10000,"&lt;=100"))</f>
        <v/>
      </c>
      <c r="D97" s="10" t="str">
        <f>IF(OR($A97="",C97=0),"",ROUND(SUMIFS(Evaluations!$U$3:$U$10000,Evaluations!$G$3:$G$10000,$A97)/C97,2))</f>
        <v/>
      </c>
      <c r="E97" s="10" t="str">
        <f>IF($A97="","",COUNTIFS(Evaluations!$G$3:$G$10000,$A97,Evaluations!$M$3:$M$10000,"پاسخ داده شده"))</f>
        <v/>
      </c>
      <c r="F97" s="10" t="str">
        <f>IF($A97="","",IFERROR(COUNTIFS(Evaluations!$G$3:$G$10000,$A97,Evaluations!$O$3:$O$10000,"رعایت شده")/(COUNTIFS(Evaluations!$G$3:$G$10000,$A97,Evaluations!$O$3:$O$10000,"رعایت شده")+COUNTIFS(Evaluations!$G$3:$G$10000,$A97,Evaluations!$O$3:$O$10000,"رعایت نشده")),""))</f>
        <v/>
      </c>
      <c r="G97" s="10" t="str">
        <f>IF($A97="","",IFERROR(ROUND(100*COUNTIFS(Evaluations!$G$3:$G$10000,$A97,Evaluations!$Q$3:$Q$10000,1)/(COUNTIFS(Evaluations!$G$3:$G$10000,$A97,Evaluations!$Q$3:$Q$10000,1)+COUNTIFS(Evaluations!$G$3:$G$10000,$A97,Evaluations!$Q$3:$Q$10000,0)),2),""))</f>
        <v/>
      </c>
      <c r="H97" s="10" t="str">
        <f>IF($A97="","",IFERROR(ROUND(100*COUNTIFS(Evaluations!$G$3:$G$10000,$A97,Evaluations!$R$3:$R$10000,1)/(COUNTIFS(Evaluations!$G$3:$G$10000,$A97,Evaluations!$R$3:$R$10000,1)+COUNTIFS(Evaluations!$G$3:$G$10000,$A97,Evaluations!$R$3:$R$10000,0)),2),""))</f>
        <v/>
      </c>
      <c r="I97" s="10" t="str">
        <f>IF($A97="","",IFERROR(ROUND(100*COUNTIFS(Evaluations!$G$3:$G$10000,$A97,Evaluations!$S$3:$S$10000,1)/(COUNTIFS(Evaluations!$G$3:$G$10000,$A97,Evaluations!$S$3:$S$10000,1)+COUNTIFS(Evaluations!$G$3:$G$10000,$A97,Evaluations!$S$3:$S$10000,0)),2),""))</f>
        <v/>
      </c>
      <c r="J97" s="10" t="str">
        <f>IF($A97="","",IFERROR(ROUND(100*COUNTIFS(Evaluations!$G$3:$G$10000,$A97,Evaluations!$T$3:$T$10000,1)/(COUNTIFS(Evaluations!$G$3:$G$10000,$A97,Evaluations!$T$3:$T$10000,1)+COUNTIFS(Evaluations!$G$3:$G$10000,$A97,Evaluations!$T$3:$T$10000,0)),2),""))</f>
        <v/>
      </c>
      <c r="K97" s="10" t="str">
        <f>IF($A97="","",COUNTIFS(Evaluations!$G$3:$G$10000,$A97,Evaluations!$M$3:$M$10000,"عدم پاسخ"))</f>
        <v/>
      </c>
      <c r="L97" s="10" t="str">
        <f>IF($A97="","",COUNTIFS(Evaluations!$G$3:$G$10000,$A97,Evaluations!$O$3:$O$10000,"رعایت نشده"))</f>
        <v/>
      </c>
    </row>
    <row r="98">
      <c r="A98" s="10"/>
      <c r="B98" s="10" t="str">
        <f t="array" ref="B98">_xlfn.XLOOKUP(A98,DATA!D:D,DATA!E:E,"")</f>
        <v/>
      </c>
      <c r="C98" s="10" t="str">
        <f>IF($A98="","",COUNTIFS(Evaluations!$G$3:$G$10000,$A98,Evaluations!$U$3:$U$10000,"&gt;=0",Evaluations!$U$3:$U$10000,"&lt;=100"))</f>
        <v/>
      </c>
      <c r="D98" s="10" t="str">
        <f>IF(OR($A98="",C98=0),"",ROUND(SUMIFS(Evaluations!$U$3:$U$10000,Evaluations!$G$3:$G$10000,$A98)/C98,2))</f>
        <v/>
      </c>
      <c r="E98" s="10" t="str">
        <f>IF($A98="","",COUNTIFS(Evaluations!$G$3:$G$10000,$A98,Evaluations!$M$3:$M$10000,"پاسخ داده شده"))</f>
        <v/>
      </c>
      <c r="F98" s="10" t="str">
        <f>IF($A98="","",IFERROR(COUNTIFS(Evaluations!$G$3:$G$10000,$A98,Evaluations!$O$3:$O$10000,"رعایت شده")/(COUNTIFS(Evaluations!$G$3:$G$10000,$A98,Evaluations!$O$3:$O$10000,"رعایت شده")+COUNTIFS(Evaluations!$G$3:$G$10000,$A98,Evaluations!$O$3:$O$10000,"رعایت نشده")),""))</f>
        <v/>
      </c>
      <c r="G98" s="10" t="str">
        <f>IF($A98="","",IFERROR(ROUND(100*COUNTIFS(Evaluations!$G$3:$G$10000,$A98,Evaluations!$Q$3:$Q$10000,1)/(COUNTIFS(Evaluations!$G$3:$G$10000,$A98,Evaluations!$Q$3:$Q$10000,1)+COUNTIFS(Evaluations!$G$3:$G$10000,$A98,Evaluations!$Q$3:$Q$10000,0)),2),""))</f>
        <v/>
      </c>
      <c r="H98" s="10" t="str">
        <f>IF($A98="","",IFERROR(ROUND(100*COUNTIFS(Evaluations!$G$3:$G$10000,$A98,Evaluations!$R$3:$R$10000,1)/(COUNTIFS(Evaluations!$G$3:$G$10000,$A98,Evaluations!$R$3:$R$10000,1)+COUNTIFS(Evaluations!$G$3:$G$10000,$A98,Evaluations!$R$3:$R$10000,0)),2),""))</f>
        <v/>
      </c>
      <c r="I98" s="10" t="str">
        <f>IF($A98="","",IFERROR(ROUND(100*COUNTIFS(Evaluations!$G$3:$G$10000,$A98,Evaluations!$S$3:$S$10000,1)/(COUNTIFS(Evaluations!$G$3:$G$10000,$A98,Evaluations!$S$3:$S$10000,1)+COUNTIFS(Evaluations!$G$3:$G$10000,$A98,Evaluations!$S$3:$S$10000,0)),2),""))</f>
        <v/>
      </c>
      <c r="J98" s="10" t="str">
        <f>IF($A98="","",IFERROR(ROUND(100*COUNTIFS(Evaluations!$G$3:$G$10000,$A98,Evaluations!$T$3:$T$10000,1)/(COUNTIFS(Evaluations!$G$3:$G$10000,$A98,Evaluations!$T$3:$T$10000,1)+COUNTIFS(Evaluations!$G$3:$G$10000,$A98,Evaluations!$T$3:$T$10000,0)),2),""))</f>
        <v/>
      </c>
      <c r="K98" s="10" t="str">
        <f>IF($A98="","",COUNTIFS(Evaluations!$G$3:$G$10000,$A98,Evaluations!$M$3:$M$10000,"عدم پاسخ"))</f>
        <v/>
      </c>
      <c r="L98" s="10" t="str">
        <f>IF($A98="","",COUNTIFS(Evaluations!$G$3:$G$10000,$A98,Evaluations!$O$3:$O$10000,"رعایت نشده"))</f>
        <v/>
      </c>
    </row>
    <row r="99">
      <c r="A99" s="10"/>
      <c r="B99" s="10" t="str">
        <f t="array" ref="B99">_xlfn.XLOOKUP(A99,DATA!D:D,DATA!E:E,"")</f>
        <v/>
      </c>
      <c r="C99" s="10" t="str">
        <f>IF($A99="","",COUNTIFS(Evaluations!$G$3:$G$10000,$A99,Evaluations!$U$3:$U$10000,"&gt;=0",Evaluations!$U$3:$U$10000,"&lt;=100"))</f>
        <v/>
      </c>
      <c r="D99" s="10" t="str">
        <f>IF(OR($A99="",C99=0),"",ROUND(SUMIFS(Evaluations!$U$3:$U$10000,Evaluations!$G$3:$G$10000,$A99)/C99,2))</f>
        <v/>
      </c>
      <c r="E99" s="10" t="str">
        <f>IF($A99="","",COUNTIFS(Evaluations!$G$3:$G$10000,$A99,Evaluations!$M$3:$M$10000,"پاسخ داده شده"))</f>
        <v/>
      </c>
      <c r="F99" s="10" t="str">
        <f>IF($A99="","",IFERROR(COUNTIFS(Evaluations!$G$3:$G$10000,$A99,Evaluations!$O$3:$O$10000,"رعایت شده")/(COUNTIFS(Evaluations!$G$3:$G$10000,$A99,Evaluations!$O$3:$O$10000,"رعایت شده")+COUNTIFS(Evaluations!$G$3:$G$10000,$A99,Evaluations!$O$3:$O$10000,"رعایت نشده")),""))</f>
        <v/>
      </c>
      <c r="G99" s="10" t="str">
        <f>IF($A99="","",IFERROR(ROUND(100*COUNTIFS(Evaluations!$G$3:$G$10000,$A99,Evaluations!$Q$3:$Q$10000,1)/(COUNTIFS(Evaluations!$G$3:$G$10000,$A99,Evaluations!$Q$3:$Q$10000,1)+COUNTIFS(Evaluations!$G$3:$G$10000,$A99,Evaluations!$Q$3:$Q$10000,0)),2),""))</f>
        <v/>
      </c>
      <c r="H99" s="10" t="str">
        <f>IF($A99="","",IFERROR(ROUND(100*COUNTIFS(Evaluations!$G$3:$G$10000,$A99,Evaluations!$R$3:$R$10000,1)/(COUNTIFS(Evaluations!$G$3:$G$10000,$A99,Evaluations!$R$3:$R$10000,1)+COUNTIFS(Evaluations!$G$3:$G$10000,$A99,Evaluations!$R$3:$R$10000,0)),2),""))</f>
        <v/>
      </c>
      <c r="I99" s="10" t="str">
        <f>IF($A99="","",IFERROR(ROUND(100*COUNTIFS(Evaluations!$G$3:$G$10000,$A99,Evaluations!$S$3:$S$10000,1)/(COUNTIFS(Evaluations!$G$3:$G$10000,$A99,Evaluations!$S$3:$S$10000,1)+COUNTIFS(Evaluations!$G$3:$G$10000,$A99,Evaluations!$S$3:$S$10000,0)),2),""))</f>
        <v/>
      </c>
      <c r="J99" s="10" t="str">
        <f>IF($A99="","",IFERROR(ROUND(100*COUNTIFS(Evaluations!$G$3:$G$10000,$A99,Evaluations!$T$3:$T$10000,1)/(COUNTIFS(Evaluations!$G$3:$G$10000,$A99,Evaluations!$T$3:$T$10000,1)+COUNTIFS(Evaluations!$G$3:$G$10000,$A99,Evaluations!$T$3:$T$10000,0)),2),""))</f>
        <v/>
      </c>
      <c r="K99" s="10" t="str">
        <f>IF($A99="","",COUNTIFS(Evaluations!$G$3:$G$10000,$A99,Evaluations!$M$3:$M$10000,"عدم پاسخ"))</f>
        <v/>
      </c>
      <c r="L99" s="10" t="str">
        <f>IF($A99="","",COUNTIFS(Evaluations!$G$3:$G$10000,$A99,Evaluations!$O$3:$O$10000,"رعایت نشده"))</f>
        <v/>
      </c>
    </row>
    <row r="100">
      <c r="A100" s="10"/>
      <c r="B100" s="10" t="str">
        <f t="array" ref="B100">_xlfn.XLOOKUP(A100,DATA!D:D,DATA!E:E,"")</f>
        <v/>
      </c>
      <c r="C100" s="10" t="str">
        <f>IF($A100="","",COUNTIFS(Evaluations!$G$3:$G$10000,$A100,Evaluations!$U$3:$U$10000,"&gt;=0",Evaluations!$U$3:$U$10000,"&lt;=100"))</f>
        <v/>
      </c>
      <c r="D100" s="10" t="str">
        <f>IF(OR($A100="",C100=0),"",ROUND(SUMIFS(Evaluations!$U$3:$U$10000,Evaluations!$G$3:$G$10000,$A100)/C100,2))</f>
        <v/>
      </c>
      <c r="E100" s="10" t="str">
        <f>IF($A100="","",COUNTIFS(Evaluations!$G$3:$G$10000,$A100,Evaluations!$M$3:$M$10000,"پاسخ داده شده"))</f>
        <v/>
      </c>
      <c r="F100" s="10" t="str">
        <f>IF($A100="","",IFERROR(COUNTIFS(Evaluations!$G$3:$G$10000,$A100,Evaluations!$O$3:$O$10000,"رعایت شده")/(COUNTIFS(Evaluations!$G$3:$G$10000,$A100,Evaluations!$O$3:$O$10000,"رعایت شده")+COUNTIFS(Evaluations!$G$3:$G$10000,$A100,Evaluations!$O$3:$O$10000,"رعایت نشده")),""))</f>
        <v/>
      </c>
      <c r="G100" s="10" t="str">
        <f>IF($A100="","",IFERROR(ROUND(100*COUNTIFS(Evaluations!$G$3:$G$10000,$A100,Evaluations!$Q$3:$Q$10000,1)/(COUNTIFS(Evaluations!$G$3:$G$10000,$A100,Evaluations!$Q$3:$Q$10000,1)+COUNTIFS(Evaluations!$G$3:$G$10000,$A100,Evaluations!$Q$3:$Q$10000,0)),2),""))</f>
        <v/>
      </c>
      <c r="H100" s="10" t="str">
        <f>IF($A100="","",IFERROR(ROUND(100*COUNTIFS(Evaluations!$G$3:$G$10000,$A100,Evaluations!$R$3:$R$10000,1)/(COUNTIFS(Evaluations!$G$3:$G$10000,$A100,Evaluations!$R$3:$R$10000,1)+COUNTIFS(Evaluations!$G$3:$G$10000,$A100,Evaluations!$R$3:$R$10000,0)),2),""))</f>
        <v/>
      </c>
      <c r="I100" s="10" t="str">
        <f>IF($A100="","",IFERROR(ROUND(100*COUNTIFS(Evaluations!$G$3:$G$10000,$A100,Evaluations!$S$3:$S$10000,1)/(COUNTIFS(Evaluations!$G$3:$G$10000,$A100,Evaluations!$S$3:$S$10000,1)+COUNTIFS(Evaluations!$G$3:$G$10000,$A100,Evaluations!$S$3:$S$10000,0)),2),""))</f>
        <v/>
      </c>
      <c r="J100" s="10" t="str">
        <f>IF($A100="","",IFERROR(ROUND(100*COUNTIFS(Evaluations!$G$3:$G$10000,$A100,Evaluations!$T$3:$T$10000,1)/(COUNTIFS(Evaluations!$G$3:$G$10000,$A100,Evaluations!$T$3:$T$10000,1)+COUNTIFS(Evaluations!$G$3:$G$10000,$A100,Evaluations!$T$3:$T$10000,0)),2),""))</f>
        <v/>
      </c>
      <c r="K100" s="10" t="str">
        <f>IF($A100="","",COUNTIFS(Evaluations!$G$3:$G$10000,$A100,Evaluations!$M$3:$M$10000,"عدم پاسخ"))</f>
        <v/>
      </c>
      <c r="L100" s="10" t="str">
        <f>IF($A100="","",COUNTIFS(Evaluations!$G$3:$G$10000,$A100,Evaluations!$O$3:$O$10000,"رعایت نشده"))</f>
        <v/>
      </c>
    </row>
    <row r="101">
      <c r="A101" s="10"/>
      <c r="B101" s="10" t="str">
        <f t="array" ref="B101">_xlfn.XLOOKUP(A101,DATA!D:D,DATA!E:E,"")</f>
        <v/>
      </c>
      <c r="C101" s="10" t="str">
        <f>IF($A101="","",COUNTIFS(Evaluations!$G$3:$G$10000,$A101,Evaluations!$U$3:$U$10000,"&gt;=0",Evaluations!$U$3:$U$10000,"&lt;=100"))</f>
        <v/>
      </c>
      <c r="D101" s="10" t="str">
        <f>IF(OR($A101="",C101=0),"",ROUND(SUMIFS(Evaluations!$U$3:$U$10000,Evaluations!$G$3:$G$10000,$A101)/C101,2))</f>
        <v/>
      </c>
      <c r="E101" s="10" t="str">
        <f>IF($A101="","",COUNTIFS(Evaluations!$G$3:$G$10000,$A101,Evaluations!$M$3:$M$10000,"پاسخ داده شده"))</f>
        <v/>
      </c>
      <c r="F101" s="10" t="str">
        <f>IF($A101="","",IFERROR(COUNTIFS(Evaluations!$G$3:$G$10000,$A101,Evaluations!$O$3:$O$10000,"رعایت شده")/(COUNTIFS(Evaluations!$G$3:$G$10000,$A101,Evaluations!$O$3:$O$10000,"رعایت شده")+COUNTIFS(Evaluations!$G$3:$G$10000,$A101,Evaluations!$O$3:$O$10000,"رعایت نشده")),""))</f>
        <v/>
      </c>
      <c r="G101" s="10" t="str">
        <f>IF($A101="","",IFERROR(ROUND(100*COUNTIFS(Evaluations!$G$3:$G$10000,$A101,Evaluations!$Q$3:$Q$10000,1)/(COUNTIFS(Evaluations!$G$3:$G$10000,$A101,Evaluations!$Q$3:$Q$10000,1)+COUNTIFS(Evaluations!$G$3:$G$10000,$A101,Evaluations!$Q$3:$Q$10000,0)),2),""))</f>
        <v/>
      </c>
      <c r="H101" s="10" t="str">
        <f>IF($A101="","",IFERROR(ROUND(100*COUNTIFS(Evaluations!$G$3:$G$10000,$A101,Evaluations!$R$3:$R$10000,1)/(COUNTIFS(Evaluations!$G$3:$G$10000,$A101,Evaluations!$R$3:$R$10000,1)+COUNTIFS(Evaluations!$G$3:$G$10000,$A101,Evaluations!$R$3:$R$10000,0)),2),""))</f>
        <v/>
      </c>
      <c r="I101" s="10" t="str">
        <f>IF($A101="","",IFERROR(ROUND(100*COUNTIFS(Evaluations!$G$3:$G$10000,$A101,Evaluations!$S$3:$S$10000,1)/(COUNTIFS(Evaluations!$G$3:$G$10000,$A101,Evaluations!$S$3:$S$10000,1)+COUNTIFS(Evaluations!$G$3:$G$10000,$A101,Evaluations!$S$3:$S$10000,0)),2),""))</f>
        <v/>
      </c>
      <c r="J101" s="10" t="str">
        <f>IF($A101="","",IFERROR(ROUND(100*COUNTIFS(Evaluations!$G$3:$G$10000,$A101,Evaluations!$T$3:$T$10000,1)/(COUNTIFS(Evaluations!$G$3:$G$10000,$A101,Evaluations!$T$3:$T$10000,1)+COUNTIFS(Evaluations!$G$3:$G$10000,$A101,Evaluations!$T$3:$T$10000,0)),2),""))</f>
        <v/>
      </c>
      <c r="K101" s="10" t="str">
        <f>IF($A101="","",COUNTIFS(Evaluations!$G$3:$G$10000,$A101,Evaluations!$M$3:$M$10000,"عدم پاسخ"))</f>
        <v/>
      </c>
      <c r="L101" s="10" t="str">
        <f>IF($A101="","",COUNTIFS(Evaluations!$G$3:$G$10000,$A101,Evaluations!$O$3:$O$10000,"رعایت نشده"))</f>
        <v/>
      </c>
    </row>
    <row r="102">
      <c r="A102" s="10"/>
      <c r="B102" s="10" t="str">
        <f t="array" ref="B102">_xlfn.XLOOKUP(A102,DATA!D:D,DATA!E:E,"")</f>
        <v/>
      </c>
      <c r="C102" s="10" t="str">
        <f>IF($A102="","",COUNTIFS(Evaluations!$G$3:$G$10000,$A102,Evaluations!$U$3:$U$10000,"&gt;=0",Evaluations!$U$3:$U$10000,"&lt;=100"))</f>
        <v/>
      </c>
      <c r="D102" s="10" t="str">
        <f>IF(OR($A102="",C102=0),"",ROUND(SUMIFS(Evaluations!$U$3:$U$10000,Evaluations!$G$3:$G$10000,$A102)/C102,2))</f>
        <v/>
      </c>
      <c r="E102" s="10" t="str">
        <f>IF($A102="","",COUNTIFS(Evaluations!$G$3:$G$10000,$A102,Evaluations!$M$3:$M$10000,"پاسخ داده شده"))</f>
        <v/>
      </c>
      <c r="F102" s="10" t="str">
        <f>IF($A102="","",IFERROR(COUNTIFS(Evaluations!$G$3:$G$10000,$A102,Evaluations!$O$3:$O$10000,"رعایت شده")/(COUNTIFS(Evaluations!$G$3:$G$10000,$A102,Evaluations!$O$3:$O$10000,"رعایت شده")+COUNTIFS(Evaluations!$G$3:$G$10000,$A102,Evaluations!$O$3:$O$10000,"رعایت نشده")),""))</f>
        <v/>
      </c>
      <c r="G102" s="10" t="str">
        <f>IF($A102="","",IFERROR(ROUND(100*COUNTIFS(Evaluations!$G$3:$G$10000,$A102,Evaluations!$Q$3:$Q$10000,1)/(COUNTIFS(Evaluations!$G$3:$G$10000,$A102,Evaluations!$Q$3:$Q$10000,1)+COUNTIFS(Evaluations!$G$3:$G$10000,$A102,Evaluations!$Q$3:$Q$10000,0)),2),""))</f>
        <v/>
      </c>
      <c r="H102" s="10" t="str">
        <f>IF($A102="","",IFERROR(ROUND(100*COUNTIFS(Evaluations!$G$3:$G$10000,$A102,Evaluations!$R$3:$R$10000,1)/(COUNTIFS(Evaluations!$G$3:$G$10000,$A102,Evaluations!$R$3:$R$10000,1)+COUNTIFS(Evaluations!$G$3:$G$10000,$A102,Evaluations!$R$3:$R$10000,0)),2),""))</f>
        <v/>
      </c>
      <c r="I102" s="10" t="str">
        <f>IF($A102="","",IFERROR(ROUND(100*COUNTIFS(Evaluations!$G$3:$G$10000,$A102,Evaluations!$S$3:$S$10000,1)/(COUNTIFS(Evaluations!$G$3:$G$10000,$A102,Evaluations!$S$3:$S$10000,1)+COUNTIFS(Evaluations!$G$3:$G$10000,$A102,Evaluations!$S$3:$S$10000,0)),2),""))</f>
        <v/>
      </c>
      <c r="J102" s="10" t="str">
        <f>IF($A102="","",IFERROR(ROUND(100*COUNTIFS(Evaluations!$G$3:$G$10000,$A102,Evaluations!$T$3:$T$10000,1)/(COUNTIFS(Evaluations!$G$3:$G$10000,$A102,Evaluations!$T$3:$T$10000,1)+COUNTIFS(Evaluations!$G$3:$G$10000,$A102,Evaluations!$T$3:$T$10000,0)),2),""))</f>
        <v/>
      </c>
      <c r="K102" s="10" t="str">
        <f>IF($A102="","",COUNTIFS(Evaluations!$G$3:$G$10000,$A102,Evaluations!$M$3:$M$10000,"عدم پاسخ"))</f>
        <v/>
      </c>
      <c r="L102" s="10" t="str">
        <f>IF($A102="","",COUNTIFS(Evaluations!$G$3:$G$10000,$A102,Evaluations!$O$3:$O$10000,"رعایت نشده"))</f>
        <v/>
      </c>
    </row>
    <row r="103">
      <c r="A103" s="10"/>
      <c r="B103" s="10" t="str">
        <f t="array" ref="B103">_xlfn.XLOOKUP(A103,DATA!D:D,DATA!E:E,"")</f>
        <v/>
      </c>
      <c r="C103" s="10" t="str">
        <f>IF($A103="","",COUNTIFS(Evaluations!$G$3:$G$10000,$A103,Evaluations!$U$3:$U$10000,"&gt;=0",Evaluations!$U$3:$U$10000,"&lt;=100"))</f>
        <v/>
      </c>
      <c r="D103" s="10" t="str">
        <f>IF(OR($A103="",C103=0),"",ROUND(SUMIFS(Evaluations!$U$3:$U$10000,Evaluations!$G$3:$G$10000,$A103)/C103,2))</f>
        <v/>
      </c>
      <c r="E103" s="10" t="str">
        <f>IF($A103="","",COUNTIFS(Evaluations!$G$3:$G$10000,$A103,Evaluations!$M$3:$M$10000,"پاسخ داده شده"))</f>
        <v/>
      </c>
      <c r="F103" s="10" t="str">
        <f>IF($A103="","",IFERROR(COUNTIFS(Evaluations!$G$3:$G$10000,$A103,Evaluations!$O$3:$O$10000,"رعایت شده")/(COUNTIFS(Evaluations!$G$3:$G$10000,$A103,Evaluations!$O$3:$O$10000,"رعایت شده")+COUNTIFS(Evaluations!$G$3:$G$10000,$A103,Evaluations!$O$3:$O$10000,"رعایت نشده")),""))</f>
        <v/>
      </c>
      <c r="G103" s="10" t="str">
        <f>IF($A103="","",IFERROR(ROUND(100*COUNTIFS(Evaluations!$G$3:$G$10000,$A103,Evaluations!$Q$3:$Q$10000,1)/(COUNTIFS(Evaluations!$G$3:$G$10000,$A103,Evaluations!$Q$3:$Q$10000,1)+COUNTIFS(Evaluations!$G$3:$G$10000,$A103,Evaluations!$Q$3:$Q$10000,0)),2),""))</f>
        <v/>
      </c>
      <c r="H103" s="10" t="str">
        <f>IF($A103="","",IFERROR(ROUND(100*COUNTIFS(Evaluations!$G$3:$G$10000,$A103,Evaluations!$R$3:$R$10000,1)/(COUNTIFS(Evaluations!$G$3:$G$10000,$A103,Evaluations!$R$3:$R$10000,1)+COUNTIFS(Evaluations!$G$3:$G$10000,$A103,Evaluations!$R$3:$R$10000,0)),2),""))</f>
        <v/>
      </c>
      <c r="I103" s="10" t="str">
        <f>IF($A103="","",IFERROR(ROUND(100*COUNTIFS(Evaluations!$G$3:$G$10000,$A103,Evaluations!$S$3:$S$10000,1)/(COUNTIFS(Evaluations!$G$3:$G$10000,$A103,Evaluations!$S$3:$S$10000,1)+COUNTIFS(Evaluations!$G$3:$G$10000,$A103,Evaluations!$S$3:$S$10000,0)),2),""))</f>
        <v/>
      </c>
      <c r="J103" s="10" t="str">
        <f>IF($A103="","",IFERROR(ROUND(100*COUNTIFS(Evaluations!$G$3:$G$10000,$A103,Evaluations!$T$3:$T$10000,1)/(COUNTIFS(Evaluations!$G$3:$G$10000,$A103,Evaluations!$T$3:$T$10000,1)+COUNTIFS(Evaluations!$G$3:$G$10000,$A103,Evaluations!$T$3:$T$10000,0)),2),""))</f>
        <v/>
      </c>
      <c r="K103" s="10" t="str">
        <f>IF($A103="","",COUNTIFS(Evaluations!$G$3:$G$10000,$A103,Evaluations!$M$3:$M$10000,"عدم پاسخ"))</f>
        <v/>
      </c>
      <c r="L103" s="10" t="str">
        <f>IF($A103="","",COUNTIFS(Evaluations!$G$3:$G$10000,$A103,Evaluations!$O$3:$O$10000,"رعایت نشده"))</f>
        <v/>
      </c>
    </row>
    <row r="104">
      <c r="A104" s="10"/>
      <c r="B104" s="10" t="str">
        <f t="array" ref="B104">_xlfn.XLOOKUP(A104,DATA!D:D,DATA!E:E,"")</f>
        <v/>
      </c>
      <c r="C104" s="10" t="str">
        <f>IF($A104="","",COUNTIFS(Evaluations!$G$3:$G$10000,$A104,Evaluations!$U$3:$U$10000,"&gt;=0",Evaluations!$U$3:$U$10000,"&lt;=100"))</f>
        <v/>
      </c>
      <c r="D104" s="10" t="str">
        <f>IF(OR($A104="",C104=0),"",ROUND(SUMIFS(Evaluations!$U$3:$U$10000,Evaluations!$G$3:$G$10000,$A104)/C104,2))</f>
        <v/>
      </c>
      <c r="E104" s="10" t="str">
        <f>IF($A104="","",COUNTIFS(Evaluations!$G$3:$G$10000,$A104,Evaluations!$M$3:$M$10000,"پاسخ داده شده"))</f>
        <v/>
      </c>
      <c r="F104" s="10" t="str">
        <f>IF($A104="","",IFERROR(COUNTIFS(Evaluations!$G$3:$G$10000,$A104,Evaluations!$O$3:$O$10000,"رعایت شده")/(COUNTIFS(Evaluations!$G$3:$G$10000,$A104,Evaluations!$O$3:$O$10000,"رعایت شده")+COUNTIFS(Evaluations!$G$3:$G$10000,$A104,Evaluations!$O$3:$O$10000,"رعایت نشده")),""))</f>
        <v/>
      </c>
      <c r="G104" s="10" t="str">
        <f>IF($A104="","",IFERROR(ROUND(100*COUNTIFS(Evaluations!$G$3:$G$10000,$A104,Evaluations!$Q$3:$Q$10000,1)/(COUNTIFS(Evaluations!$G$3:$G$10000,$A104,Evaluations!$Q$3:$Q$10000,1)+COUNTIFS(Evaluations!$G$3:$G$10000,$A104,Evaluations!$Q$3:$Q$10000,0)),2),""))</f>
        <v/>
      </c>
      <c r="H104" s="10" t="str">
        <f>IF($A104="","",IFERROR(ROUND(100*COUNTIFS(Evaluations!$G$3:$G$10000,$A104,Evaluations!$R$3:$R$10000,1)/(COUNTIFS(Evaluations!$G$3:$G$10000,$A104,Evaluations!$R$3:$R$10000,1)+COUNTIFS(Evaluations!$G$3:$G$10000,$A104,Evaluations!$R$3:$R$10000,0)),2),""))</f>
        <v/>
      </c>
      <c r="I104" s="10" t="str">
        <f>IF($A104="","",IFERROR(ROUND(100*COUNTIFS(Evaluations!$G$3:$G$10000,$A104,Evaluations!$S$3:$S$10000,1)/(COUNTIFS(Evaluations!$G$3:$G$10000,$A104,Evaluations!$S$3:$S$10000,1)+COUNTIFS(Evaluations!$G$3:$G$10000,$A104,Evaluations!$S$3:$S$10000,0)),2),""))</f>
        <v/>
      </c>
      <c r="J104" s="10" t="str">
        <f>IF($A104="","",IFERROR(ROUND(100*COUNTIFS(Evaluations!$G$3:$G$10000,$A104,Evaluations!$T$3:$T$10000,1)/(COUNTIFS(Evaluations!$G$3:$G$10000,$A104,Evaluations!$T$3:$T$10000,1)+COUNTIFS(Evaluations!$G$3:$G$10000,$A104,Evaluations!$T$3:$T$10000,0)),2),""))</f>
        <v/>
      </c>
      <c r="K104" s="10" t="str">
        <f>IF($A104="","",COUNTIFS(Evaluations!$G$3:$G$10000,$A104,Evaluations!$M$3:$M$10000,"عدم پاسخ"))</f>
        <v/>
      </c>
      <c r="L104" s="10" t="str">
        <f>IF($A104="","",COUNTIFS(Evaluations!$G$3:$G$10000,$A104,Evaluations!$O$3:$O$10000,"رعایت نشده"))</f>
        <v/>
      </c>
    </row>
    <row r="105">
      <c r="A105" s="10"/>
      <c r="B105" s="10" t="str">
        <f t="array" ref="B105">_xlfn.XLOOKUP(A105,DATA!D:D,DATA!E:E,"")</f>
        <v/>
      </c>
      <c r="C105" s="10" t="str">
        <f>IF($A105="","",COUNTIFS(Evaluations!$G$3:$G$10000,$A105,Evaluations!$U$3:$U$10000,"&gt;=0",Evaluations!$U$3:$U$10000,"&lt;=100"))</f>
        <v/>
      </c>
      <c r="D105" s="10" t="str">
        <f>IF(OR($A105="",C105=0),"",ROUND(SUMIFS(Evaluations!$U$3:$U$10000,Evaluations!$G$3:$G$10000,$A105)/C105,2))</f>
        <v/>
      </c>
      <c r="E105" s="10" t="str">
        <f>IF($A105="","",COUNTIFS(Evaluations!$G$3:$G$10000,$A105,Evaluations!$M$3:$M$10000,"پاسخ داده شده"))</f>
        <v/>
      </c>
      <c r="F105" s="10" t="str">
        <f>IF($A105="","",IFERROR(COUNTIFS(Evaluations!$G$3:$G$10000,$A105,Evaluations!$O$3:$O$10000,"رعایت شده")/(COUNTIFS(Evaluations!$G$3:$G$10000,$A105,Evaluations!$O$3:$O$10000,"رعایت شده")+COUNTIFS(Evaluations!$G$3:$G$10000,$A105,Evaluations!$O$3:$O$10000,"رعایت نشده")),""))</f>
        <v/>
      </c>
      <c r="G105" s="10" t="str">
        <f>IF($A105="","",IFERROR(ROUND(100*COUNTIFS(Evaluations!$G$3:$G$10000,$A105,Evaluations!$Q$3:$Q$10000,1)/(COUNTIFS(Evaluations!$G$3:$G$10000,$A105,Evaluations!$Q$3:$Q$10000,1)+COUNTIFS(Evaluations!$G$3:$G$10000,$A105,Evaluations!$Q$3:$Q$10000,0)),2),""))</f>
        <v/>
      </c>
      <c r="H105" s="10" t="str">
        <f>IF($A105="","",IFERROR(ROUND(100*COUNTIFS(Evaluations!$G$3:$G$10000,$A105,Evaluations!$R$3:$R$10000,1)/(COUNTIFS(Evaluations!$G$3:$G$10000,$A105,Evaluations!$R$3:$R$10000,1)+COUNTIFS(Evaluations!$G$3:$G$10000,$A105,Evaluations!$R$3:$R$10000,0)),2),""))</f>
        <v/>
      </c>
      <c r="I105" s="10" t="str">
        <f>IF($A105="","",IFERROR(ROUND(100*COUNTIFS(Evaluations!$G$3:$G$10000,$A105,Evaluations!$S$3:$S$10000,1)/(COUNTIFS(Evaluations!$G$3:$G$10000,$A105,Evaluations!$S$3:$S$10000,1)+COUNTIFS(Evaluations!$G$3:$G$10000,$A105,Evaluations!$S$3:$S$10000,0)),2),""))</f>
        <v/>
      </c>
      <c r="J105" s="10" t="str">
        <f>IF($A105="","",IFERROR(ROUND(100*COUNTIFS(Evaluations!$G$3:$G$10000,$A105,Evaluations!$T$3:$T$10000,1)/(COUNTIFS(Evaluations!$G$3:$G$10000,$A105,Evaluations!$T$3:$T$10000,1)+COUNTIFS(Evaluations!$G$3:$G$10000,$A105,Evaluations!$T$3:$T$10000,0)),2),""))</f>
        <v/>
      </c>
      <c r="K105" s="10" t="str">
        <f>IF($A105="","",COUNTIFS(Evaluations!$G$3:$G$10000,$A105,Evaluations!$M$3:$M$10000,"عدم پاسخ"))</f>
        <v/>
      </c>
      <c r="L105" s="10" t="str">
        <f>IF($A105="","",COUNTIFS(Evaluations!$G$3:$G$10000,$A105,Evaluations!$O$3:$O$10000,"رعایت نشده"))</f>
        <v/>
      </c>
    </row>
    <row r="106">
      <c r="A106" s="10"/>
      <c r="B106" s="10" t="str">
        <f t="array" ref="B106">_xlfn.XLOOKUP(A106,DATA!D:D,DATA!E:E,"")</f>
        <v/>
      </c>
      <c r="C106" s="10" t="str">
        <f>IF($A106="","",COUNTIFS(Evaluations!$G$3:$G$10000,$A106,Evaluations!$U$3:$U$10000,"&gt;=0",Evaluations!$U$3:$U$10000,"&lt;=100"))</f>
        <v/>
      </c>
      <c r="D106" s="10" t="str">
        <f>IF(OR($A106="",C106=0),"",ROUND(SUMIFS(Evaluations!$U$3:$U$10000,Evaluations!$G$3:$G$10000,$A106)/C106,2))</f>
        <v/>
      </c>
      <c r="E106" s="10" t="str">
        <f>IF($A106="","",COUNTIFS(Evaluations!$G$3:$G$10000,$A106,Evaluations!$M$3:$M$10000,"پاسخ داده شده"))</f>
        <v/>
      </c>
      <c r="F106" s="10" t="str">
        <f>IF($A106="","",IFERROR(COUNTIFS(Evaluations!$G$3:$G$10000,$A106,Evaluations!$O$3:$O$10000,"رعایت شده")/(COUNTIFS(Evaluations!$G$3:$G$10000,$A106,Evaluations!$O$3:$O$10000,"رعایت شده")+COUNTIFS(Evaluations!$G$3:$G$10000,$A106,Evaluations!$O$3:$O$10000,"رعایت نشده")),""))</f>
        <v/>
      </c>
      <c r="G106" s="10" t="str">
        <f>IF($A106="","",IFERROR(ROUND(100*COUNTIFS(Evaluations!$G$3:$G$10000,$A106,Evaluations!$Q$3:$Q$10000,1)/(COUNTIFS(Evaluations!$G$3:$G$10000,$A106,Evaluations!$Q$3:$Q$10000,1)+COUNTIFS(Evaluations!$G$3:$G$10000,$A106,Evaluations!$Q$3:$Q$10000,0)),2),""))</f>
        <v/>
      </c>
      <c r="H106" s="10" t="str">
        <f>IF($A106="","",IFERROR(ROUND(100*COUNTIFS(Evaluations!$G$3:$G$10000,$A106,Evaluations!$R$3:$R$10000,1)/(COUNTIFS(Evaluations!$G$3:$G$10000,$A106,Evaluations!$R$3:$R$10000,1)+COUNTIFS(Evaluations!$G$3:$G$10000,$A106,Evaluations!$R$3:$R$10000,0)),2),""))</f>
        <v/>
      </c>
      <c r="I106" s="10" t="str">
        <f>IF($A106="","",IFERROR(ROUND(100*COUNTIFS(Evaluations!$G$3:$G$10000,$A106,Evaluations!$S$3:$S$10000,1)/(COUNTIFS(Evaluations!$G$3:$G$10000,$A106,Evaluations!$S$3:$S$10000,1)+COUNTIFS(Evaluations!$G$3:$G$10000,$A106,Evaluations!$S$3:$S$10000,0)),2),""))</f>
        <v/>
      </c>
      <c r="J106" s="10" t="str">
        <f>IF($A106="","",IFERROR(ROUND(100*COUNTIFS(Evaluations!$G$3:$G$10000,$A106,Evaluations!$T$3:$T$10000,1)/(COUNTIFS(Evaluations!$G$3:$G$10000,$A106,Evaluations!$T$3:$T$10000,1)+COUNTIFS(Evaluations!$G$3:$G$10000,$A106,Evaluations!$T$3:$T$10000,0)),2),""))</f>
        <v/>
      </c>
      <c r="K106" s="10" t="str">
        <f>IF($A106="","",COUNTIFS(Evaluations!$G$3:$G$10000,$A106,Evaluations!$M$3:$M$10000,"عدم پاسخ"))</f>
        <v/>
      </c>
      <c r="L106" s="10" t="str">
        <f>IF($A106="","",COUNTIFS(Evaluations!$G$3:$G$10000,$A106,Evaluations!$O$3:$O$10000,"رعایت نشده"))</f>
        <v/>
      </c>
    </row>
    <row r="107">
      <c r="A107" s="10"/>
      <c r="B107" s="10" t="str">
        <f t="array" ref="B107">_xlfn.XLOOKUP(A107,DATA!D:D,DATA!E:E,"")</f>
        <v/>
      </c>
      <c r="C107" s="10" t="str">
        <f>IF($A107="","",COUNTIFS(Evaluations!$G$3:$G$10000,$A107,Evaluations!$U$3:$U$10000,"&gt;=0",Evaluations!$U$3:$U$10000,"&lt;=100"))</f>
        <v/>
      </c>
      <c r="D107" s="10" t="str">
        <f>IF(OR($A107="",C107=0),"",ROUND(SUMIFS(Evaluations!$U$3:$U$10000,Evaluations!$G$3:$G$10000,$A107)/C107,2))</f>
        <v/>
      </c>
      <c r="E107" s="10" t="str">
        <f>IF($A107="","",COUNTIFS(Evaluations!$G$3:$G$10000,$A107,Evaluations!$M$3:$M$10000,"پاسخ داده شده"))</f>
        <v/>
      </c>
      <c r="F107" s="10" t="str">
        <f>IF($A107="","",IFERROR(COUNTIFS(Evaluations!$G$3:$G$10000,$A107,Evaluations!$O$3:$O$10000,"رعایت شده")/(COUNTIFS(Evaluations!$G$3:$G$10000,$A107,Evaluations!$O$3:$O$10000,"رعایت شده")+COUNTIFS(Evaluations!$G$3:$G$10000,$A107,Evaluations!$O$3:$O$10000,"رعایت نشده")),""))</f>
        <v/>
      </c>
      <c r="G107" s="10" t="str">
        <f>IF($A107="","",IFERROR(ROUND(100*COUNTIFS(Evaluations!$G$3:$G$10000,$A107,Evaluations!$Q$3:$Q$10000,1)/(COUNTIFS(Evaluations!$G$3:$G$10000,$A107,Evaluations!$Q$3:$Q$10000,1)+COUNTIFS(Evaluations!$G$3:$G$10000,$A107,Evaluations!$Q$3:$Q$10000,0)),2),""))</f>
        <v/>
      </c>
      <c r="H107" s="10" t="str">
        <f>IF($A107="","",IFERROR(ROUND(100*COUNTIFS(Evaluations!$G$3:$G$10000,$A107,Evaluations!$R$3:$R$10000,1)/(COUNTIFS(Evaluations!$G$3:$G$10000,$A107,Evaluations!$R$3:$R$10000,1)+COUNTIFS(Evaluations!$G$3:$G$10000,$A107,Evaluations!$R$3:$R$10000,0)),2),""))</f>
        <v/>
      </c>
      <c r="I107" s="10" t="str">
        <f>IF($A107="","",IFERROR(ROUND(100*COUNTIFS(Evaluations!$G$3:$G$10000,$A107,Evaluations!$S$3:$S$10000,1)/(COUNTIFS(Evaluations!$G$3:$G$10000,$A107,Evaluations!$S$3:$S$10000,1)+COUNTIFS(Evaluations!$G$3:$G$10000,$A107,Evaluations!$S$3:$S$10000,0)),2),""))</f>
        <v/>
      </c>
      <c r="J107" s="10" t="str">
        <f>IF($A107="","",IFERROR(ROUND(100*COUNTIFS(Evaluations!$G$3:$G$10000,$A107,Evaluations!$T$3:$T$10000,1)/(COUNTIFS(Evaluations!$G$3:$G$10000,$A107,Evaluations!$T$3:$T$10000,1)+COUNTIFS(Evaluations!$G$3:$G$10000,$A107,Evaluations!$T$3:$T$10000,0)),2),""))</f>
        <v/>
      </c>
      <c r="K107" s="10" t="str">
        <f>IF($A107="","",COUNTIFS(Evaluations!$G$3:$G$10000,$A107,Evaluations!$M$3:$M$10000,"عدم پاسخ"))</f>
        <v/>
      </c>
      <c r="L107" s="10" t="str">
        <f>IF($A107="","",COUNTIFS(Evaluations!$G$3:$G$10000,$A107,Evaluations!$O$3:$O$10000,"رعایت نشده"))</f>
        <v/>
      </c>
    </row>
    <row r="108">
      <c r="A108" s="10"/>
      <c r="B108" s="10" t="str">
        <f t="array" ref="B108">_xlfn.XLOOKUP(A108,DATA!D:D,DATA!E:E,"")</f>
        <v/>
      </c>
      <c r="C108" s="10" t="str">
        <f>IF($A108="","",COUNTIFS(Evaluations!$G$3:$G$10000,$A108,Evaluations!$U$3:$U$10000,"&gt;=0",Evaluations!$U$3:$U$10000,"&lt;=100"))</f>
        <v/>
      </c>
      <c r="D108" s="10" t="str">
        <f>IF(OR($A108="",C108=0),"",ROUND(SUMIFS(Evaluations!$U$3:$U$10000,Evaluations!$G$3:$G$10000,$A108)/C108,2))</f>
        <v/>
      </c>
      <c r="E108" s="10" t="str">
        <f>IF($A108="","",COUNTIFS(Evaluations!$G$3:$G$10000,$A108,Evaluations!$M$3:$M$10000,"پاسخ داده شده"))</f>
        <v/>
      </c>
      <c r="F108" s="10" t="str">
        <f>IF($A108="","",IFERROR(COUNTIFS(Evaluations!$G$3:$G$10000,$A108,Evaluations!$O$3:$O$10000,"رعایت شده")/(COUNTIFS(Evaluations!$G$3:$G$10000,$A108,Evaluations!$O$3:$O$10000,"رعایت شده")+COUNTIFS(Evaluations!$G$3:$G$10000,$A108,Evaluations!$O$3:$O$10000,"رعایت نشده")),""))</f>
        <v/>
      </c>
      <c r="G108" s="10" t="str">
        <f>IF($A108="","",IFERROR(ROUND(100*COUNTIFS(Evaluations!$G$3:$G$10000,$A108,Evaluations!$Q$3:$Q$10000,1)/(COUNTIFS(Evaluations!$G$3:$G$10000,$A108,Evaluations!$Q$3:$Q$10000,1)+COUNTIFS(Evaluations!$G$3:$G$10000,$A108,Evaluations!$Q$3:$Q$10000,0)),2),""))</f>
        <v/>
      </c>
      <c r="H108" s="10" t="str">
        <f>IF($A108="","",IFERROR(ROUND(100*COUNTIFS(Evaluations!$G$3:$G$10000,$A108,Evaluations!$R$3:$R$10000,1)/(COUNTIFS(Evaluations!$G$3:$G$10000,$A108,Evaluations!$R$3:$R$10000,1)+COUNTIFS(Evaluations!$G$3:$G$10000,$A108,Evaluations!$R$3:$R$10000,0)),2),""))</f>
        <v/>
      </c>
      <c r="I108" s="10" t="str">
        <f>IF($A108="","",IFERROR(ROUND(100*COUNTIFS(Evaluations!$G$3:$G$10000,$A108,Evaluations!$S$3:$S$10000,1)/(COUNTIFS(Evaluations!$G$3:$G$10000,$A108,Evaluations!$S$3:$S$10000,1)+COUNTIFS(Evaluations!$G$3:$G$10000,$A108,Evaluations!$S$3:$S$10000,0)),2),""))</f>
        <v/>
      </c>
      <c r="J108" s="10" t="str">
        <f>IF($A108="","",IFERROR(ROUND(100*COUNTIFS(Evaluations!$G$3:$G$10000,$A108,Evaluations!$T$3:$T$10000,1)/(COUNTIFS(Evaluations!$G$3:$G$10000,$A108,Evaluations!$T$3:$T$10000,1)+COUNTIFS(Evaluations!$G$3:$G$10000,$A108,Evaluations!$T$3:$T$10000,0)),2),""))</f>
        <v/>
      </c>
      <c r="K108" s="10" t="str">
        <f>IF($A108="","",COUNTIFS(Evaluations!$G$3:$G$10000,$A108,Evaluations!$M$3:$M$10000,"عدم پاسخ"))</f>
        <v/>
      </c>
      <c r="L108" s="10" t="str">
        <f>IF($A108="","",COUNTIFS(Evaluations!$G$3:$G$10000,$A108,Evaluations!$O$3:$O$10000,"رعایت نشده"))</f>
        <v/>
      </c>
    </row>
    <row r="109">
      <c r="A109" s="10"/>
      <c r="B109" s="10" t="str">
        <f t="array" ref="B109">_xlfn.XLOOKUP(A109,DATA!D:D,DATA!E:E,"")</f>
        <v/>
      </c>
      <c r="C109" s="10" t="str">
        <f>IF($A109="","",COUNTIFS(Evaluations!$G$3:$G$10000,$A109,Evaluations!$U$3:$U$10000,"&gt;=0",Evaluations!$U$3:$U$10000,"&lt;=100"))</f>
        <v/>
      </c>
      <c r="D109" s="10" t="str">
        <f>IF(OR($A109="",C109=0),"",ROUND(SUMIFS(Evaluations!$U$3:$U$10000,Evaluations!$G$3:$G$10000,$A109)/C109,2))</f>
        <v/>
      </c>
      <c r="E109" s="10" t="str">
        <f>IF($A109="","",COUNTIFS(Evaluations!$G$3:$G$10000,$A109,Evaluations!$M$3:$M$10000,"پاسخ داده شده"))</f>
        <v/>
      </c>
      <c r="F109" s="10" t="str">
        <f>IF($A109="","",IFERROR(COUNTIFS(Evaluations!$G$3:$G$10000,$A109,Evaluations!$O$3:$O$10000,"رعایت شده")/(COUNTIFS(Evaluations!$G$3:$G$10000,$A109,Evaluations!$O$3:$O$10000,"رعایت شده")+COUNTIFS(Evaluations!$G$3:$G$10000,$A109,Evaluations!$O$3:$O$10000,"رعایت نشده")),""))</f>
        <v/>
      </c>
      <c r="G109" s="10" t="str">
        <f>IF($A109="","",IFERROR(ROUND(100*COUNTIFS(Evaluations!$G$3:$G$10000,$A109,Evaluations!$Q$3:$Q$10000,1)/(COUNTIFS(Evaluations!$G$3:$G$10000,$A109,Evaluations!$Q$3:$Q$10000,1)+COUNTIFS(Evaluations!$G$3:$G$10000,$A109,Evaluations!$Q$3:$Q$10000,0)),2),""))</f>
        <v/>
      </c>
      <c r="H109" s="10" t="str">
        <f>IF($A109="","",IFERROR(ROUND(100*COUNTIFS(Evaluations!$G$3:$G$10000,$A109,Evaluations!$R$3:$R$10000,1)/(COUNTIFS(Evaluations!$G$3:$G$10000,$A109,Evaluations!$R$3:$R$10000,1)+COUNTIFS(Evaluations!$G$3:$G$10000,$A109,Evaluations!$R$3:$R$10000,0)),2),""))</f>
        <v/>
      </c>
      <c r="I109" s="10" t="str">
        <f>IF($A109="","",IFERROR(ROUND(100*COUNTIFS(Evaluations!$G$3:$G$10000,$A109,Evaluations!$S$3:$S$10000,1)/(COUNTIFS(Evaluations!$G$3:$G$10000,$A109,Evaluations!$S$3:$S$10000,1)+COUNTIFS(Evaluations!$G$3:$G$10000,$A109,Evaluations!$S$3:$S$10000,0)),2),""))</f>
        <v/>
      </c>
      <c r="J109" s="10" t="str">
        <f>IF($A109="","",IFERROR(ROUND(100*COUNTIFS(Evaluations!$G$3:$G$10000,$A109,Evaluations!$T$3:$T$10000,1)/(COUNTIFS(Evaluations!$G$3:$G$10000,$A109,Evaluations!$T$3:$T$10000,1)+COUNTIFS(Evaluations!$G$3:$G$10000,$A109,Evaluations!$T$3:$T$10000,0)),2),""))</f>
        <v/>
      </c>
      <c r="K109" s="10" t="str">
        <f>IF($A109="","",COUNTIFS(Evaluations!$G$3:$G$10000,$A109,Evaluations!$M$3:$M$10000,"عدم پاسخ"))</f>
        <v/>
      </c>
      <c r="L109" s="10" t="str">
        <f>IF($A109="","",COUNTIFS(Evaluations!$G$3:$G$10000,$A109,Evaluations!$O$3:$O$10000,"رعایت نشده"))</f>
        <v/>
      </c>
    </row>
    <row r="110">
      <c r="A110" s="10"/>
      <c r="B110" s="10" t="str">
        <f t="array" ref="B110">_xlfn.XLOOKUP(A110,DATA!D:D,DATA!E:E,"")</f>
        <v/>
      </c>
      <c r="C110" s="10" t="str">
        <f>IF($A110="","",COUNTIFS(Evaluations!$G$3:$G$10000,$A110,Evaluations!$U$3:$U$10000,"&gt;=0",Evaluations!$U$3:$U$10000,"&lt;=100"))</f>
        <v/>
      </c>
      <c r="D110" s="10" t="str">
        <f>IF(OR($A110="",C110=0),"",ROUND(SUMIFS(Evaluations!$U$3:$U$10000,Evaluations!$G$3:$G$10000,$A110)/C110,2))</f>
        <v/>
      </c>
      <c r="E110" s="10" t="str">
        <f>IF($A110="","",COUNTIFS(Evaluations!$G$3:$G$10000,$A110,Evaluations!$M$3:$M$10000,"پاسخ داده شده"))</f>
        <v/>
      </c>
      <c r="F110" s="10" t="str">
        <f>IF($A110="","",IFERROR(COUNTIFS(Evaluations!$G$3:$G$10000,$A110,Evaluations!$O$3:$O$10000,"رعایت شده")/(COUNTIFS(Evaluations!$G$3:$G$10000,$A110,Evaluations!$O$3:$O$10000,"رعایت شده")+COUNTIFS(Evaluations!$G$3:$G$10000,$A110,Evaluations!$O$3:$O$10000,"رعایت نشده")),""))</f>
        <v/>
      </c>
      <c r="G110" s="10" t="str">
        <f>IF($A110="","",IFERROR(ROUND(100*COUNTIFS(Evaluations!$G$3:$G$10000,$A110,Evaluations!$Q$3:$Q$10000,1)/(COUNTIFS(Evaluations!$G$3:$G$10000,$A110,Evaluations!$Q$3:$Q$10000,1)+COUNTIFS(Evaluations!$G$3:$G$10000,$A110,Evaluations!$Q$3:$Q$10000,0)),2),""))</f>
        <v/>
      </c>
      <c r="H110" s="10" t="str">
        <f>IF($A110="","",IFERROR(ROUND(100*COUNTIFS(Evaluations!$G$3:$G$10000,$A110,Evaluations!$R$3:$R$10000,1)/(COUNTIFS(Evaluations!$G$3:$G$10000,$A110,Evaluations!$R$3:$R$10000,1)+COUNTIFS(Evaluations!$G$3:$G$10000,$A110,Evaluations!$R$3:$R$10000,0)),2),""))</f>
        <v/>
      </c>
      <c r="I110" s="10" t="str">
        <f>IF($A110="","",IFERROR(ROUND(100*COUNTIFS(Evaluations!$G$3:$G$10000,$A110,Evaluations!$S$3:$S$10000,1)/(COUNTIFS(Evaluations!$G$3:$G$10000,$A110,Evaluations!$S$3:$S$10000,1)+COUNTIFS(Evaluations!$G$3:$G$10000,$A110,Evaluations!$S$3:$S$10000,0)),2),""))</f>
        <v/>
      </c>
      <c r="J110" s="10" t="str">
        <f>IF($A110="","",IFERROR(ROUND(100*COUNTIFS(Evaluations!$G$3:$G$10000,$A110,Evaluations!$T$3:$T$10000,1)/(COUNTIFS(Evaluations!$G$3:$G$10000,$A110,Evaluations!$T$3:$T$10000,1)+COUNTIFS(Evaluations!$G$3:$G$10000,$A110,Evaluations!$T$3:$T$10000,0)),2),""))</f>
        <v/>
      </c>
      <c r="K110" s="10" t="str">
        <f>IF($A110="","",COUNTIFS(Evaluations!$G$3:$G$10000,$A110,Evaluations!$M$3:$M$10000,"عدم پاسخ"))</f>
        <v/>
      </c>
      <c r="L110" s="10" t="str">
        <f>IF($A110="","",COUNTIFS(Evaluations!$G$3:$G$10000,$A110,Evaluations!$O$3:$O$10000,"رعایت نشده"))</f>
        <v/>
      </c>
    </row>
    <row r="111">
      <c r="A111" s="10"/>
      <c r="B111" s="10" t="str">
        <f t="array" ref="B111">_xlfn.XLOOKUP(A111,DATA!D:D,DATA!E:E,"")</f>
        <v/>
      </c>
      <c r="C111" s="10" t="str">
        <f>IF($A111="","",COUNTIFS(Evaluations!$G$3:$G$10000,$A111,Evaluations!$U$3:$U$10000,"&gt;=0",Evaluations!$U$3:$U$10000,"&lt;=100"))</f>
        <v/>
      </c>
      <c r="D111" s="10" t="str">
        <f>IF(OR($A111="",C111=0),"",ROUND(SUMIFS(Evaluations!$U$3:$U$10000,Evaluations!$G$3:$G$10000,$A111)/C111,2))</f>
        <v/>
      </c>
      <c r="E111" s="10" t="str">
        <f>IF($A111="","",COUNTIFS(Evaluations!$G$3:$G$10000,$A111,Evaluations!$M$3:$M$10000,"پاسخ داده شده"))</f>
        <v/>
      </c>
      <c r="F111" s="10" t="str">
        <f>IF($A111="","",IFERROR(COUNTIFS(Evaluations!$G$3:$G$10000,$A111,Evaluations!$O$3:$O$10000,"رعایت شده")/(COUNTIFS(Evaluations!$G$3:$G$10000,$A111,Evaluations!$O$3:$O$10000,"رعایت شده")+COUNTIFS(Evaluations!$G$3:$G$10000,$A111,Evaluations!$O$3:$O$10000,"رعایت نشده")),""))</f>
        <v/>
      </c>
      <c r="G111" s="10" t="str">
        <f>IF($A111="","",IFERROR(ROUND(100*COUNTIFS(Evaluations!$G$3:$G$10000,$A111,Evaluations!$Q$3:$Q$10000,1)/(COUNTIFS(Evaluations!$G$3:$G$10000,$A111,Evaluations!$Q$3:$Q$10000,1)+COUNTIFS(Evaluations!$G$3:$G$10000,$A111,Evaluations!$Q$3:$Q$10000,0)),2),""))</f>
        <v/>
      </c>
      <c r="H111" s="10" t="str">
        <f>IF($A111="","",IFERROR(ROUND(100*COUNTIFS(Evaluations!$G$3:$G$10000,$A111,Evaluations!$R$3:$R$10000,1)/(COUNTIFS(Evaluations!$G$3:$G$10000,$A111,Evaluations!$R$3:$R$10000,1)+COUNTIFS(Evaluations!$G$3:$G$10000,$A111,Evaluations!$R$3:$R$10000,0)),2),""))</f>
        <v/>
      </c>
      <c r="I111" s="10" t="str">
        <f>IF($A111="","",IFERROR(ROUND(100*COUNTIFS(Evaluations!$G$3:$G$10000,$A111,Evaluations!$S$3:$S$10000,1)/(COUNTIFS(Evaluations!$G$3:$G$10000,$A111,Evaluations!$S$3:$S$10000,1)+COUNTIFS(Evaluations!$G$3:$G$10000,$A111,Evaluations!$S$3:$S$10000,0)),2),""))</f>
        <v/>
      </c>
      <c r="J111" s="10" t="str">
        <f>IF($A111="","",IFERROR(ROUND(100*COUNTIFS(Evaluations!$G$3:$G$10000,$A111,Evaluations!$T$3:$T$10000,1)/(COUNTIFS(Evaluations!$G$3:$G$10000,$A111,Evaluations!$T$3:$T$10000,1)+COUNTIFS(Evaluations!$G$3:$G$10000,$A111,Evaluations!$T$3:$T$10000,0)),2),""))</f>
        <v/>
      </c>
      <c r="K111" s="10" t="str">
        <f>IF($A111="","",COUNTIFS(Evaluations!$G$3:$G$10000,$A111,Evaluations!$M$3:$M$10000,"عدم پاسخ"))</f>
        <v/>
      </c>
      <c r="L111" s="10" t="str">
        <f>IF($A111="","",COUNTIFS(Evaluations!$G$3:$G$10000,$A111,Evaluations!$O$3:$O$10000,"رعایت نشده"))</f>
        <v/>
      </c>
    </row>
    <row r="112">
      <c r="A112" s="10"/>
      <c r="B112" s="10" t="str">
        <f t="array" ref="B112">_xlfn.XLOOKUP(A112,DATA!D:D,DATA!E:E,"")</f>
        <v/>
      </c>
      <c r="C112" s="10" t="str">
        <f>IF($A112="","",COUNTIFS(Evaluations!$G$3:$G$10000,$A112,Evaluations!$U$3:$U$10000,"&gt;=0",Evaluations!$U$3:$U$10000,"&lt;=100"))</f>
        <v/>
      </c>
      <c r="D112" s="10" t="str">
        <f>IF(OR($A112="",C112=0),"",ROUND(SUMIFS(Evaluations!$U$3:$U$10000,Evaluations!$G$3:$G$10000,$A112)/C112,2))</f>
        <v/>
      </c>
      <c r="E112" s="10" t="str">
        <f>IF($A112="","",COUNTIFS(Evaluations!$G$3:$G$10000,$A112,Evaluations!$M$3:$M$10000,"پاسخ داده شده"))</f>
        <v/>
      </c>
      <c r="F112" s="10" t="str">
        <f>IF($A112="","",IFERROR(COUNTIFS(Evaluations!$G$3:$G$10000,$A112,Evaluations!$O$3:$O$10000,"رعایت شده")/(COUNTIFS(Evaluations!$G$3:$G$10000,$A112,Evaluations!$O$3:$O$10000,"رعایت شده")+COUNTIFS(Evaluations!$G$3:$G$10000,$A112,Evaluations!$O$3:$O$10000,"رعایت نشده")),""))</f>
        <v/>
      </c>
      <c r="G112" s="10" t="str">
        <f>IF($A112="","",IFERROR(ROUND(100*COUNTIFS(Evaluations!$G$3:$G$10000,$A112,Evaluations!$Q$3:$Q$10000,1)/(COUNTIFS(Evaluations!$G$3:$G$10000,$A112,Evaluations!$Q$3:$Q$10000,1)+COUNTIFS(Evaluations!$G$3:$G$10000,$A112,Evaluations!$Q$3:$Q$10000,0)),2),""))</f>
        <v/>
      </c>
      <c r="H112" s="10" t="str">
        <f>IF($A112="","",IFERROR(ROUND(100*COUNTIFS(Evaluations!$G$3:$G$10000,$A112,Evaluations!$R$3:$R$10000,1)/(COUNTIFS(Evaluations!$G$3:$G$10000,$A112,Evaluations!$R$3:$R$10000,1)+COUNTIFS(Evaluations!$G$3:$G$10000,$A112,Evaluations!$R$3:$R$10000,0)),2),""))</f>
        <v/>
      </c>
      <c r="I112" s="10" t="str">
        <f>IF($A112="","",IFERROR(ROUND(100*COUNTIFS(Evaluations!$G$3:$G$10000,$A112,Evaluations!$S$3:$S$10000,1)/(COUNTIFS(Evaluations!$G$3:$G$10000,$A112,Evaluations!$S$3:$S$10000,1)+COUNTIFS(Evaluations!$G$3:$G$10000,$A112,Evaluations!$S$3:$S$10000,0)),2),""))</f>
        <v/>
      </c>
      <c r="J112" s="10" t="str">
        <f>IF($A112="","",IFERROR(ROUND(100*COUNTIFS(Evaluations!$G$3:$G$10000,$A112,Evaluations!$T$3:$T$10000,1)/(COUNTIFS(Evaluations!$G$3:$G$10000,$A112,Evaluations!$T$3:$T$10000,1)+COUNTIFS(Evaluations!$G$3:$G$10000,$A112,Evaluations!$T$3:$T$10000,0)),2),""))</f>
        <v/>
      </c>
      <c r="K112" s="10" t="str">
        <f>IF($A112="","",COUNTIFS(Evaluations!$G$3:$G$10000,$A112,Evaluations!$M$3:$M$10000,"عدم پاسخ"))</f>
        <v/>
      </c>
      <c r="L112" s="10" t="str">
        <f>IF($A112="","",COUNTIFS(Evaluations!$G$3:$G$10000,$A112,Evaluations!$O$3:$O$10000,"رعایت نشده"))</f>
        <v/>
      </c>
    </row>
    <row r="113">
      <c r="A113" s="10"/>
      <c r="B113" s="10" t="str">
        <f t="array" ref="B113">_xlfn.XLOOKUP(A113,DATA!D:D,DATA!E:E,"")</f>
        <v/>
      </c>
      <c r="C113" s="10" t="str">
        <f>IF($A113="","",COUNTIFS(Evaluations!$G$3:$G$10000,$A113,Evaluations!$U$3:$U$10000,"&gt;=0",Evaluations!$U$3:$U$10000,"&lt;=100"))</f>
        <v/>
      </c>
      <c r="D113" s="10" t="str">
        <f>IF(OR($A113="",C113=0),"",ROUND(SUMIFS(Evaluations!$U$3:$U$10000,Evaluations!$G$3:$G$10000,$A113)/C113,2))</f>
        <v/>
      </c>
      <c r="E113" s="10" t="str">
        <f>IF($A113="","",COUNTIFS(Evaluations!$G$3:$G$10000,$A113,Evaluations!$M$3:$M$10000,"پاسخ داده شده"))</f>
        <v/>
      </c>
      <c r="F113" s="10" t="str">
        <f>IF($A113="","",IFERROR(COUNTIFS(Evaluations!$G$3:$G$10000,$A113,Evaluations!$O$3:$O$10000,"رعایت شده")/(COUNTIFS(Evaluations!$G$3:$G$10000,$A113,Evaluations!$O$3:$O$10000,"رعایت شده")+COUNTIFS(Evaluations!$G$3:$G$10000,$A113,Evaluations!$O$3:$O$10000,"رعایت نشده")),""))</f>
        <v/>
      </c>
      <c r="G113" s="10" t="str">
        <f>IF($A113="","",IFERROR(ROUND(100*COUNTIFS(Evaluations!$G$3:$G$10000,$A113,Evaluations!$Q$3:$Q$10000,1)/(COUNTIFS(Evaluations!$G$3:$G$10000,$A113,Evaluations!$Q$3:$Q$10000,1)+COUNTIFS(Evaluations!$G$3:$G$10000,$A113,Evaluations!$Q$3:$Q$10000,0)),2),""))</f>
        <v/>
      </c>
      <c r="H113" s="10" t="str">
        <f>IF($A113="","",IFERROR(ROUND(100*COUNTIFS(Evaluations!$G$3:$G$10000,$A113,Evaluations!$R$3:$R$10000,1)/(COUNTIFS(Evaluations!$G$3:$G$10000,$A113,Evaluations!$R$3:$R$10000,1)+COUNTIFS(Evaluations!$G$3:$G$10000,$A113,Evaluations!$R$3:$R$10000,0)),2),""))</f>
        <v/>
      </c>
      <c r="I113" s="10" t="str">
        <f>IF($A113="","",IFERROR(ROUND(100*COUNTIFS(Evaluations!$G$3:$G$10000,$A113,Evaluations!$S$3:$S$10000,1)/(COUNTIFS(Evaluations!$G$3:$G$10000,$A113,Evaluations!$S$3:$S$10000,1)+COUNTIFS(Evaluations!$G$3:$G$10000,$A113,Evaluations!$S$3:$S$10000,0)),2),""))</f>
        <v/>
      </c>
      <c r="J113" s="10" t="str">
        <f>IF($A113="","",IFERROR(ROUND(100*COUNTIFS(Evaluations!$G$3:$G$10000,$A113,Evaluations!$T$3:$T$10000,1)/(COUNTIFS(Evaluations!$G$3:$G$10000,$A113,Evaluations!$T$3:$T$10000,1)+COUNTIFS(Evaluations!$G$3:$G$10000,$A113,Evaluations!$T$3:$T$10000,0)),2),""))</f>
        <v/>
      </c>
      <c r="K113" s="10" t="str">
        <f>IF($A113="","",COUNTIFS(Evaluations!$G$3:$G$10000,$A113,Evaluations!$M$3:$M$10000,"عدم پاسخ"))</f>
        <v/>
      </c>
      <c r="L113" s="10" t="str">
        <f>IF($A113="","",COUNTIFS(Evaluations!$G$3:$G$10000,$A113,Evaluations!$O$3:$O$10000,"رعایت نشده"))</f>
        <v/>
      </c>
    </row>
    <row r="114">
      <c r="A114" s="10"/>
      <c r="B114" s="10" t="str">
        <f t="array" ref="B114">_xlfn.XLOOKUP(A114,DATA!D:D,DATA!E:E,"")</f>
        <v/>
      </c>
      <c r="C114" s="10" t="str">
        <f>IF($A114="","",COUNTIFS(Evaluations!$G$3:$G$10000,$A114,Evaluations!$U$3:$U$10000,"&gt;=0",Evaluations!$U$3:$U$10000,"&lt;=100"))</f>
        <v/>
      </c>
      <c r="D114" s="10" t="str">
        <f>IF(OR($A114="",C114=0),"",ROUND(SUMIFS(Evaluations!$U$3:$U$10000,Evaluations!$G$3:$G$10000,$A114)/C114,2))</f>
        <v/>
      </c>
      <c r="E114" s="10" t="str">
        <f>IF($A114="","",COUNTIFS(Evaluations!$G$3:$G$10000,$A114,Evaluations!$M$3:$M$10000,"پاسخ داده شده"))</f>
        <v/>
      </c>
      <c r="F114" s="10" t="str">
        <f>IF($A114="","",IFERROR(COUNTIFS(Evaluations!$G$3:$G$10000,$A114,Evaluations!$O$3:$O$10000,"رعایت شده")/(COUNTIFS(Evaluations!$G$3:$G$10000,$A114,Evaluations!$O$3:$O$10000,"رعایت شده")+COUNTIFS(Evaluations!$G$3:$G$10000,$A114,Evaluations!$O$3:$O$10000,"رعایت نشده")),""))</f>
        <v/>
      </c>
      <c r="G114" s="10" t="str">
        <f>IF($A114="","",IFERROR(ROUND(100*COUNTIFS(Evaluations!$G$3:$G$10000,$A114,Evaluations!$Q$3:$Q$10000,1)/(COUNTIFS(Evaluations!$G$3:$G$10000,$A114,Evaluations!$Q$3:$Q$10000,1)+COUNTIFS(Evaluations!$G$3:$G$10000,$A114,Evaluations!$Q$3:$Q$10000,0)),2),""))</f>
        <v/>
      </c>
      <c r="H114" s="10" t="str">
        <f>IF($A114="","",IFERROR(ROUND(100*COUNTIFS(Evaluations!$G$3:$G$10000,$A114,Evaluations!$R$3:$R$10000,1)/(COUNTIFS(Evaluations!$G$3:$G$10000,$A114,Evaluations!$R$3:$R$10000,1)+COUNTIFS(Evaluations!$G$3:$G$10000,$A114,Evaluations!$R$3:$R$10000,0)),2),""))</f>
        <v/>
      </c>
      <c r="I114" s="10" t="str">
        <f>IF($A114="","",IFERROR(ROUND(100*COUNTIFS(Evaluations!$G$3:$G$10000,$A114,Evaluations!$S$3:$S$10000,1)/(COUNTIFS(Evaluations!$G$3:$G$10000,$A114,Evaluations!$S$3:$S$10000,1)+COUNTIFS(Evaluations!$G$3:$G$10000,$A114,Evaluations!$S$3:$S$10000,0)),2),""))</f>
        <v/>
      </c>
      <c r="J114" s="10" t="str">
        <f>IF($A114="","",IFERROR(ROUND(100*COUNTIFS(Evaluations!$G$3:$G$10000,$A114,Evaluations!$T$3:$T$10000,1)/(COUNTIFS(Evaluations!$G$3:$G$10000,$A114,Evaluations!$T$3:$T$10000,1)+COUNTIFS(Evaluations!$G$3:$G$10000,$A114,Evaluations!$T$3:$T$10000,0)),2),""))</f>
        <v/>
      </c>
      <c r="K114" s="10" t="str">
        <f>IF($A114="","",COUNTIFS(Evaluations!$G$3:$G$10000,$A114,Evaluations!$M$3:$M$10000,"عدم پاسخ"))</f>
        <v/>
      </c>
      <c r="L114" s="10" t="str">
        <f>IF($A114="","",COUNTIFS(Evaluations!$G$3:$G$10000,$A114,Evaluations!$O$3:$O$10000,"رعایت نشده"))</f>
        <v/>
      </c>
    </row>
    <row r="115">
      <c r="A115" s="10"/>
      <c r="B115" s="10" t="str">
        <f t="array" ref="B115">_xlfn.XLOOKUP(A115,DATA!D:D,DATA!E:E,"")</f>
        <v/>
      </c>
      <c r="C115" s="10" t="str">
        <f>IF($A115="","",COUNTIFS(Evaluations!$G$3:$G$10000,$A115,Evaluations!$U$3:$U$10000,"&gt;=0",Evaluations!$U$3:$U$10000,"&lt;=100"))</f>
        <v/>
      </c>
      <c r="D115" s="10" t="str">
        <f>IF(OR($A115="",C115=0),"",ROUND(SUMIFS(Evaluations!$U$3:$U$10000,Evaluations!$G$3:$G$10000,$A115)/C115,2))</f>
        <v/>
      </c>
      <c r="E115" s="10" t="str">
        <f>IF($A115="","",COUNTIFS(Evaluations!$G$3:$G$10000,$A115,Evaluations!$M$3:$M$10000,"پاسخ داده شده"))</f>
        <v/>
      </c>
      <c r="F115" s="10" t="str">
        <f>IF($A115="","",IFERROR(COUNTIFS(Evaluations!$G$3:$G$10000,$A115,Evaluations!$O$3:$O$10000,"رعایت شده")/(COUNTIFS(Evaluations!$G$3:$G$10000,$A115,Evaluations!$O$3:$O$10000,"رعایت شده")+COUNTIFS(Evaluations!$G$3:$G$10000,$A115,Evaluations!$O$3:$O$10000,"رعایت نشده")),""))</f>
        <v/>
      </c>
      <c r="G115" s="10" t="str">
        <f>IF($A115="","",IFERROR(ROUND(100*COUNTIFS(Evaluations!$G$3:$G$10000,$A115,Evaluations!$Q$3:$Q$10000,1)/(COUNTIFS(Evaluations!$G$3:$G$10000,$A115,Evaluations!$Q$3:$Q$10000,1)+COUNTIFS(Evaluations!$G$3:$G$10000,$A115,Evaluations!$Q$3:$Q$10000,0)),2),""))</f>
        <v/>
      </c>
      <c r="H115" s="10" t="str">
        <f>IF($A115="","",IFERROR(ROUND(100*COUNTIFS(Evaluations!$G$3:$G$10000,$A115,Evaluations!$R$3:$R$10000,1)/(COUNTIFS(Evaluations!$G$3:$G$10000,$A115,Evaluations!$R$3:$R$10000,1)+COUNTIFS(Evaluations!$G$3:$G$10000,$A115,Evaluations!$R$3:$R$10000,0)),2),""))</f>
        <v/>
      </c>
      <c r="I115" s="10" t="str">
        <f>IF($A115="","",IFERROR(ROUND(100*COUNTIFS(Evaluations!$G$3:$G$10000,$A115,Evaluations!$S$3:$S$10000,1)/(COUNTIFS(Evaluations!$G$3:$G$10000,$A115,Evaluations!$S$3:$S$10000,1)+COUNTIFS(Evaluations!$G$3:$G$10000,$A115,Evaluations!$S$3:$S$10000,0)),2),""))</f>
        <v/>
      </c>
      <c r="J115" s="10" t="str">
        <f>IF($A115="","",IFERROR(ROUND(100*COUNTIFS(Evaluations!$G$3:$G$10000,$A115,Evaluations!$T$3:$T$10000,1)/(COUNTIFS(Evaluations!$G$3:$G$10000,$A115,Evaluations!$T$3:$T$10000,1)+COUNTIFS(Evaluations!$G$3:$G$10000,$A115,Evaluations!$T$3:$T$10000,0)),2),""))</f>
        <v/>
      </c>
      <c r="K115" s="10" t="str">
        <f>IF($A115="","",COUNTIFS(Evaluations!$G$3:$G$10000,$A115,Evaluations!$M$3:$M$10000,"عدم پاسخ"))</f>
        <v/>
      </c>
      <c r="L115" s="10" t="str">
        <f>IF($A115="","",COUNTIFS(Evaluations!$G$3:$G$10000,$A115,Evaluations!$O$3:$O$10000,"رعایت نشده"))</f>
        <v/>
      </c>
    </row>
    <row r="116">
      <c r="A116" s="10"/>
      <c r="B116" s="10" t="str">
        <f t="array" ref="B116">_xlfn.XLOOKUP(A116,DATA!D:D,DATA!E:E,"")</f>
        <v/>
      </c>
      <c r="C116" s="10" t="str">
        <f>IF($A116="","",COUNTIFS(Evaluations!$G$3:$G$10000,$A116,Evaluations!$U$3:$U$10000,"&gt;=0",Evaluations!$U$3:$U$10000,"&lt;=100"))</f>
        <v/>
      </c>
      <c r="D116" s="10" t="str">
        <f>IF(OR($A116="",C116=0),"",ROUND(SUMIFS(Evaluations!$U$3:$U$10000,Evaluations!$G$3:$G$10000,$A116)/C116,2))</f>
        <v/>
      </c>
      <c r="E116" s="10" t="str">
        <f>IF($A116="","",COUNTIFS(Evaluations!$G$3:$G$10000,$A116,Evaluations!$M$3:$M$10000,"پاسخ داده شده"))</f>
        <v/>
      </c>
      <c r="F116" s="10" t="str">
        <f>IF($A116="","",IFERROR(COUNTIFS(Evaluations!$G$3:$G$10000,$A116,Evaluations!$O$3:$O$10000,"رعایت شده")/(COUNTIFS(Evaluations!$G$3:$G$10000,$A116,Evaluations!$O$3:$O$10000,"رعایت شده")+COUNTIFS(Evaluations!$G$3:$G$10000,$A116,Evaluations!$O$3:$O$10000,"رعایت نشده")),""))</f>
        <v/>
      </c>
      <c r="G116" s="10" t="str">
        <f>IF($A116="","",IFERROR(ROUND(100*COUNTIFS(Evaluations!$G$3:$G$10000,$A116,Evaluations!$Q$3:$Q$10000,1)/(COUNTIFS(Evaluations!$G$3:$G$10000,$A116,Evaluations!$Q$3:$Q$10000,1)+COUNTIFS(Evaluations!$G$3:$G$10000,$A116,Evaluations!$Q$3:$Q$10000,0)),2),""))</f>
        <v/>
      </c>
      <c r="H116" s="10" t="str">
        <f>IF($A116="","",IFERROR(ROUND(100*COUNTIFS(Evaluations!$G$3:$G$10000,$A116,Evaluations!$R$3:$R$10000,1)/(COUNTIFS(Evaluations!$G$3:$G$10000,$A116,Evaluations!$R$3:$R$10000,1)+COUNTIFS(Evaluations!$G$3:$G$10000,$A116,Evaluations!$R$3:$R$10000,0)),2),""))</f>
        <v/>
      </c>
      <c r="I116" s="10" t="str">
        <f>IF($A116="","",IFERROR(ROUND(100*COUNTIFS(Evaluations!$G$3:$G$10000,$A116,Evaluations!$S$3:$S$10000,1)/(COUNTIFS(Evaluations!$G$3:$G$10000,$A116,Evaluations!$S$3:$S$10000,1)+COUNTIFS(Evaluations!$G$3:$G$10000,$A116,Evaluations!$S$3:$S$10000,0)),2),""))</f>
        <v/>
      </c>
      <c r="J116" s="10" t="str">
        <f>IF($A116="","",IFERROR(ROUND(100*COUNTIFS(Evaluations!$G$3:$G$10000,$A116,Evaluations!$T$3:$T$10000,1)/(COUNTIFS(Evaluations!$G$3:$G$10000,$A116,Evaluations!$T$3:$T$10000,1)+COUNTIFS(Evaluations!$G$3:$G$10000,$A116,Evaluations!$T$3:$T$10000,0)),2),""))</f>
        <v/>
      </c>
      <c r="K116" s="10" t="str">
        <f>IF($A116="","",COUNTIFS(Evaluations!$G$3:$G$10000,$A116,Evaluations!$M$3:$M$10000,"عدم پاسخ"))</f>
        <v/>
      </c>
      <c r="L116" s="10" t="str">
        <f>IF($A116="","",COUNTIFS(Evaluations!$G$3:$G$10000,$A116,Evaluations!$O$3:$O$10000,"رعایت نشده"))</f>
        <v/>
      </c>
    </row>
    <row r="117">
      <c r="A117" s="10"/>
      <c r="B117" s="10" t="str">
        <f t="array" ref="B117">_xlfn.XLOOKUP(A117,DATA!D:D,DATA!E:E,"")</f>
        <v/>
      </c>
      <c r="C117" s="10" t="str">
        <f>IF($A117="","",COUNTIFS(Evaluations!$G$3:$G$10000,$A117,Evaluations!$U$3:$U$10000,"&gt;=0",Evaluations!$U$3:$U$10000,"&lt;=100"))</f>
        <v/>
      </c>
      <c r="D117" s="10" t="str">
        <f>IF(OR($A117="",C117=0),"",ROUND(SUMIFS(Evaluations!$U$3:$U$10000,Evaluations!$G$3:$G$10000,$A117)/C117,2))</f>
        <v/>
      </c>
      <c r="E117" s="10" t="str">
        <f>IF($A117="","",COUNTIFS(Evaluations!$G$3:$G$10000,$A117,Evaluations!$M$3:$M$10000,"پاسخ داده شده"))</f>
        <v/>
      </c>
      <c r="F117" s="10" t="str">
        <f>IF($A117="","",IFERROR(COUNTIFS(Evaluations!$G$3:$G$10000,$A117,Evaluations!$O$3:$O$10000,"رعایت شده")/(COUNTIFS(Evaluations!$G$3:$G$10000,$A117,Evaluations!$O$3:$O$10000,"رعایت شده")+COUNTIFS(Evaluations!$G$3:$G$10000,$A117,Evaluations!$O$3:$O$10000,"رعایت نشده")),""))</f>
        <v/>
      </c>
      <c r="G117" s="10" t="str">
        <f>IF($A117="","",IFERROR(ROUND(100*COUNTIFS(Evaluations!$G$3:$G$10000,$A117,Evaluations!$Q$3:$Q$10000,1)/(COUNTIFS(Evaluations!$G$3:$G$10000,$A117,Evaluations!$Q$3:$Q$10000,1)+COUNTIFS(Evaluations!$G$3:$G$10000,$A117,Evaluations!$Q$3:$Q$10000,0)),2),""))</f>
        <v/>
      </c>
      <c r="H117" s="10" t="str">
        <f>IF($A117="","",IFERROR(ROUND(100*COUNTIFS(Evaluations!$G$3:$G$10000,$A117,Evaluations!$R$3:$R$10000,1)/(COUNTIFS(Evaluations!$G$3:$G$10000,$A117,Evaluations!$R$3:$R$10000,1)+COUNTIFS(Evaluations!$G$3:$G$10000,$A117,Evaluations!$R$3:$R$10000,0)),2),""))</f>
        <v/>
      </c>
      <c r="I117" s="10" t="str">
        <f>IF($A117="","",IFERROR(ROUND(100*COUNTIFS(Evaluations!$G$3:$G$10000,$A117,Evaluations!$S$3:$S$10000,1)/(COUNTIFS(Evaluations!$G$3:$G$10000,$A117,Evaluations!$S$3:$S$10000,1)+COUNTIFS(Evaluations!$G$3:$G$10000,$A117,Evaluations!$S$3:$S$10000,0)),2),""))</f>
        <v/>
      </c>
      <c r="J117" s="10" t="str">
        <f>IF($A117="","",IFERROR(ROUND(100*COUNTIFS(Evaluations!$G$3:$G$10000,$A117,Evaluations!$T$3:$T$10000,1)/(COUNTIFS(Evaluations!$G$3:$G$10000,$A117,Evaluations!$T$3:$T$10000,1)+COUNTIFS(Evaluations!$G$3:$G$10000,$A117,Evaluations!$T$3:$T$10000,0)),2),""))</f>
        <v/>
      </c>
      <c r="K117" s="10" t="str">
        <f>IF($A117="","",COUNTIFS(Evaluations!$G$3:$G$10000,$A117,Evaluations!$M$3:$M$10000,"عدم پاسخ"))</f>
        <v/>
      </c>
      <c r="L117" s="10" t="str">
        <f>IF($A117="","",COUNTIFS(Evaluations!$G$3:$G$10000,$A117,Evaluations!$O$3:$O$10000,"رعایت نشده"))</f>
        <v/>
      </c>
    </row>
    <row r="118">
      <c r="A118" s="10"/>
      <c r="B118" s="10" t="str">
        <f t="array" ref="B118">_xlfn.XLOOKUP(A118,DATA!D:D,DATA!E:E,"")</f>
        <v/>
      </c>
      <c r="C118" s="10" t="str">
        <f>IF($A118="","",COUNTIFS(Evaluations!$G$3:$G$10000,$A118,Evaluations!$U$3:$U$10000,"&gt;=0",Evaluations!$U$3:$U$10000,"&lt;=100"))</f>
        <v/>
      </c>
      <c r="D118" s="10" t="str">
        <f>IF(OR($A118="",C118=0),"",ROUND(SUMIFS(Evaluations!$U$3:$U$10000,Evaluations!$G$3:$G$10000,$A118)/C118,2))</f>
        <v/>
      </c>
      <c r="E118" s="10" t="str">
        <f>IF($A118="","",COUNTIFS(Evaluations!$G$3:$G$10000,$A118,Evaluations!$M$3:$M$10000,"پاسخ داده شده"))</f>
        <v/>
      </c>
      <c r="F118" s="10" t="str">
        <f>IF($A118="","",IFERROR(COUNTIFS(Evaluations!$G$3:$G$10000,$A118,Evaluations!$O$3:$O$10000,"رعایت شده")/(COUNTIFS(Evaluations!$G$3:$G$10000,$A118,Evaluations!$O$3:$O$10000,"رعایت شده")+COUNTIFS(Evaluations!$G$3:$G$10000,$A118,Evaluations!$O$3:$O$10000,"رعایت نشده")),""))</f>
        <v/>
      </c>
      <c r="G118" s="10" t="str">
        <f>IF($A118="","",IFERROR(ROUND(100*COUNTIFS(Evaluations!$G$3:$G$10000,$A118,Evaluations!$Q$3:$Q$10000,1)/(COUNTIFS(Evaluations!$G$3:$G$10000,$A118,Evaluations!$Q$3:$Q$10000,1)+COUNTIFS(Evaluations!$G$3:$G$10000,$A118,Evaluations!$Q$3:$Q$10000,0)),2),""))</f>
        <v/>
      </c>
      <c r="H118" s="10" t="str">
        <f>IF($A118="","",IFERROR(ROUND(100*COUNTIFS(Evaluations!$G$3:$G$10000,$A118,Evaluations!$R$3:$R$10000,1)/(COUNTIFS(Evaluations!$G$3:$G$10000,$A118,Evaluations!$R$3:$R$10000,1)+COUNTIFS(Evaluations!$G$3:$G$10000,$A118,Evaluations!$R$3:$R$10000,0)),2),""))</f>
        <v/>
      </c>
      <c r="I118" s="10" t="str">
        <f>IF($A118="","",IFERROR(ROUND(100*COUNTIFS(Evaluations!$G$3:$G$10000,$A118,Evaluations!$S$3:$S$10000,1)/(COUNTIFS(Evaluations!$G$3:$G$10000,$A118,Evaluations!$S$3:$S$10000,1)+COUNTIFS(Evaluations!$G$3:$G$10000,$A118,Evaluations!$S$3:$S$10000,0)),2),""))</f>
        <v/>
      </c>
      <c r="J118" s="10" t="str">
        <f>IF($A118="","",IFERROR(ROUND(100*COUNTIFS(Evaluations!$G$3:$G$10000,$A118,Evaluations!$T$3:$T$10000,1)/(COUNTIFS(Evaluations!$G$3:$G$10000,$A118,Evaluations!$T$3:$T$10000,1)+COUNTIFS(Evaluations!$G$3:$G$10000,$A118,Evaluations!$T$3:$T$10000,0)),2),""))</f>
        <v/>
      </c>
      <c r="K118" s="10" t="str">
        <f>IF($A118="","",COUNTIFS(Evaluations!$G$3:$G$10000,$A118,Evaluations!$M$3:$M$10000,"عدم پاسخ"))</f>
        <v/>
      </c>
      <c r="L118" s="10" t="str">
        <f>IF($A118="","",COUNTIFS(Evaluations!$G$3:$G$10000,$A118,Evaluations!$O$3:$O$10000,"رعایت نشده"))</f>
        <v/>
      </c>
    </row>
    <row r="119">
      <c r="A119" s="10"/>
      <c r="B119" s="10" t="str">
        <f t="array" ref="B119">_xlfn.XLOOKUP(A119,DATA!D:D,DATA!E:E,"")</f>
        <v/>
      </c>
      <c r="C119" s="10" t="str">
        <f>IF($A119="","",COUNTIFS(Evaluations!$G$3:$G$10000,$A119,Evaluations!$U$3:$U$10000,"&gt;=0",Evaluations!$U$3:$U$10000,"&lt;=100"))</f>
        <v/>
      </c>
      <c r="D119" s="10" t="str">
        <f>IF(OR($A119="",C119=0),"",ROUND(SUMIFS(Evaluations!$U$3:$U$10000,Evaluations!$G$3:$G$10000,$A119)/C119,2))</f>
        <v/>
      </c>
      <c r="E119" s="10" t="str">
        <f>IF($A119="","",COUNTIFS(Evaluations!$G$3:$G$10000,$A119,Evaluations!$M$3:$M$10000,"پاسخ داده شده"))</f>
        <v/>
      </c>
      <c r="F119" s="10" t="str">
        <f>IF($A119="","",IFERROR(COUNTIFS(Evaluations!$G$3:$G$10000,$A119,Evaluations!$O$3:$O$10000,"رعایت شده")/(COUNTIFS(Evaluations!$G$3:$G$10000,$A119,Evaluations!$O$3:$O$10000,"رعایت شده")+COUNTIFS(Evaluations!$G$3:$G$10000,$A119,Evaluations!$O$3:$O$10000,"رعایت نشده")),""))</f>
        <v/>
      </c>
      <c r="G119" s="10" t="str">
        <f>IF($A119="","",IFERROR(ROUND(100*COUNTIFS(Evaluations!$G$3:$G$10000,$A119,Evaluations!$Q$3:$Q$10000,1)/(COUNTIFS(Evaluations!$G$3:$G$10000,$A119,Evaluations!$Q$3:$Q$10000,1)+COUNTIFS(Evaluations!$G$3:$G$10000,$A119,Evaluations!$Q$3:$Q$10000,0)),2),""))</f>
        <v/>
      </c>
      <c r="H119" s="10" t="str">
        <f>IF($A119="","",IFERROR(ROUND(100*COUNTIFS(Evaluations!$G$3:$G$10000,$A119,Evaluations!$R$3:$R$10000,1)/(COUNTIFS(Evaluations!$G$3:$G$10000,$A119,Evaluations!$R$3:$R$10000,1)+COUNTIFS(Evaluations!$G$3:$G$10000,$A119,Evaluations!$R$3:$R$10000,0)),2),""))</f>
        <v/>
      </c>
      <c r="I119" s="10" t="str">
        <f>IF($A119="","",IFERROR(ROUND(100*COUNTIFS(Evaluations!$G$3:$G$10000,$A119,Evaluations!$S$3:$S$10000,1)/(COUNTIFS(Evaluations!$G$3:$G$10000,$A119,Evaluations!$S$3:$S$10000,1)+COUNTIFS(Evaluations!$G$3:$G$10000,$A119,Evaluations!$S$3:$S$10000,0)),2),""))</f>
        <v/>
      </c>
      <c r="J119" s="10" t="str">
        <f>IF($A119="","",IFERROR(ROUND(100*COUNTIFS(Evaluations!$G$3:$G$10000,$A119,Evaluations!$T$3:$T$10000,1)/(COUNTIFS(Evaluations!$G$3:$G$10000,$A119,Evaluations!$T$3:$T$10000,1)+COUNTIFS(Evaluations!$G$3:$G$10000,$A119,Evaluations!$T$3:$T$10000,0)),2),""))</f>
        <v/>
      </c>
      <c r="K119" s="10" t="str">
        <f>IF($A119="","",COUNTIFS(Evaluations!$G$3:$G$10000,$A119,Evaluations!$M$3:$M$10000,"عدم پاسخ"))</f>
        <v/>
      </c>
      <c r="L119" s="10" t="str">
        <f>IF($A119="","",COUNTIFS(Evaluations!$G$3:$G$10000,$A119,Evaluations!$O$3:$O$10000,"رعایت نشده"))</f>
        <v/>
      </c>
    </row>
    <row r="120">
      <c r="A120" s="10"/>
      <c r="B120" s="10" t="str">
        <f t="array" ref="B120">_xlfn.XLOOKUP(A120,DATA!D:D,DATA!E:E,"")</f>
        <v/>
      </c>
      <c r="C120" s="10" t="str">
        <f>IF($A120="","",COUNTIFS(Evaluations!$G$3:$G$10000,$A120,Evaluations!$U$3:$U$10000,"&gt;=0",Evaluations!$U$3:$U$10000,"&lt;=100"))</f>
        <v/>
      </c>
      <c r="D120" s="10" t="str">
        <f>IF(OR($A120="",C120=0),"",ROUND(SUMIFS(Evaluations!$U$3:$U$10000,Evaluations!$G$3:$G$10000,$A120)/C120,2))</f>
        <v/>
      </c>
      <c r="E120" s="10" t="str">
        <f>IF($A120="","",COUNTIFS(Evaluations!$G$3:$G$10000,$A120,Evaluations!$M$3:$M$10000,"پاسخ داده شده"))</f>
        <v/>
      </c>
      <c r="F120" s="10" t="str">
        <f>IF($A120="","",IFERROR(COUNTIFS(Evaluations!$G$3:$G$10000,$A120,Evaluations!$O$3:$O$10000,"رعایت شده")/(COUNTIFS(Evaluations!$G$3:$G$10000,$A120,Evaluations!$O$3:$O$10000,"رعایت شده")+COUNTIFS(Evaluations!$G$3:$G$10000,$A120,Evaluations!$O$3:$O$10000,"رعایت نشده")),""))</f>
        <v/>
      </c>
      <c r="G120" s="10" t="str">
        <f>IF($A120="","",IFERROR(ROUND(100*COUNTIFS(Evaluations!$G$3:$G$10000,$A120,Evaluations!$Q$3:$Q$10000,1)/(COUNTIFS(Evaluations!$G$3:$G$10000,$A120,Evaluations!$Q$3:$Q$10000,1)+COUNTIFS(Evaluations!$G$3:$G$10000,$A120,Evaluations!$Q$3:$Q$10000,0)),2),""))</f>
        <v/>
      </c>
      <c r="H120" s="10" t="str">
        <f>IF($A120="","",IFERROR(ROUND(100*COUNTIFS(Evaluations!$G$3:$G$10000,$A120,Evaluations!$R$3:$R$10000,1)/(COUNTIFS(Evaluations!$G$3:$G$10000,$A120,Evaluations!$R$3:$R$10000,1)+COUNTIFS(Evaluations!$G$3:$G$10000,$A120,Evaluations!$R$3:$R$10000,0)),2),""))</f>
        <v/>
      </c>
      <c r="I120" s="10" t="str">
        <f>IF($A120="","",IFERROR(ROUND(100*COUNTIFS(Evaluations!$G$3:$G$10000,$A120,Evaluations!$S$3:$S$10000,1)/(COUNTIFS(Evaluations!$G$3:$G$10000,$A120,Evaluations!$S$3:$S$10000,1)+COUNTIFS(Evaluations!$G$3:$G$10000,$A120,Evaluations!$S$3:$S$10000,0)),2),""))</f>
        <v/>
      </c>
      <c r="J120" s="10" t="str">
        <f>IF($A120="","",IFERROR(ROUND(100*COUNTIFS(Evaluations!$G$3:$G$10000,$A120,Evaluations!$T$3:$T$10000,1)/(COUNTIFS(Evaluations!$G$3:$G$10000,$A120,Evaluations!$T$3:$T$10000,1)+COUNTIFS(Evaluations!$G$3:$G$10000,$A120,Evaluations!$T$3:$T$10000,0)),2),""))</f>
        <v/>
      </c>
      <c r="K120" s="10" t="str">
        <f>IF($A120="","",COUNTIFS(Evaluations!$G$3:$G$10000,$A120,Evaluations!$M$3:$M$10000,"عدم پاسخ"))</f>
        <v/>
      </c>
      <c r="L120" s="10" t="str">
        <f>IF($A120="","",COUNTIFS(Evaluations!$G$3:$G$10000,$A120,Evaluations!$O$3:$O$10000,"رعایت نشده"))</f>
        <v/>
      </c>
    </row>
    <row r="121">
      <c r="A121" s="10"/>
      <c r="B121" s="10" t="str">
        <f t="array" ref="B121">_xlfn.XLOOKUP(A121,DATA!D:D,DATA!E:E,"")</f>
        <v/>
      </c>
      <c r="C121" s="10" t="str">
        <f>IF($A121="","",COUNTIFS(Evaluations!$G$3:$G$10000,$A121,Evaluations!$U$3:$U$10000,"&gt;=0",Evaluations!$U$3:$U$10000,"&lt;=100"))</f>
        <v/>
      </c>
      <c r="D121" s="10" t="str">
        <f>IF(OR($A121="",C121=0),"",ROUND(SUMIFS(Evaluations!$U$3:$U$10000,Evaluations!$G$3:$G$10000,$A121)/C121,2))</f>
        <v/>
      </c>
      <c r="E121" s="10" t="str">
        <f>IF($A121="","",COUNTIFS(Evaluations!$G$3:$G$10000,$A121,Evaluations!$M$3:$M$10000,"پاسخ داده شده"))</f>
        <v/>
      </c>
      <c r="F121" s="10" t="str">
        <f>IF($A121="","",IFERROR(COUNTIFS(Evaluations!$G$3:$G$10000,$A121,Evaluations!$O$3:$O$10000,"رعایت شده")/(COUNTIFS(Evaluations!$G$3:$G$10000,$A121,Evaluations!$O$3:$O$10000,"رعایت شده")+COUNTIFS(Evaluations!$G$3:$G$10000,$A121,Evaluations!$O$3:$O$10000,"رعایت نشده")),""))</f>
        <v/>
      </c>
      <c r="G121" s="10" t="str">
        <f>IF($A121="","",IFERROR(ROUND(100*COUNTIFS(Evaluations!$G$3:$G$10000,$A121,Evaluations!$Q$3:$Q$10000,1)/(COUNTIFS(Evaluations!$G$3:$G$10000,$A121,Evaluations!$Q$3:$Q$10000,1)+COUNTIFS(Evaluations!$G$3:$G$10000,$A121,Evaluations!$Q$3:$Q$10000,0)),2),""))</f>
        <v/>
      </c>
      <c r="H121" s="10" t="str">
        <f>IF($A121="","",IFERROR(ROUND(100*COUNTIFS(Evaluations!$G$3:$G$10000,$A121,Evaluations!$R$3:$R$10000,1)/(COUNTIFS(Evaluations!$G$3:$G$10000,$A121,Evaluations!$R$3:$R$10000,1)+COUNTIFS(Evaluations!$G$3:$G$10000,$A121,Evaluations!$R$3:$R$10000,0)),2),""))</f>
        <v/>
      </c>
      <c r="I121" s="10" t="str">
        <f>IF($A121="","",IFERROR(ROUND(100*COUNTIFS(Evaluations!$G$3:$G$10000,$A121,Evaluations!$S$3:$S$10000,1)/(COUNTIFS(Evaluations!$G$3:$G$10000,$A121,Evaluations!$S$3:$S$10000,1)+COUNTIFS(Evaluations!$G$3:$G$10000,$A121,Evaluations!$S$3:$S$10000,0)),2),""))</f>
        <v/>
      </c>
      <c r="J121" s="10" t="str">
        <f>IF($A121="","",IFERROR(ROUND(100*COUNTIFS(Evaluations!$G$3:$G$10000,$A121,Evaluations!$T$3:$T$10000,1)/(COUNTIFS(Evaluations!$G$3:$G$10000,$A121,Evaluations!$T$3:$T$10000,1)+COUNTIFS(Evaluations!$G$3:$G$10000,$A121,Evaluations!$T$3:$T$10000,0)),2),""))</f>
        <v/>
      </c>
      <c r="K121" s="10" t="str">
        <f>IF($A121="","",COUNTIFS(Evaluations!$G$3:$G$10000,$A121,Evaluations!$M$3:$M$10000,"عدم پاسخ"))</f>
        <v/>
      </c>
      <c r="L121" s="10" t="str">
        <f>IF($A121="","",COUNTIFS(Evaluations!$G$3:$G$10000,$A121,Evaluations!$O$3:$O$10000,"رعایت نشده"))</f>
        <v/>
      </c>
    </row>
    <row r="122">
      <c r="A122" s="10"/>
      <c r="B122" s="10" t="str">
        <f t="array" ref="B122">_xlfn.XLOOKUP(A122,DATA!D:D,DATA!E:E,"")</f>
        <v/>
      </c>
      <c r="C122" s="10" t="str">
        <f>IF($A122="","",COUNTIFS(Evaluations!$G$3:$G$10000,$A122,Evaluations!$U$3:$U$10000,"&gt;=0",Evaluations!$U$3:$U$10000,"&lt;=100"))</f>
        <v/>
      </c>
      <c r="D122" s="10" t="str">
        <f>IF(OR($A122="",C122=0),"",ROUND(SUMIFS(Evaluations!$U$3:$U$10000,Evaluations!$G$3:$G$10000,$A122)/C122,2))</f>
        <v/>
      </c>
      <c r="E122" s="10" t="str">
        <f>IF($A122="","",COUNTIFS(Evaluations!$G$3:$G$10000,$A122,Evaluations!$M$3:$M$10000,"پاسخ داده شده"))</f>
        <v/>
      </c>
      <c r="F122" s="10" t="str">
        <f>IF($A122="","",IFERROR(COUNTIFS(Evaluations!$G$3:$G$10000,$A122,Evaluations!$O$3:$O$10000,"رعایت شده")/(COUNTIFS(Evaluations!$G$3:$G$10000,$A122,Evaluations!$O$3:$O$10000,"رعایت شده")+COUNTIFS(Evaluations!$G$3:$G$10000,$A122,Evaluations!$O$3:$O$10000,"رعایت نشده")),""))</f>
        <v/>
      </c>
      <c r="G122" s="10" t="str">
        <f>IF($A122="","",IFERROR(ROUND(100*COUNTIFS(Evaluations!$G$3:$G$10000,$A122,Evaluations!$Q$3:$Q$10000,1)/(COUNTIFS(Evaluations!$G$3:$G$10000,$A122,Evaluations!$Q$3:$Q$10000,1)+COUNTIFS(Evaluations!$G$3:$G$10000,$A122,Evaluations!$Q$3:$Q$10000,0)),2),""))</f>
        <v/>
      </c>
      <c r="H122" s="10" t="str">
        <f>IF($A122="","",IFERROR(ROUND(100*COUNTIFS(Evaluations!$G$3:$G$10000,$A122,Evaluations!$R$3:$R$10000,1)/(COUNTIFS(Evaluations!$G$3:$G$10000,$A122,Evaluations!$R$3:$R$10000,1)+COUNTIFS(Evaluations!$G$3:$G$10000,$A122,Evaluations!$R$3:$R$10000,0)),2),""))</f>
        <v/>
      </c>
      <c r="I122" s="10" t="str">
        <f>IF($A122="","",IFERROR(ROUND(100*COUNTIFS(Evaluations!$G$3:$G$10000,$A122,Evaluations!$S$3:$S$10000,1)/(COUNTIFS(Evaluations!$G$3:$G$10000,$A122,Evaluations!$S$3:$S$10000,1)+COUNTIFS(Evaluations!$G$3:$G$10000,$A122,Evaluations!$S$3:$S$10000,0)),2),""))</f>
        <v/>
      </c>
      <c r="J122" s="10" t="str">
        <f>IF($A122="","",IFERROR(ROUND(100*COUNTIFS(Evaluations!$G$3:$G$10000,$A122,Evaluations!$T$3:$T$10000,1)/(COUNTIFS(Evaluations!$G$3:$G$10000,$A122,Evaluations!$T$3:$T$10000,1)+COUNTIFS(Evaluations!$G$3:$G$10000,$A122,Evaluations!$T$3:$T$10000,0)),2),""))</f>
        <v/>
      </c>
      <c r="K122" s="10" t="str">
        <f>IF($A122="","",COUNTIFS(Evaluations!$G$3:$G$10000,$A122,Evaluations!$M$3:$M$10000,"عدم پاسخ"))</f>
        <v/>
      </c>
      <c r="L122" s="10" t="str">
        <f>IF($A122="","",COUNTIFS(Evaluations!$G$3:$G$10000,$A122,Evaluations!$O$3:$O$10000,"رعایت نشده"))</f>
        <v/>
      </c>
    </row>
    <row r="123">
      <c r="A123" s="10"/>
      <c r="B123" s="10" t="str">
        <f t="array" ref="B123">_xlfn.XLOOKUP(A123,DATA!D:D,DATA!E:E,"")</f>
        <v/>
      </c>
      <c r="C123" s="10" t="str">
        <f>IF($A123="","",COUNTIFS(Evaluations!$G$3:$G$10000,$A123,Evaluations!$U$3:$U$10000,"&gt;=0",Evaluations!$U$3:$U$10000,"&lt;=100"))</f>
        <v/>
      </c>
      <c r="D123" s="10" t="str">
        <f>IF(OR($A123="",C123=0),"",ROUND(SUMIFS(Evaluations!$U$3:$U$10000,Evaluations!$G$3:$G$10000,$A123)/C123,2))</f>
        <v/>
      </c>
      <c r="E123" s="10" t="str">
        <f>IF($A123="","",COUNTIFS(Evaluations!$G$3:$G$10000,$A123,Evaluations!$M$3:$M$10000,"پاسخ داده شده"))</f>
        <v/>
      </c>
      <c r="F123" s="10" t="str">
        <f>IF($A123="","",IFERROR(COUNTIFS(Evaluations!$G$3:$G$10000,$A123,Evaluations!$O$3:$O$10000,"رعایت شده")/(COUNTIFS(Evaluations!$G$3:$G$10000,$A123,Evaluations!$O$3:$O$10000,"رعایت شده")+COUNTIFS(Evaluations!$G$3:$G$10000,$A123,Evaluations!$O$3:$O$10000,"رعایت نشده")),""))</f>
        <v/>
      </c>
      <c r="G123" s="10" t="str">
        <f>IF($A123="","",IFERROR(ROUND(100*COUNTIFS(Evaluations!$G$3:$G$10000,$A123,Evaluations!$Q$3:$Q$10000,1)/(COUNTIFS(Evaluations!$G$3:$G$10000,$A123,Evaluations!$Q$3:$Q$10000,1)+COUNTIFS(Evaluations!$G$3:$G$10000,$A123,Evaluations!$Q$3:$Q$10000,0)),2),""))</f>
        <v/>
      </c>
      <c r="H123" s="10" t="str">
        <f>IF($A123="","",IFERROR(ROUND(100*COUNTIFS(Evaluations!$G$3:$G$10000,$A123,Evaluations!$R$3:$R$10000,1)/(COUNTIFS(Evaluations!$G$3:$G$10000,$A123,Evaluations!$R$3:$R$10000,1)+COUNTIFS(Evaluations!$G$3:$G$10000,$A123,Evaluations!$R$3:$R$10000,0)),2),""))</f>
        <v/>
      </c>
      <c r="I123" s="10" t="str">
        <f>IF($A123="","",IFERROR(ROUND(100*COUNTIFS(Evaluations!$G$3:$G$10000,$A123,Evaluations!$S$3:$S$10000,1)/(COUNTIFS(Evaluations!$G$3:$G$10000,$A123,Evaluations!$S$3:$S$10000,1)+COUNTIFS(Evaluations!$G$3:$G$10000,$A123,Evaluations!$S$3:$S$10000,0)),2),""))</f>
        <v/>
      </c>
      <c r="J123" s="10" t="str">
        <f>IF($A123="","",IFERROR(ROUND(100*COUNTIFS(Evaluations!$G$3:$G$10000,$A123,Evaluations!$T$3:$T$10000,1)/(COUNTIFS(Evaluations!$G$3:$G$10000,$A123,Evaluations!$T$3:$T$10000,1)+COUNTIFS(Evaluations!$G$3:$G$10000,$A123,Evaluations!$T$3:$T$10000,0)),2),""))</f>
        <v/>
      </c>
      <c r="K123" s="10" t="str">
        <f>IF($A123="","",COUNTIFS(Evaluations!$G$3:$G$10000,$A123,Evaluations!$M$3:$M$10000,"عدم پاسخ"))</f>
        <v/>
      </c>
      <c r="L123" s="10" t="str">
        <f>IF($A123="","",COUNTIFS(Evaluations!$G$3:$G$10000,$A123,Evaluations!$O$3:$O$10000,"رعایت نشده"))</f>
        <v/>
      </c>
    </row>
    <row r="124">
      <c r="A124" s="10"/>
      <c r="B124" s="10" t="str">
        <f t="array" ref="B124">_xlfn.XLOOKUP(A124,DATA!D:D,DATA!E:E,"")</f>
        <v/>
      </c>
      <c r="C124" s="10" t="str">
        <f>IF($A124="","",COUNTIFS(Evaluations!$G$3:$G$10000,$A124,Evaluations!$U$3:$U$10000,"&gt;=0",Evaluations!$U$3:$U$10000,"&lt;=100"))</f>
        <v/>
      </c>
      <c r="D124" s="10" t="str">
        <f>IF(OR($A124="",C124=0),"",ROUND(SUMIFS(Evaluations!$U$3:$U$10000,Evaluations!$G$3:$G$10000,$A124)/C124,2))</f>
        <v/>
      </c>
      <c r="E124" s="10" t="str">
        <f>IF($A124="","",COUNTIFS(Evaluations!$G$3:$G$10000,$A124,Evaluations!$M$3:$M$10000,"پاسخ داده شده"))</f>
        <v/>
      </c>
      <c r="F124" s="10" t="str">
        <f>IF($A124="","",IFERROR(COUNTIFS(Evaluations!$G$3:$G$10000,$A124,Evaluations!$O$3:$O$10000,"رعایت شده")/(COUNTIFS(Evaluations!$G$3:$G$10000,$A124,Evaluations!$O$3:$O$10000,"رعایت شده")+COUNTIFS(Evaluations!$G$3:$G$10000,$A124,Evaluations!$O$3:$O$10000,"رعایت نشده")),""))</f>
        <v/>
      </c>
      <c r="G124" s="10" t="str">
        <f>IF($A124="","",IFERROR(ROUND(100*COUNTIFS(Evaluations!$G$3:$G$10000,$A124,Evaluations!$Q$3:$Q$10000,1)/(COUNTIFS(Evaluations!$G$3:$G$10000,$A124,Evaluations!$Q$3:$Q$10000,1)+COUNTIFS(Evaluations!$G$3:$G$10000,$A124,Evaluations!$Q$3:$Q$10000,0)),2),""))</f>
        <v/>
      </c>
      <c r="H124" s="10" t="str">
        <f>IF($A124="","",IFERROR(ROUND(100*COUNTIFS(Evaluations!$G$3:$G$10000,$A124,Evaluations!$R$3:$R$10000,1)/(COUNTIFS(Evaluations!$G$3:$G$10000,$A124,Evaluations!$R$3:$R$10000,1)+COUNTIFS(Evaluations!$G$3:$G$10000,$A124,Evaluations!$R$3:$R$10000,0)),2),""))</f>
        <v/>
      </c>
      <c r="I124" s="10" t="str">
        <f>IF($A124="","",IFERROR(ROUND(100*COUNTIFS(Evaluations!$G$3:$G$10000,$A124,Evaluations!$S$3:$S$10000,1)/(COUNTIFS(Evaluations!$G$3:$G$10000,$A124,Evaluations!$S$3:$S$10000,1)+COUNTIFS(Evaluations!$G$3:$G$10000,$A124,Evaluations!$S$3:$S$10000,0)),2),""))</f>
        <v/>
      </c>
      <c r="J124" s="10" t="str">
        <f>IF($A124="","",IFERROR(ROUND(100*COUNTIFS(Evaluations!$G$3:$G$10000,$A124,Evaluations!$T$3:$T$10000,1)/(COUNTIFS(Evaluations!$G$3:$G$10000,$A124,Evaluations!$T$3:$T$10000,1)+COUNTIFS(Evaluations!$G$3:$G$10000,$A124,Evaluations!$T$3:$T$10000,0)),2),""))</f>
        <v/>
      </c>
      <c r="K124" s="10" t="str">
        <f>IF($A124="","",COUNTIFS(Evaluations!$G$3:$G$10000,$A124,Evaluations!$M$3:$M$10000,"عدم پاسخ"))</f>
        <v/>
      </c>
      <c r="L124" s="10" t="str">
        <f>IF($A124="","",COUNTIFS(Evaluations!$G$3:$G$10000,$A124,Evaluations!$O$3:$O$10000,"رعایت نشده"))</f>
        <v/>
      </c>
    </row>
    <row r="125">
      <c r="A125" s="10"/>
      <c r="B125" s="10" t="str">
        <f t="array" ref="B125">_xlfn.XLOOKUP(A125,DATA!D:D,DATA!E:E,"")</f>
        <v/>
      </c>
      <c r="C125" s="10" t="str">
        <f>IF($A125="","",COUNTIFS(Evaluations!$G$3:$G$10000,$A125,Evaluations!$U$3:$U$10000,"&gt;=0",Evaluations!$U$3:$U$10000,"&lt;=100"))</f>
        <v/>
      </c>
      <c r="D125" s="10" t="str">
        <f>IF(OR($A125="",C125=0),"",ROUND(SUMIFS(Evaluations!$U$3:$U$10000,Evaluations!$G$3:$G$10000,$A125)/C125,2))</f>
        <v/>
      </c>
      <c r="E125" s="10" t="str">
        <f>IF($A125="","",COUNTIFS(Evaluations!$G$3:$G$10000,$A125,Evaluations!$M$3:$M$10000,"پاسخ داده شده"))</f>
        <v/>
      </c>
      <c r="F125" s="10" t="str">
        <f>IF($A125="","",IFERROR(COUNTIFS(Evaluations!$G$3:$G$10000,$A125,Evaluations!$O$3:$O$10000,"رعایت شده")/(COUNTIFS(Evaluations!$G$3:$G$10000,$A125,Evaluations!$O$3:$O$10000,"رعایت شده")+COUNTIFS(Evaluations!$G$3:$G$10000,$A125,Evaluations!$O$3:$O$10000,"رعایت نشده")),""))</f>
        <v/>
      </c>
      <c r="G125" s="10" t="str">
        <f>IF($A125="","",IFERROR(ROUND(100*COUNTIFS(Evaluations!$G$3:$G$10000,$A125,Evaluations!$Q$3:$Q$10000,1)/(COUNTIFS(Evaluations!$G$3:$G$10000,$A125,Evaluations!$Q$3:$Q$10000,1)+COUNTIFS(Evaluations!$G$3:$G$10000,$A125,Evaluations!$Q$3:$Q$10000,0)),2),""))</f>
        <v/>
      </c>
      <c r="H125" s="10" t="str">
        <f>IF($A125="","",IFERROR(ROUND(100*COUNTIFS(Evaluations!$G$3:$G$10000,$A125,Evaluations!$R$3:$R$10000,1)/(COUNTIFS(Evaluations!$G$3:$G$10000,$A125,Evaluations!$R$3:$R$10000,1)+COUNTIFS(Evaluations!$G$3:$G$10000,$A125,Evaluations!$R$3:$R$10000,0)),2),""))</f>
        <v/>
      </c>
      <c r="I125" s="10" t="str">
        <f>IF($A125="","",IFERROR(ROUND(100*COUNTIFS(Evaluations!$G$3:$G$10000,$A125,Evaluations!$S$3:$S$10000,1)/(COUNTIFS(Evaluations!$G$3:$G$10000,$A125,Evaluations!$S$3:$S$10000,1)+COUNTIFS(Evaluations!$G$3:$G$10000,$A125,Evaluations!$S$3:$S$10000,0)),2),""))</f>
        <v/>
      </c>
      <c r="J125" s="10" t="str">
        <f>IF($A125="","",IFERROR(ROUND(100*COUNTIFS(Evaluations!$G$3:$G$10000,$A125,Evaluations!$T$3:$T$10000,1)/(COUNTIFS(Evaluations!$G$3:$G$10000,$A125,Evaluations!$T$3:$T$10000,1)+COUNTIFS(Evaluations!$G$3:$G$10000,$A125,Evaluations!$T$3:$T$10000,0)),2),""))</f>
        <v/>
      </c>
      <c r="K125" s="10" t="str">
        <f>IF($A125="","",COUNTIFS(Evaluations!$G$3:$G$10000,$A125,Evaluations!$M$3:$M$10000,"عدم پاسخ"))</f>
        <v/>
      </c>
      <c r="L125" s="10" t="str">
        <f>IF($A125="","",COUNTIFS(Evaluations!$G$3:$G$10000,$A125,Evaluations!$O$3:$O$10000,"رعایت نشده"))</f>
        <v/>
      </c>
    </row>
    <row r="126">
      <c r="A126" s="10"/>
      <c r="B126" s="10" t="str">
        <f t="array" ref="B126">_xlfn.XLOOKUP(A126,DATA!D:D,DATA!E:E,"")</f>
        <v/>
      </c>
      <c r="C126" s="10" t="str">
        <f>IF($A126="","",COUNTIFS(Evaluations!$G$3:$G$10000,$A126,Evaluations!$U$3:$U$10000,"&gt;=0",Evaluations!$U$3:$U$10000,"&lt;=100"))</f>
        <v/>
      </c>
      <c r="D126" s="10" t="str">
        <f>IF(OR($A126="",C126=0),"",ROUND(SUMIFS(Evaluations!$U$3:$U$10000,Evaluations!$G$3:$G$10000,$A126)/C126,2))</f>
        <v/>
      </c>
      <c r="E126" s="10" t="str">
        <f>IF($A126="","",COUNTIFS(Evaluations!$G$3:$G$10000,$A126,Evaluations!$M$3:$M$10000,"پاسخ داده شده"))</f>
        <v/>
      </c>
      <c r="F126" s="10" t="str">
        <f>IF($A126="","",IFERROR(COUNTIFS(Evaluations!$G$3:$G$10000,$A126,Evaluations!$O$3:$O$10000,"رعایت شده")/(COUNTIFS(Evaluations!$G$3:$G$10000,$A126,Evaluations!$O$3:$O$10000,"رعایت شده")+COUNTIFS(Evaluations!$G$3:$G$10000,$A126,Evaluations!$O$3:$O$10000,"رعایت نشده")),""))</f>
        <v/>
      </c>
      <c r="G126" s="10" t="str">
        <f>IF($A126="","",IFERROR(ROUND(100*COUNTIFS(Evaluations!$G$3:$G$10000,$A126,Evaluations!$Q$3:$Q$10000,1)/(COUNTIFS(Evaluations!$G$3:$G$10000,$A126,Evaluations!$Q$3:$Q$10000,1)+COUNTIFS(Evaluations!$G$3:$G$10000,$A126,Evaluations!$Q$3:$Q$10000,0)),2),""))</f>
        <v/>
      </c>
      <c r="H126" s="10" t="str">
        <f>IF($A126="","",IFERROR(ROUND(100*COUNTIFS(Evaluations!$G$3:$G$10000,$A126,Evaluations!$R$3:$R$10000,1)/(COUNTIFS(Evaluations!$G$3:$G$10000,$A126,Evaluations!$R$3:$R$10000,1)+COUNTIFS(Evaluations!$G$3:$G$10000,$A126,Evaluations!$R$3:$R$10000,0)),2),""))</f>
        <v/>
      </c>
      <c r="I126" s="10" t="str">
        <f>IF($A126="","",IFERROR(ROUND(100*COUNTIFS(Evaluations!$G$3:$G$10000,$A126,Evaluations!$S$3:$S$10000,1)/(COUNTIFS(Evaluations!$G$3:$G$10000,$A126,Evaluations!$S$3:$S$10000,1)+COUNTIFS(Evaluations!$G$3:$G$10000,$A126,Evaluations!$S$3:$S$10000,0)),2),""))</f>
        <v/>
      </c>
      <c r="J126" s="10" t="str">
        <f>IF($A126="","",IFERROR(ROUND(100*COUNTIFS(Evaluations!$G$3:$G$10000,$A126,Evaluations!$T$3:$T$10000,1)/(COUNTIFS(Evaluations!$G$3:$G$10000,$A126,Evaluations!$T$3:$T$10000,1)+COUNTIFS(Evaluations!$G$3:$G$10000,$A126,Evaluations!$T$3:$T$10000,0)),2),""))</f>
        <v/>
      </c>
      <c r="K126" s="10" t="str">
        <f>IF($A126="","",COUNTIFS(Evaluations!$G$3:$G$10000,$A126,Evaluations!$M$3:$M$10000,"عدم پاسخ"))</f>
        <v/>
      </c>
      <c r="L126" s="10" t="str">
        <f>IF($A126="","",COUNTIFS(Evaluations!$G$3:$G$10000,$A126,Evaluations!$O$3:$O$10000,"رعایت نشده"))</f>
        <v/>
      </c>
    </row>
    <row r="127">
      <c r="A127" s="10"/>
      <c r="B127" s="10" t="str">
        <f t="array" ref="B127">_xlfn.XLOOKUP(A127,DATA!D:D,DATA!E:E,"")</f>
        <v/>
      </c>
      <c r="C127" s="10" t="str">
        <f>IF($A127="","",COUNTIFS(Evaluations!$G$3:$G$10000,$A127,Evaluations!$U$3:$U$10000,"&gt;=0",Evaluations!$U$3:$U$10000,"&lt;=100"))</f>
        <v/>
      </c>
      <c r="D127" s="10" t="str">
        <f>IF(OR($A127="",C127=0),"",ROUND(SUMIFS(Evaluations!$U$3:$U$10000,Evaluations!$G$3:$G$10000,$A127)/C127,2))</f>
        <v/>
      </c>
      <c r="E127" s="10" t="str">
        <f>IF($A127="","",COUNTIFS(Evaluations!$G$3:$G$10000,$A127,Evaluations!$M$3:$M$10000,"پاسخ داده شده"))</f>
        <v/>
      </c>
      <c r="F127" s="10" t="str">
        <f>IF($A127="","",IFERROR(COUNTIFS(Evaluations!$G$3:$G$10000,$A127,Evaluations!$O$3:$O$10000,"رعایت شده")/(COUNTIFS(Evaluations!$G$3:$G$10000,$A127,Evaluations!$O$3:$O$10000,"رعایت شده")+COUNTIFS(Evaluations!$G$3:$G$10000,$A127,Evaluations!$O$3:$O$10000,"رعایت نشده")),""))</f>
        <v/>
      </c>
      <c r="G127" s="10" t="str">
        <f>IF($A127="","",IFERROR(ROUND(100*COUNTIFS(Evaluations!$G$3:$G$10000,$A127,Evaluations!$Q$3:$Q$10000,1)/(COUNTIFS(Evaluations!$G$3:$G$10000,$A127,Evaluations!$Q$3:$Q$10000,1)+COUNTIFS(Evaluations!$G$3:$G$10000,$A127,Evaluations!$Q$3:$Q$10000,0)),2),""))</f>
        <v/>
      </c>
      <c r="H127" s="10" t="str">
        <f>IF($A127="","",IFERROR(ROUND(100*COUNTIFS(Evaluations!$G$3:$G$10000,$A127,Evaluations!$R$3:$R$10000,1)/(COUNTIFS(Evaluations!$G$3:$G$10000,$A127,Evaluations!$R$3:$R$10000,1)+COUNTIFS(Evaluations!$G$3:$G$10000,$A127,Evaluations!$R$3:$R$10000,0)),2),""))</f>
        <v/>
      </c>
      <c r="I127" s="10" t="str">
        <f>IF($A127="","",IFERROR(ROUND(100*COUNTIFS(Evaluations!$G$3:$G$10000,$A127,Evaluations!$S$3:$S$10000,1)/(COUNTIFS(Evaluations!$G$3:$G$10000,$A127,Evaluations!$S$3:$S$10000,1)+COUNTIFS(Evaluations!$G$3:$G$10000,$A127,Evaluations!$S$3:$S$10000,0)),2),""))</f>
        <v/>
      </c>
      <c r="J127" s="10" t="str">
        <f>IF($A127="","",IFERROR(ROUND(100*COUNTIFS(Evaluations!$G$3:$G$10000,$A127,Evaluations!$T$3:$T$10000,1)/(COUNTIFS(Evaluations!$G$3:$G$10000,$A127,Evaluations!$T$3:$T$10000,1)+COUNTIFS(Evaluations!$G$3:$G$10000,$A127,Evaluations!$T$3:$T$10000,0)),2),""))</f>
        <v/>
      </c>
      <c r="K127" s="10" t="str">
        <f>IF($A127="","",COUNTIFS(Evaluations!$G$3:$G$10000,$A127,Evaluations!$M$3:$M$10000,"عدم پاسخ"))</f>
        <v/>
      </c>
      <c r="L127" s="10" t="str">
        <f>IF($A127="","",COUNTIFS(Evaluations!$G$3:$G$10000,$A127,Evaluations!$O$3:$O$10000,"رعایت نشده"))</f>
        <v/>
      </c>
    </row>
    <row r="128">
      <c r="A128" s="10"/>
      <c r="B128" s="10" t="str">
        <f t="array" ref="B128">_xlfn.XLOOKUP(A128,DATA!D:D,DATA!E:E,"")</f>
        <v/>
      </c>
      <c r="C128" s="10" t="str">
        <f>IF($A128="","",COUNTIFS(Evaluations!$G$3:$G$10000,$A128,Evaluations!$U$3:$U$10000,"&gt;=0",Evaluations!$U$3:$U$10000,"&lt;=100"))</f>
        <v/>
      </c>
      <c r="D128" s="10" t="str">
        <f>IF(OR($A128="",C128=0),"",ROUND(SUMIFS(Evaluations!$U$3:$U$10000,Evaluations!$G$3:$G$10000,$A128)/C128,2))</f>
        <v/>
      </c>
      <c r="E128" s="10" t="str">
        <f>IF($A128="","",COUNTIFS(Evaluations!$G$3:$G$10000,$A128,Evaluations!$M$3:$M$10000,"پاسخ داده شده"))</f>
        <v/>
      </c>
      <c r="F128" s="10" t="str">
        <f>IF($A128="","",IFERROR(COUNTIFS(Evaluations!$G$3:$G$10000,$A128,Evaluations!$O$3:$O$10000,"رعایت شده")/(COUNTIFS(Evaluations!$G$3:$G$10000,$A128,Evaluations!$O$3:$O$10000,"رعایت شده")+COUNTIFS(Evaluations!$G$3:$G$10000,$A128,Evaluations!$O$3:$O$10000,"رعایت نشده")),""))</f>
        <v/>
      </c>
      <c r="G128" s="10" t="str">
        <f>IF($A128="","",IFERROR(ROUND(100*COUNTIFS(Evaluations!$G$3:$G$10000,$A128,Evaluations!$Q$3:$Q$10000,1)/(COUNTIFS(Evaluations!$G$3:$G$10000,$A128,Evaluations!$Q$3:$Q$10000,1)+COUNTIFS(Evaluations!$G$3:$G$10000,$A128,Evaluations!$Q$3:$Q$10000,0)),2),""))</f>
        <v/>
      </c>
      <c r="H128" s="10" t="str">
        <f>IF($A128="","",IFERROR(ROUND(100*COUNTIFS(Evaluations!$G$3:$G$10000,$A128,Evaluations!$R$3:$R$10000,1)/(COUNTIFS(Evaluations!$G$3:$G$10000,$A128,Evaluations!$R$3:$R$10000,1)+COUNTIFS(Evaluations!$G$3:$G$10000,$A128,Evaluations!$R$3:$R$10000,0)),2),""))</f>
        <v/>
      </c>
      <c r="I128" s="10" t="str">
        <f>IF($A128="","",IFERROR(ROUND(100*COUNTIFS(Evaluations!$G$3:$G$10000,$A128,Evaluations!$S$3:$S$10000,1)/(COUNTIFS(Evaluations!$G$3:$G$10000,$A128,Evaluations!$S$3:$S$10000,1)+COUNTIFS(Evaluations!$G$3:$G$10000,$A128,Evaluations!$S$3:$S$10000,0)),2),""))</f>
        <v/>
      </c>
      <c r="J128" s="10" t="str">
        <f>IF($A128="","",IFERROR(ROUND(100*COUNTIFS(Evaluations!$G$3:$G$10000,$A128,Evaluations!$T$3:$T$10000,1)/(COUNTIFS(Evaluations!$G$3:$G$10000,$A128,Evaluations!$T$3:$T$10000,1)+COUNTIFS(Evaluations!$G$3:$G$10000,$A128,Evaluations!$T$3:$T$10000,0)),2),""))</f>
        <v/>
      </c>
      <c r="K128" s="10" t="str">
        <f>IF($A128="","",COUNTIFS(Evaluations!$G$3:$G$10000,$A128,Evaluations!$M$3:$M$10000,"عدم پاسخ"))</f>
        <v/>
      </c>
      <c r="L128" s="10" t="str">
        <f>IF($A128="","",COUNTIFS(Evaluations!$G$3:$G$10000,$A128,Evaluations!$O$3:$O$10000,"رعایت نشده"))</f>
        <v/>
      </c>
    </row>
    <row r="129">
      <c r="A129" s="10"/>
      <c r="B129" s="10" t="str">
        <f t="array" ref="B129">_xlfn.XLOOKUP(A129,DATA!D:D,DATA!E:E,"")</f>
        <v/>
      </c>
      <c r="C129" s="10" t="str">
        <f>IF($A129="","",COUNTIFS(Evaluations!$G$3:$G$10000,$A129,Evaluations!$U$3:$U$10000,"&gt;=0",Evaluations!$U$3:$U$10000,"&lt;=100"))</f>
        <v/>
      </c>
      <c r="D129" s="10" t="str">
        <f>IF(OR($A129="",C129=0),"",ROUND(SUMIFS(Evaluations!$U$3:$U$10000,Evaluations!$G$3:$G$10000,$A129)/C129,2))</f>
        <v/>
      </c>
      <c r="E129" s="10" t="str">
        <f>IF($A129="","",COUNTIFS(Evaluations!$G$3:$G$10000,$A129,Evaluations!$M$3:$M$10000,"پاسخ داده شده"))</f>
        <v/>
      </c>
      <c r="F129" s="10" t="str">
        <f>IF($A129="","",IFERROR(COUNTIFS(Evaluations!$G$3:$G$10000,$A129,Evaluations!$O$3:$O$10000,"رعایت شده")/(COUNTIFS(Evaluations!$G$3:$G$10000,$A129,Evaluations!$O$3:$O$10000,"رعایت شده")+COUNTIFS(Evaluations!$G$3:$G$10000,$A129,Evaluations!$O$3:$O$10000,"رعایت نشده")),""))</f>
        <v/>
      </c>
      <c r="G129" s="10" t="str">
        <f>IF($A129="","",IFERROR(ROUND(100*COUNTIFS(Evaluations!$G$3:$G$10000,$A129,Evaluations!$Q$3:$Q$10000,1)/(COUNTIFS(Evaluations!$G$3:$G$10000,$A129,Evaluations!$Q$3:$Q$10000,1)+COUNTIFS(Evaluations!$G$3:$G$10000,$A129,Evaluations!$Q$3:$Q$10000,0)),2),""))</f>
        <v/>
      </c>
      <c r="H129" s="10" t="str">
        <f>IF($A129="","",IFERROR(ROUND(100*COUNTIFS(Evaluations!$G$3:$G$10000,$A129,Evaluations!$R$3:$R$10000,1)/(COUNTIFS(Evaluations!$G$3:$G$10000,$A129,Evaluations!$R$3:$R$10000,1)+COUNTIFS(Evaluations!$G$3:$G$10000,$A129,Evaluations!$R$3:$R$10000,0)),2),""))</f>
        <v/>
      </c>
      <c r="I129" s="10" t="str">
        <f>IF($A129="","",IFERROR(ROUND(100*COUNTIFS(Evaluations!$G$3:$G$10000,$A129,Evaluations!$S$3:$S$10000,1)/(COUNTIFS(Evaluations!$G$3:$G$10000,$A129,Evaluations!$S$3:$S$10000,1)+COUNTIFS(Evaluations!$G$3:$G$10000,$A129,Evaluations!$S$3:$S$10000,0)),2),""))</f>
        <v/>
      </c>
      <c r="J129" s="10" t="str">
        <f>IF($A129="","",IFERROR(ROUND(100*COUNTIFS(Evaluations!$G$3:$G$10000,$A129,Evaluations!$T$3:$T$10000,1)/(COUNTIFS(Evaluations!$G$3:$G$10000,$A129,Evaluations!$T$3:$T$10000,1)+COUNTIFS(Evaluations!$G$3:$G$10000,$A129,Evaluations!$T$3:$T$10000,0)),2),""))</f>
        <v/>
      </c>
      <c r="K129" s="10" t="str">
        <f>IF($A129="","",COUNTIFS(Evaluations!$G$3:$G$10000,$A129,Evaluations!$M$3:$M$10000,"عدم پاسخ"))</f>
        <v/>
      </c>
      <c r="L129" s="10" t="str">
        <f>IF($A129="","",COUNTIFS(Evaluations!$G$3:$G$10000,$A129,Evaluations!$O$3:$O$10000,"رعایت نشده"))</f>
        <v/>
      </c>
    </row>
    <row r="130">
      <c r="A130" s="10"/>
      <c r="B130" s="10" t="str">
        <f t="array" ref="B130">_xlfn.XLOOKUP(A130,DATA!D:D,DATA!E:E,"")</f>
        <v/>
      </c>
      <c r="C130" s="10" t="str">
        <f>IF($A130="","",COUNTIFS(Evaluations!$G$3:$G$10000,$A130,Evaluations!$U$3:$U$10000,"&gt;=0",Evaluations!$U$3:$U$10000,"&lt;=100"))</f>
        <v/>
      </c>
      <c r="D130" s="10" t="str">
        <f>IF(OR($A130="",C130=0),"",ROUND(SUMIFS(Evaluations!$U$3:$U$10000,Evaluations!$G$3:$G$10000,$A130)/C130,2))</f>
        <v/>
      </c>
      <c r="E130" s="10" t="str">
        <f>IF($A130="","",COUNTIFS(Evaluations!$G$3:$G$10000,$A130,Evaluations!$M$3:$M$10000,"پاسخ داده شده"))</f>
        <v/>
      </c>
      <c r="F130" s="10" t="str">
        <f>IF($A130="","",IFERROR(COUNTIFS(Evaluations!$G$3:$G$10000,$A130,Evaluations!$O$3:$O$10000,"رعایت شده")/(COUNTIFS(Evaluations!$G$3:$G$10000,$A130,Evaluations!$O$3:$O$10000,"رعایت شده")+COUNTIFS(Evaluations!$G$3:$G$10000,$A130,Evaluations!$O$3:$O$10000,"رعایت نشده")),""))</f>
        <v/>
      </c>
      <c r="G130" s="10" t="str">
        <f>IF($A130="","",IFERROR(ROUND(100*COUNTIFS(Evaluations!$G$3:$G$10000,$A130,Evaluations!$Q$3:$Q$10000,1)/(COUNTIFS(Evaluations!$G$3:$G$10000,$A130,Evaluations!$Q$3:$Q$10000,1)+COUNTIFS(Evaluations!$G$3:$G$10000,$A130,Evaluations!$Q$3:$Q$10000,0)),2),""))</f>
        <v/>
      </c>
      <c r="H130" s="10" t="str">
        <f>IF($A130="","",IFERROR(ROUND(100*COUNTIFS(Evaluations!$G$3:$G$10000,$A130,Evaluations!$R$3:$R$10000,1)/(COUNTIFS(Evaluations!$G$3:$G$10000,$A130,Evaluations!$R$3:$R$10000,1)+COUNTIFS(Evaluations!$G$3:$G$10000,$A130,Evaluations!$R$3:$R$10000,0)),2),""))</f>
        <v/>
      </c>
      <c r="I130" s="10" t="str">
        <f>IF($A130="","",IFERROR(ROUND(100*COUNTIFS(Evaluations!$G$3:$G$10000,$A130,Evaluations!$S$3:$S$10000,1)/(COUNTIFS(Evaluations!$G$3:$G$10000,$A130,Evaluations!$S$3:$S$10000,1)+COUNTIFS(Evaluations!$G$3:$G$10000,$A130,Evaluations!$S$3:$S$10000,0)),2),""))</f>
        <v/>
      </c>
      <c r="J130" s="10" t="str">
        <f>IF($A130="","",IFERROR(ROUND(100*COUNTIFS(Evaluations!$G$3:$G$10000,$A130,Evaluations!$T$3:$T$10000,1)/(COUNTIFS(Evaluations!$G$3:$G$10000,$A130,Evaluations!$T$3:$T$10000,1)+COUNTIFS(Evaluations!$G$3:$G$10000,$A130,Evaluations!$T$3:$T$10000,0)),2),""))</f>
        <v/>
      </c>
      <c r="K130" s="10" t="str">
        <f>IF($A130="","",COUNTIFS(Evaluations!$G$3:$G$10000,$A130,Evaluations!$M$3:$M$10000,"عدم پاسخ"))</f>
        <v/>
      </c>
      <c r="L130" s="10" t="str">
        <f>IF($A130="","",COUNTIFS(Evaluations!$G$3:$G$10000,$A130,Evaluations!$O$3:$O$10000,"رعایت نشده"))</f>
        <v/>
      </c>
    </row>
    <row r="131">
      <c r="A131" s="10"/>
      <c r="B131" s="10" t="str">
        <f t="array" ref="B131">_xlfn.XLOOKUP(A131,DATA!D:D,DATA!E:E,"")</f>
        <v/>
      </c>
      <c r="C131" s="10" t="str">
        <f>IF($A131="","",COUNTIFS(Evaluations!$G$3:$G$10000,$A131,Evaluations!$U$3:$U$10000,"&gt;=0",Evaluations!$U$3:$U$10000,"&lt;=100"))</f>
        <v/>
      </c>
      <c r="D131" s="10" t="str">
        <f>IF(OR($A131="",C131=0),"",ROUND(SUMIFS(Evaluations!$U$3:$U$10000,Evaluations!$G$3:$G$10000,$A131)/C131,2))</f>
        <v/>
      </c>
      <c r="E131" s="10" t="str">
        <f>IF($A131="","",COUNTIFS(Evaluations!$G$3:$G$10000,$A131,Evaluations!$M$3:$M$10000,"پاسخ داده شده"))</f>
        <v/>
      </c>
      <c r="F131" s="10" t="str">
        <f>IF($A131="","",IFERROR(COUNTIFS(Evaluations!$G$3:$G$10000,$A131,Evaluations!$O$3:$O$10000,"رعایت شده")/(COUNTIFS(Evaluations!$G$3:$G$10000,$A131,Evaluations!$O$3:$O$10000,"رعایت شده")+COUNTIFS(Evaluations!$G$3:$G$10000,$A131,Evaluations!$O$3:$O$10000,"رعایت نشده")),""))</f>
        <v/>
      </c>
      <c r="G131" s="10" t="str">
        <f>IF($A131="","",IFERROR(ROUND(100*COUNTIFS(Evaluations!$G$3:$G$10000,$A131,Evaluations!$Q$3:$Q$10000,1)/(COUNTIFS(Evaluations!$G$3:$G$10000,$A131,Evaluations!$Q$3:$Q$10000,1)+COUNTIFS(Evaluations!$G$3:$G$10000,$A131,Evaluations!$Q$3:$Q$10000,0)),2),""))</f>
        <v/>
      </c>
      <c r="H131" s="10" t="str">
        <f>IF($A131="","",IFERROR(ROUND(100*COUNTIFS(Evaluations!$G$3:$G$10000,$A131,Evaluations!$R$3:$R$10000,1)/(COUNTIFS(Evaluations!$G$3:$G$10000,$A131,Evaluations!$R$3:$R$10000,1)+COUNTIFS(Evaluations!$G$3:$G$10000,$A131,Evaluations!$R$3:$R$10000,0)),2),""))</f>
        <v/>
      </c>
      <c r="I131" s="10" t="str">
        <f>IF($A131="","",IFERROR(ROUND(100*COUNTIFS(Evaluations!$G$3:$G$10000,$A131,Evaluations!$S$3:$S$10000,1)/(COUNTIFS(Evaluations!$G$3:$G$10000,$A131,Evaluations!$S$3:$S$10000,1)+COUNTIFS(Evaluations!$G$3:$G$10000,$A131,Evaluations!$S$3:$S$10000,0)),2),""))</f>
        <v/>
      </c>
      <c r="J131" s="10" t="str">
        <f>IF($A131="","",IFERROR(ROUND(100*COUNTIFS(Evaluations!$G$3:$G$10000,$A131,Evaluations!$T$3:$T$10000,1)/(COUNTIFS(Evaluations!$G$3:$G$10000,$A131,Evaluations!$T$3:$T$10000,1)+COUNTIFS(Evaluations!$G$3:$G$10000,$A131,Evaluations!$T$3:$T$10000,0)),2),""))</f>
        <v/>
      </c>
      <c r="K131" s="10" t="str">
        <f>IF($A131="","",COUNTIFS(Evaluations!$G$3:$G$10000,$A131,Evaluations!$M$3:$M$10000,"عدم پاسخ"))</f>
        <v/>
      </c>
      <c r="L131" s="10" t="str">
        <f>IF($A131="","",COUNTIFS(Evaluations!$G$3:$G$10000,$A131,Evaluations!$O$3:$O$10000,"رعایت نشده"))</f>
        <v/>
      </c>
    </row>
    <row r="132">
      <c r="A132" s="10"/>
      <c r="B132" s="10" t="str">
        <f t="array" ref="B132">_xlfn.XLOOKUP(A132,DATA!D:D,DATA!E:E,"")</f>
        <v/>
      </c>
      <c r="C132" s="10" t="str">
        <f>IF($A132="","",COUNTIFS(Evaluations!$G$3:$G$10000,$A132,Evaluations!$U$3:$U$10000,"&gt;=0",Evaluations!$U$3:$U$10000,"&lt;=100"))</f>
        <v/>
      </c>
      <c r="D132" s="10" t="str">
        <f>IF(OR($A132="",C132=0),"",ROUND(SUMIFS(Evaluations!$U$3:$U$10000,Evaluations!$G$3:$G$10000,$A132)/C132,2))</f>
        <v/>
      </c>
      <c r="E132" s="10" t="str">
        <f>IF($A132="","",COUNTIFS(Evaluations!$G$3:$G$10000,$A132,Evaluations!$M$3:$M$10000,"پاسخ داده شده"))</f>
        <v/>
      </c>
      <c r="F132" s="10" t="str">
        <f>IF($A132="","",IFERROR(COUNTIFS(Evaluations!$G$3:$G$10000,$A132,Evaluations!$O$3:$O$10000,"رعایت شده")/(COUNTIFS(Evaluations!$G$3:$G$10000,$A132,Evaluations!$O$3:$O$10000,"رعایت شده")+COUNTIFS(Evaluations!$G$3:$G$10000,$A132,Evaluations!$O$3:$O$10000,"رعایت نشده")),""))</f>
        <v/>
      </c>
      <c r="G132" s="10" t="str">
        <f>IF($A132="","",IFERROR(ROUND(100*COUNTIFS(Evaluations!$G$3:$G$10000,$A132,Evaluations!$Q$3:$Q$10000,1)/(COUNTIFS(Evaluations!$G$3:$G$10000,$A132,Evaluations!$Q$3:$Q$10000,1)+COUNTIFS(Evaluations!$G$3:$G$10000,$A132,Evaluations!$Q$3:$Q$10000,0)),2),""))</f>
        <v/>
      </c>
      <c r="H132" s="10" t="str">
        <f>IF($A132="","",IFERROR(ROUND(100*COUNTIFS(Evaluations!$G$3:$G$10000,$A132,Evaluations!$R$3:$R$10000,1)/(COUNTIFS(Evaluations!$G$3:$G$10000,$A132,Evaluations!$R$3:$R$10000,1)+COUNTIFS(Evaluations!$G$3:$G$10000,$A132,Evaluations!$R$3:$R$10000,0)),2),""))</f>
        <v/>
      </c>
      <c r="I132" s="10" t="str">
        <f>IF($A132="","",IFERROR(ROUND(100*COUNTIFS(Evaluations!$G$3:$G$10000,$A132,Evaluations!$S$3:$S$10000,1)/(COUNTIFS(Evaluations!$G$3:$G$10000,$A132,Evaluations!$S$3:$S$10000,1)+COUNTIFS(Evaluations!$G$3:$G$10000,$A132,Evaluations!$S$3:$S$10000,0)),2),""))</f>
        <v/>
      </c>
      <c r="J132" s="10" t="str">
        <f>IF($A132="","",IFERROR(ROUND(100*COUNTIFS(Evaluations!$G$3:$G$10000,$A132,Evaluations!$T$3:$T$10000,1)/(COUNTIFS(Evaluations!$G$3:$G$10000,$A132,Evaluations!$T$3:$T$10000,1)+COUNTIFS(Evaluations!$G$3:$G$10000,$A132,Evaluations!$T$3:$T$10000,0)),2),""))</f>
        <v/>
      </c>
      <c r="K132" s="10" t="str">
        <f>IF($A132="","",COUNTIFS(Evaluations!$G$3:$G$10000,$A132,Evaluations!$M$3:$M$10000,"عدم پاسخ"))</f>
        <v/>
      </c>
      <c r="L132" s="10" t="str">
        <f>IF($A132="","",COUNTIFS(Evaluations!$G$3:$G$10000,$A132,Evaluations!$O$3:$O$10000,"رعایت نشده"))</f>
        <v/>
      </c>
    </row>
    <row r="133">
      <c r="A133" s="10"/>
      <c r="B133" s="10" t="str">
        <f t="array" ref="B133">_xlfn.XLOOKUP(A133,DATA!D:D,DATA!E:E,"")</f>
        <v/>
      </c>
      <c r="C133" s="10" t="str">
        <f>IF($A133="","",COUNTIFS(Evaluations!$G$3:$G$10000,$A133,Evaluations!$U$3:$U$10000,"&gt;=0",Evaluations!$U$3:$U$10000,"&lt;=100"))</f>
        <v/>
      </c>
      <c r="D133" s="10" t="str">
        <f>IF(OR($A133="",C133=0),"",ROUND(SUMIFS(Evaluations!$U$3:$U$10000,Evaluations!$G$3:$G$10000,$A133)/C133,2))</f>
        <v/>
      </c>
      <c r="E133" s="10" t="str">
        <f>IF($A133="","",COUNTIFS(Evaluations!$G$3:$G$10000,$A133,Evaluations!$M$3:$M$10000,"پاسخ داده شده"))</f>
        <v/>
      </c>
      <c r="F133" s="10" t="str">
        <f>IF($A133="","",IFERROR(COUNTIFS(Evaluations!$G$3:$G$10000,$A133,Evaluations!$O$3:$O$10000,"رعایت شده")/(COUNTIFS(Evaluations!$G$3:$G$10000,$A133,Evaluations!$O$3:$O$10000,"رعایت شده")+COUNTIFS(Evaluations!$G$3:$G$10000,$A133,Evaluations!$O$3:$O$10000,"رعایت نشده")),""))</f>
        <v/>
      </c>
      <c r="G133" s="10" t="str">
        <f>IF($A133="","",IFERROR(ROUND(100*COUNTIFS(Evaluations!$G$3:$G$10000,$A133,Evaluations!$Q$3:$Q$10000,1)/(COUNTIFS(Evaluations!$G$3:$G$10000,$A133,Evaluations!$Q$3:$Q$10000,1)+COUNTIFS(Evaluations!$G$3:$G$10000,$A133,Evaluations!$Q$3:$Q$10000,0)),2),""))</f>
        <v/>
      </c>
      <c r="H133" s="10" t="str">
        <f>IF($A133="","",IFERROR(ROUND(100*COUNTIFS(Evaluations!$G$3:$G$10000,$A133,Evaluations!$R$3:$R$10000,1)/(COUNTIFS(Evaluations!$G$3:$G$10000,$A133,Evaluations!$R$3:$R$10000,1)+COUNTIFS(Evaluations!$G$3:$G$10000,$A133,Evaluations!$R$3:$R$10000,0)),2),""))</f>
        <v/>
      </c>
      <c r="I133" s="10" t="str">
        <f>IF($A133="","",IFERROR(ROUND(100*COUNTIFS(Evaluations!$G$3:$G$10000,$A133,Evaluations!$S$3:$S$10000,1)/(COUNTIFS(Evaluations!$G$3:$G$10000,$A133,Evaluations!$S$3:$S$10000,1)+COUNTIFS(Evaluations!$G$3:$G$10000,$A133,Evaluations!$S$3:$S$10000,0)),2),""))</f>
        <v/>
      </c>
      <c r="J133" s="10" t="str">
        <f>IF($A133="","",IFERROR(ROUND(100*COUNTIFS(Evaluations!$G$3:$G$10000,$A133,Evaluations!$T$3:$T$10000,1)/(COUNTIFS(Evaluations!$G$3:$G$10000,$A133,Evaluations!$T$3:$T$10000,1)+COUNTIFS(Evaluations!$G$3:$G$10000,$A133,Evaluations!$T$3:$T$10000,0)),2),""))</f>
        <v/>
      </c>
      <c r="K133" s="10" t="str">
        <f>IF($A133="","",COUNTIFS(Evaluations!$G$3:$G$10000,$A133,Evaluations!$M$3:$M$10000,"عدم پاسخ"))</f>
        <v/>
      </c>
      <c r="L133" s="10" t="str">
        <f>IF($A133="","",COUNTIFS(Evaluations!$G$3:$G$10000,$A133,Evaluations!$O$3:$O$10000,"رعایت نشده"))</f>
        <v/>
      </c>
    </row>
    <row r="134">
      <c r="A134" s="10"/>
      <c r="B134" s="10" t="str">
        <f t="array" ref="B134">_xlfn.XLOOKUP(A134,DATA!D:D,DATA!E:E,"")</f>
        <v/>
      </c>
      <c r="C134" s="10" t="str">
        <f>IF($A134="","",COUNTIFS(Evaluations!$G$3:$G$10000,$A134,Evaluations!$U$3:$U$10000,"&gt;=0",Evaluations!$U$3:$U$10000,"&lt;=100"))</f>
        <v/>
      </c>
      <c r="D134" s="10" t="str">
        <f>IF(OR($A134="",C134=0),"",ROUND(SUMIFS(Evaluations!$U$3:$U$10000,Evaluations!$G$3:$G$10000,$A134)/C134,2))</f>
        <v/>
      </c>
      <c r="E134" s="10" t="str">
        <f>IF($A134="","",COUNTIFS(Evaluations!$G$3:$G$10000,$A134,Evaluations!$M$3:$M$10000,"پاسخ داده شده"))</f>
        <v/>
      </c>
      <c r="F134" s="10" t="str">
        <f>IF($A134="","",IFERROR(COUNTIFS(Evaluations!$G$3:$G$10000,$A134,Evaluations!$O$3:$O$10000,"رعایت شده")/(COUNTIFS(Evaluations!$G$3:$G$10000,$A134,Evaluations!$O$3:$O$10000,"رعایت شده")+COUNTIFS(Evaluations!$G$3:$G$10000,$A134,Evaluations!$O$3:$O$10000,"رعایت نشده")),""))</f>
        <v/>
      </c>
      <c r="G134" s="10" t="str">
        <f>IF($A134="","",IFERROR(ROUND(100*COUNTIFS(Evaluations!$G$3:$G$10000,$A134,Evaluations!$Q$3:$Q$10000,1)/(COUNTIFS(Evaluations!$G$3:$G$10000,$A134,Evaluations!$Q$3:$Q$10000,1)+COUNTIFS(Evaluations!$G$3:$G$10000,$A134,Evaluations!$Q$3:$Q$10000,0)),2),""))</f>
        <v/>
      </c>
      <c r="H134" s="10" t="str">
        <f>IF($A134="","",IFERROR(ROUND(100*COUNTIFS(Evaluations!$G$3:$G$10000,$A134,Evaluations!$R$3:$R$10000,1)/(COUNTIFS(Evaluations!$G$3:$G$10000,$A134,Evaluations!$R$3:$R$10000,1)+COUNTIFS(Evaluations!$G$3:$G$10000,$A134,Evaluations!$R$3:$R$10000,0)),2),""))</f>
        <v/>
      </c>
      <c r="I134" s="10" t="str">
        <f>IF($A134="","",IFERROR(ROUND(100*COUNTIFS(Evaluations!$G$3:$G$10000,$A134,Evaluations!$S$3:$S$10000,1)/(COUNTIFS(Evaluations!$G$3:$G$10000,$A134,Evaluations!$S$3:$S$10000,1)+COUNTIFS(Evaluations!$G$3:$G$10000,$A134,Evaluations!$S$3:$S$10000,0)),2),""))</f>
        <v/>
      </c>
      <c r="J134" s="10" t="str">
        <f>IF($A134="","",IFERROR(ROUND(100*COUNTIFS(Evaluations!$G$3:$G$10000,$A134,Evaluations!$T$3:$T$10000,1)/(COUNTIFS(Evaluations!$G$3:$G$10000,$A134,Evaluations!$T$3:$T$10000,1)+COUNTIFS(Evaluations!$G$3:$G$10000,$A134,Evaluations!$T$3:$T$10000,0)),2),""))</f>
        <v/>
      </c>
      <c r="K134" s="10" t="str">
        <f>IF($A134="","",COUNTIFS(Evaluations!$G$3:$G$10000,$A134,Evaluations!$M$3:$M$10000,"عدم پاسخ"))</f>
        <v/>
      </c>
      <c r="L134" s="10" t="str">
        <f>IF($A134="","",COUNTIFS(Evaluations!$G$3:$G$10000,$A134,Evaluations!$O$3:$O$10000,"رعایت نشده"))</f>
        <v/>
      </c>
    </row>
    <row r="135">
      <c r="A135" s="10"/>
      <c r="B135" s="10" t="str">
        <f t="array" ref="B135">_xlfn.XLOOKUP(A135,DATA!D:D,DATA!E:E,"")</f>
        <v/>
      </c>
      <c r="C135" s="10" t="str">
        <f>IF($A135="","",COUNTIFS(Evaluations!$G$3:$G$10000,$A135,Evaluations!$U$3:$U$10000,"&gt;=0",Evaluations!$U$3:$U$10000,"&lt;=100"))</f>
        <v/>
      </c>
      <c r="D135" s="10" t="str">
        <f>IF(OR($A135="",C135=0),"",ROUND(SUMIFS(Evaluations!$U$3:$U$10000,Evaluations!$G$3:$G$10000,$A135)/C135,2))</f>
        <v/>
      </c>
      <c r="E135" s="10" t="str">
        <f>IF($A135="","",COUNTIFS(Evaluations!$G$3:$G$10000,$A135,Evaluations!$M$3:$M$10000,"پاسخ داده شده"))</f>
        <v/>
      </c>
      <c r="F135" s="10" t="str">
        <f>IF($A135="","",IFERROR(COUNTIFS(Evaluations!$G$3:$G$10000,$A135,Evaluations!$O$3:$O$10000,"رعایت شده")/(COUNTIFS(Evaluations!$G$3:$G$10000,$A135,Evaluations!$O$3:$O$10000,"رعایت شده")+COUNTIFS(Evaluations!$G$3:$G$10000,$A135,Evaluations!$O$3:$O$10000,"رعایت نشده")),""))</f>
        <v/>
      </c>
      <c r="G135" s="10" t="str">
        <f>IF($A135="","",IFERROR(ROUND(100*COUNTIFS(Evaluations!$G$3:$G$10000,$A135,Evaluations!$Q$3:$Q$10000,1)/(COUNTIFS(Evaluations!$G$3:$G$10000,$A135,Evaluations!$Q$3:$Q$10000,1)+COUNTIFS(Evaluations!$G$3:$G$10000,$A135,Evaluations!$Q$3:$Q$10000,0)),2),""))</f>
        <v/>
      </c>
      <c r="H135" s="10" t="str">
        <f>IF($A135="","",IFERROR(ROUND(100*COUNTIFS(Evaluations!$G$3:$G$10000,$A135,Evaluations!$R$3:$R$10000,1)/(COUNTIFS(Evaluations!$G$3:$G$10000,$A135,Evaluations!$R$3:$R$10000,1)+COUNTIFS(Evaluations!$G$3:$G$10000,$A135,Evaluations!$R$3:$R$10000,0)),2),""))</f>
        <v/>
      </c>
      <c r="I135" s="10" t="str">
        <f>IF($A135="","",IFERROR(ROUND(100*COUNTIFS(Evaluations!$G$3:$G$10000,$A135,Evaluations!$S$3:$S$10000,1)/(COUNTIFS(Evaluations!$G$3:$G$10000,$A135,Evaluations!$S$3:$S$10000,1)+COUNTIFS(Evaluations!$G$3:$G$10000,$A135,Evaluations!$S$3:$S$10000,0)),2),""))</f>
        <v/>
      </c>
      <c r="J135" s="10" t="str">
        <f>IF($A135="","",IFERROR(ROUND(100*COUNTIFS(Evaluations!$G$3:$G$10000,$A135,Evaluations!$T$3:$T$10000,1)/(COUNTIFS(Evaluations!$G$3:$G$10000,$A135,Evaluations!$T$3:$T$10000,1)+COUNTIFS(Evaluations!$G$3:$G$10000,$A135,Evaluations!$T$3:$T$10000,0)),2),""))</f>
        <v/>
      </c>
      <c r="K135" s="10" t="str">
        <f>IF($A135="","",COUNTIFS(Evaluations!$G$3:$G$10000,$A135,Evaluations!$M$3:$M$10000,"عدم پاسخ"))</f>
        <v/>
      </c>
      <c r="L135" s="10" t="str">
        <f>IF($A135="","",COUNTIFS(Evaluations!$G$3:$G$10000,$A135,Evaluations!$O$3:$O$10000,"رعایت نشده"))</f>
        <v/>
      </c>
    </row>
    <row r="136">
      <c r="A136" s="10"/>
      <c r="B136" s="10" t="str">
        <f t="array" ref="B136">_xlfn.XLOOKUP(A136,DATA!D:D,DATA!E:E,"")</f>
        <v/>
      </c>
      <c r="C136" s="10" t="str">
        <f>IF($A136="","",COUNTIFS(Evaluations!$G$3:$G$10000,$A136,Evaluations!$U$3:$U$10000,"&gt;=0",Evaluations!$U$3:$U$10000,"&lt;=100"))</f>
        <v/>
      </c>
      <c r="D136" s="10" t="str">
        <f>IF(OR($A136="",C136=0),"",ROUND(SUMIFS(Evaluations!$U$3:$U$10000,Evaluations!$G$3:$G$10000,$A136)/C136,2))</f>
        <v/>
      </c>
      <c r="E136" s="10" t="str">
        <f>IF($A136="","",COUNTIFS(Evaluations!$G$3:$G$10000,$A136,Evaluations!$M$3:$M$10000,"پاسخ داده شده"))</f>
        <v/>
      </c>
      <c r="F136" s="10" t="str">
        <f>IF($A136="","",IFERROR(COUNTIFS(Evaluations!$G$3:$G$10000,$A136,Evaluations!$O$3:$O$10000,"رعایت شده")/(COUNTIFS(Evaluations!$G$3:$G$10000,$A136,Evaluations!$O$3:$O$10000,"رعایت شده")+COUNTIFS(Evaluations!$G$3:$G$10000,$A136,Evaluations!$O$3:$O$10000,"رعایت نشده")),""))</f>
        <v/>
      </c>
      <c r="G136" s="10" t="str">
        <f>IF($A136="","",IFERROR(ROUND(100*COUNTIFS(Evaluations!$G$3:$G$10000,$A136,Evaluations!$Q$3:$Q$10000,1)/(COUNTIFS(Evaluations!$G$3:$G$10000,$A136,Evaluations!$Q$3:$Q$10000,1)+COUNTIFS(Evaluations!$G$3:$G$10000,$A136,Evaluations!$Q$3:$Q$10000,0)),2),""))</f>
        <v/>
      </c>
      <c r="H136" s="10" t="str">
        <f>IF($A136="","",IFERROR(ROUND(100*COUNTIFS(Evaluations!$G$3:$G$10000,$A136,Evaluations!$R$3:$R$10000,1)/(COUNTIFS(Evaluations!$G$3:$G$10000,$A136,Evaluations!$R$3:$R$10000,1)+COUNTIFS(Evaluations!$G$3:$G$10000,$A136,Evaluations!$R$3:$R$10000,0)),2),""))</f>
        <v/>
      </c>
      <c r="I136" s="10" t="str">
        <f>IF($A136="","",IFERROR(ROUND(100*COUNTIFS(Evaluations!$G$3:$G$10000,$A136,Evaluations!$S$3:$S$10000,1)/(COUNTIFS(Evaluations!$G$3:$G$10000,$A136,Evaluations!$S$3:$S$10000,1)+COUNTIFS(Evaluations!$G$3:$G$10000,$A136,Evaluations!$S$3:$S$10000,0)),2),""))</f>
        <v/>
      </c>
      <c r="J136" s="10" t="str">
        <f>IF($A136="","",IFERROR(ROUND(100*COUNTIFS(Evaluations!$G$3:$G$10000,$A136,Evaluations!$T$3:$T$10000,1)/(COUNTIFS(Evaluations!$G$3:$G$10000,$A136,Evaluations!$T$3:$T$10000,1)+COUNTIFS(Evaluations!$G$3:$G$10000,$A136,Evaluations!$T$3:$T$10000,0)),2),""))</f>
        <v/>
      </c>
      <c r="K136" s="10" t="str">
        <f>IF($A136="","",COUNTIFS(Evaluations!$G$3:$G$10000,$A136,Evaluations!$M$3:$M$10000,"عدم پاسخ"))</f>
        <v/>
      </c>
      <c r="L136" s="10" t="str">
        <f>IF($A136="","",COUNTIFS(Evaluations!$G$3:$G$10000,$A136,Evaluations!$O$3:$O$10000,"رعایت نشده"))</f>
        <v/>
      </c>
    </row>
    <row r="137">
      <c r="A137" s="10"/>
      <c r="B137" s="10" t="str">
        <f t="array" ref="B137">_xlfn.XLOOKUP(A137,DATA!D:D,DATA!E:E,"")</f>
        <v/>
      </c>
      <c r="C137" s="10" t="str">
        <f>IF($A137="","",COUNTIFS(Evaluations!$G$3:$G$10000,$A137,Evaluations!$U$3:$U$10000,"&gt;=0",Evaluations!$U$3:$U$10000,"&lt;=100"))</f>
        <v/>
      </c>
      <c r="D137" s="10" t="str">
        <f>IF(OR($A137="",C137=0),"",ROUND(SUMIFS(Evaluations!$U$3:$U$10000,Evaluations!$G$3:$G$10000,$A137)/C137,2))</f>
        <v/>
      </c>
      <c r="E137" s="10" t="str">
        <f>IF($A137="","",COUNTIFS(Evaluations!$G$3:$G$10000,$A137,Evaluations!$M$3:$M$10000,"پاسخ داده شده"))</f>
        <v/>
      </c>
      <c r="F137" s="10" t="str">
        <f>IF($A137="","",IFERROR(COUNTIFS(Evaluations!$G$3:$G$10000,$A137,Evaluations!$O$3:$O$10000,"رعایت شده")/(COUNTIFS(Evaluations!$G$3:$G$10000,$A137,Evaluations!$O$3:$O$10000,"رعایت شده")+COUNTIFS(Evaluations!$G$3:$G$10000,$A137,Evaluations!$O$3:$O$10000,"رعایت نشده")),""))</f>
        <v/>
      </c>
      <c r="G137" s="10" t="str">
        <f>IF($A137="","",IFERROR(ROUND(100*COUNTIFS(Evaluations!$G$3:$G$10000,$A137,Evaluations!$Q$3:$Q$10000,1)/(COUNTIFS(Evaluations!$G$3:$G$10000,$A137,Evaluations!$Q$3:$Q$10000,1)+COUNTIFS(Evaluations!$G$3:$G$10000,$A137,Evaluations!$Q$3:$Q$10000,0)),2),""))</f>
        <v/>
      </c>
      <c r="H137" s="10" t="str">
        <f>IF($A137="","",IFERROR(ROUND(100*COUNTIFS(Evaluations!$G$3:$G$10000,$A137,Evaluations!$R$3:$R$10000,1)/(COUNTIFS(Evaluations!$G$3:$G$10000,$A137,Evaluations!$R$3:$R$10000,1)+COUNTIFS(Evaluations!$G$3:$G$10000,$A137,Evaluations!$R$3:$R$10000,0)),2),""))</f>
        <v/>
      </c>
      <c r="I137" s="10" t="str">
        <f>IF($A137="","",IFERROR(ROUND(100*COUNTIFS(Evaluations!$G$3:$G$10000,$A137,Evaluations!$S$3:$S$10000,1)/(COUNTIFS(Evaluations!$G$3:$G$10000,$A137,Evaluations!$S$3:$S$10000,1)+COUNTIFS(Evaluations!$G$3:$G$10000,$A137,Evaluations!$S$3:$S$10000,0)),2),""))</f>
        <v/>
      </c>
      <c r="J137" s="10" t="str">
        <f>IF($A137="","",IFERROR(ROUND(100*COUNTIFS(Evaluations!$G$3:$G$10000,$A137,Evaluations!$T$3:$T$10000,1)/(COUNTIFS(Evaluations!$G$3:$G$10000,$A137,Evaluations!$T$3:$T$10000,1)+COUNTIFS(Evaluations!$G$3:$G$10000,$A137,Evaluations!$T$3:$T$10000,0)),2),""))</f>
        <v/>
      </c>
      <c r="K137" s="10" t="str">
        <f>IF($A137="","",COUNTIFS(Evaluations!$G$3:$G$10000,$A137,Evaluations!$M$3:$M$10000,"عدم پاسخ"))</f>
        <v/>
      </c>
      <c r="L137" s="10" t="str">
        <f>IF($A137="","",COUNTIFS(Evaluations!$G$3:$G$10000,$A137,Evaluations!$O$3:$O$10000,"رعایت نشده"))</f>
        <v/>
      </c>
    </row>
    <row r="138">
      <c r="A138" s="10"/>
      <c r="B138" s="10" t="str">
        <f t="array" ref="B138">_xlfn.XLOOKUP(A138,DATA!D:D,DATA!E:E,"")</f>
        <v/>
      </c>
      <c r="C138" s="10" t="str">
        <f>IF($A138="","",COUNTIFS(Evaluations!$G$3:$G$10000,$A138,Evaluations!$U$3:$U$10000,"&gt;=0",Evaluations!$U$3:$U$10000,"&lt;=100"))</f>
        <v/>
      </c>
      <c r="D138" s="10" t="str">
        <f>IF(OR($A138="",C138=0),"",ROUND(SUMIFS(Evaluations!$U$3:$U$10000,Evaluations!$G$3:$G$10000,$A138)/C138,2))</f>
        <v/>
      </c>
      <c r="E138" s="10" t="str">
        <f>IF($A138="","",COUNTIFS(Evaluations!$G$3:$G$10000,$A138,Evaluations!$M$3:$M$10000,"پاسخ داده شده"))</f>
        <v/>
      </c>
      <c r="F138" s="10" t="str">
        <f>IF($A138="","",IFERROR(COUNTIFS(Evaluations!$G$3:$G$10000,$A138,Evaluations!$O$3:$O$10000,"رعایت شده")/(COUNTIFS(Evaluations!$G$3:$G$10000,$A138,Evaluations!$O$3:$O$10000,"رعایت شده")+COUNTIFS(Evaluations!$G$3:$G$10000,$A138,Evaluations!$O$3:$O$10000,"رعایت نشده")),""))</f>
        <v/>
      </c>
      <c r="G138" s="10" t="str">
        <f>IF($A138="","",IFERROR(ROUND(100*COUNTIFS(Evaluations!$G$3:$G$10000,$A138,Evaluations!$Q$3:$Q$10000,1)/(COUNTIFS(Evaluations!$G$3:$G$10000,$A138,Evaluations!$Q$3:$Q$10000,1)+COUNTIFS(Evaluations!$G$3:$G$10000,$A138,Evaluations!$Q$3:$Q$10000,0)),2),""))</f>
        <v/>
      </c>
      <c r="H138" s="10" t="str">
        <f>IF($A138="","",IFERROR(ROUND(100*COUNTIFS(Evaluations!$G$3:$G$10000,$A138,Evaluations!$R$3:$R$10000,1)/(COUNTIFS(Evaluations!$G$3:$G$10000,$A138,Evaluations!$R$3:$R$10000,1)+COUNTIFS(Evaluations!$G$3:$G$10000,$A138,Evaluations!$R$3:$R$10000,0)),2),""))</f>
        <v/>
      </c>
      <c r="I138" s="10" t="str">
        <f>IF($A138="","",IFERROR(ROUND(100*COUNTIFS(Evaluations!$G$3:$G$10000,$A138,Evaluations!$S$3:$S$10000,1)/(COUNTIFS(Evaluations!$G$3:$G$10000,$A138,Evaluations!$S$3:$S$10000,1)+COUNTIFS(Evaluations!$G$3:$G$10000,$A138,Evaluations!$S$3:$S$10000,0)),2),""))</f>
        <v/>
      </c>
      <c r="J138" s="10" t="str">
        <f>IF($A138="","",IFERROR(ROUND(100*COUNTIFS(Evaluations!$G$3:$G$10000,$A138,Evaluations!$T$3:$T$10000,1)/(COUNTIFS(Evaluations!$G$3:$G$10000,$A138,Evaluations!$T$3:$T$10000,1)+COUNTIFS(Evaluations!$G$3:$G$10000,$A138,Evaluations!$T$3:$T$10000,0)),2),""))</f>
        <v/>
      </c>
      <c r="K138" s="10" t="str">
        <f>IF($A138="","",COUNTIFS(Evaluations!$G$3:$G$10000,$A138,Evaluations!$M$3:$M$10000,"عدم پاسخ"))</f>
        <v/>
      </c>
      <c r="L138" s="10" t="str">
        <f>IF($A138="","",COUNTIFS(Evaluations!$G$3:$G$10000,$A138,Evaluations!$O$3:$O$10000,"رعایت نشده"))</f>
        <v/>
      </c>
    </row>
    <row r="139">
      <c r="A139" s="10"/>
      <c r="B139" s="10" t="str">
        <f t="array" ref="B139">_xlfn.XLOOKUP(A139,DATA!D:D,DATA!E:E,"")</f>
        <v/>
      </c>
      <c r="C139" s="10" t="str">
        <f>IF($A139="","",COUNTIFS(Evaluations!$G$3:$G$10000,$A139,Evaluations!$U$3:$U$10000,"&gt;=0",Evaluations!$U$3:$U$10000,"&lt;=100"))</f>
        <v/>
      </c>
      <c r="D139" s="10" t="str">
        <f>IF(OR($A139="",C139=0),"",ROUND(SUMIFS(Evaluations!$U$3:$U$10000,Evaluations!$G$3:$G$10000,$A139)/C139,2))</f>
        <v/>
      </c>
      <c r="E139" s="10" t="str">
        <f>IF($A139="","",COUNTIFS(Evaluations!$G$3:$G$10000,$A139,Evaluations!$M$3:$M$10000,"پاسخ داده شده"))</f>
        <v/>
      </c>
      <c r="F139" s="10" t="str">
        <f>IF($A139="","",IFERROR(COUNTIFS(Evaluations!$G$3:$G$10000,$A139,Evaluations!$O$3:$O$10000,"رعایت شده")/(COUNTIFS(Evaluations!$G$3:$G$10000,$A139,Evaluations!$O$3:$O$10000,"رعایت شده")+COUNTIFS(Evaluations!$G$3:$G$10000,$A139,Evaluations!$O$3:$O$10000,"رعایت نشده")),""))</f>
        <v/>
      </c>
      <c r="G139" s="10" t="str">
        <f>IF($A139="","",IFERROR(ROUND(100*COUNTIFS(Evaluations!$G$3:$G$10000,$A139,Evaluations!$Q$3:$Q$10000,1)/(COUNTIFS(Evaluations!$G$3:$G$10000,$A139,Evaluations!$Q$3:$Q$10000,1)+COUNTIFS(Evaluations!$G$3:$G$10000,$A139,Evaluations!$Q$3:$Q$10000,0)),2),""))</f>
        <v/>
      </c>
      <c r="H139" s="10" t="str">
        <f>IF($A139="","",IFERROR(ROUND(100*COUNTIFS(Evaluations!$G$3:$G$10000,$A139,Evaluations!$R$3:$R$10000,1)/(COUNTIFS(Evaluations!$G$3:$G$10000,$A139,Evaluations!$R$3:$R$10000,1)+COUNTIFS(Evaluations!$G$3:$G$10000,$A139,Evaluations!$R$3:$R$10000,0)),2),""))</f>
        <v/>
      </c>
      <c r="I139" s="10" t="str">
        <f>IF($A139="","",IFERROR(ROUND(100*COUNTIFS(Evaluations!$G$3:$G$10000,$A139,Evaluations!$S$3:$S$10000,1)/(COUNTIFS(Evaluations!$G$3:$G$10000,$A139,Evaluations!$S$3:$S$10000,1)+COUNTIFS(Evaluations!$G$3:$G$10000,$A139,Evaluations!$S$3:$S$10000,0)),2),""))</f>
        <v/>
      </c>
      <c r="J139" s="10" t="str">
        <f>IF($A139="","",IFERROR(ROUND(100*COUNTIFS(Evaluations!$G$3:$G$10000,$A139,Evaluations!$T$3:$T$10000,1)/(COUNTIFS(Evaluations!$G$3:$G$10000,$A139,Evaluations!$T$3:$T$10000,1)+COUNTIFS(Evaluations!$G$3:$G$10000,$A139,Evaluations!$T$3:$T$10000,0)),2),""))</f>
        <v/>
      </c>
      <c r="K139" s="10" t="str">
        <f>IF($A139="","",COUNTIFS(Evaluations!$G$3:$G$10000,$A139,Evaluations!$M$3:$M$10000,"عدم پاسخ"))</f>
        <v/>
      </c>
      <c r="L139" s="10" t="str">
        <f>IF($A139="","",COUNTIFS(Evaluations!$G$3:$G$10000,$A139,Evaluations!$O$3:$O$10000,"رعایت نشده"))</f>
        <v/>
      </c>
    </row>
    <row r="140">
      <c r="A140" s="10"/>
      <c r="B140" s="10" t="str">
        <f t="array" ref="B140">_xlfn.XLOOKUP(A140,DATA!D:D,DATA!E:E,"")</f>
        <v/>
      </c>
      <c r="C140" s="10" t="str">
        <f>IF($A140="","",COUNTIFS(Evaluations!$G$3:$G$10000,$A140,Evaluations!$U$3:$U$10000,"&gt;=0",Evaluations!$U$3:$U$10000,"&lt;=100"))</f>
        <v/>
      </c>
      <c r="D140" s="10" t="str">
        <f>IF(OR($A140="",C140=0),"",ROUND(SUMIFS(Evaluations!$U$3:$U$10000,Evaluations!$G$3:$G$10000,$A140)/C140,2))</f>
        <v/>
      </c>
      <c r="E140" s="10" t="str">
        <f>IF($A140="","",COUNTIFS(Evaluations!$G$3:$G$10000,$A140,Evaluations!$M$3:$M$10000,"پاسخ داده شده"))</f>
        <v/>
      </c>
      <c r="F140" s="10" t="str">
        <f>IF($A140="","",IFERROR(COUNTIFS(Evaluations!$G$3:$G$10000,$A140,Evaluations!$O$3:$O$10000,"رعایت شده")/(COUNTIFS(Evaluations!$G$3:$G$10000,$A140,Evaluations!$O$3:$O$10000,"رعایت شده")+COUNTIFS(Evaluations!$G$3:$G$10000,$A140,Evaluations!$O$3:$O$10000,"رعایت نشده")),""))</f>
        <v/>
      </c>
      <c r="G140" s="10" t="str">
        <f>IF($A140="","",IFERROR(ROUND(100*COUNTIFS(Evaluations!$G$3:$G$10000,$A140,Evaluations!$Q$3:$Q$10000,1)/(COUNTIFS(Evaluations!$G$3:$G$10000,$A140,Evaluations!$Q$3:$Q$10000,1)+COUNTIFS(Evaluations!$G$3:$G$10000,$A140,Evaluations!$Q$3:$Q$10000,0)),2),""))</f>
        <v/>
      </c>
      <c r="H140" s="10" t="str">
        <f>IF($A140="","",IFERROR(ROUND(100*COUNTIFS(Evaluations!$G$3:$G$10000,$A140,Evaluations!$R$3:$R$10000,1)/(COUNTIFS(Evaluations!$G$3:$G$10000,$A140,Evaluations!$R$3:$R$10000,1)+COUNTIFS(Evaluations!$G$3:$G$10000,$A140,Evaluations!$R$3:$R$10000,0)),2),""))</f>
        <v/>
      </c>
      <c r="I140" s="10" t="str">
        <f>IF($A140="","",IFERROR(ROUND(100*COUNTIFS(Evaluations!$G$3:$G$10000,$A140,Evaluations!$S$3:$S$10000,1)/(COUNTIFS(Evaluations!$G$3:$G$10000,$A140,Evaluations!$S$3:$S$10000,1)+COUNTIFS(Evaluations!$G$3:$G$10000,$A140,Evaluations!$S$3:$S$10000,0)),2),""))</f>
        <v/>
      </c>
      <c r="J140" s="10" t="str">
        <f>IF($A140="","",IFERROR(ROUND(100*COUNTIFS(Evaluations!$G$3:$G$10000,$A140,Evaluations!$T$3:$T$10000,1)/(COUNTIFS(Evaluations!$G$3:$G$10000,$A140,Evaluations!$T$3:$T$10000,1)+COUNTIFS(Evaluations!$G$3:$G$10000,$A140,Evaluations!$T$3:$T$10000,0)),2),""))</f>
        <v/>
      </c>
      <c r="K140" s="10" t="str">
        <f>IF($A140="","",COUNTIFS(Evaluations!$G$3:$G$10000,$A140,Evaluations!$M$3:$M$10000,"عدم پاسخ"))</f>
        <v/>
      </c>
      <c r="L140" s="10" t="str">
        <f>IF($A140="","",COUNTIFS(Evaluations!$G$3:$G$10000,$A140,Evaluations!$O$3:$O$10000,"رعایت نشده"))</f>
        <v/>
      </c>
    </row>
    <row r="141">
      <c r="A141" s="10"/>
      <c r="B141" s="10" t="str">
        <f t="array" ref="B141">_xlfn.XLOOKUP(A141,DATA!D:D,DATA!E:E,"")</f>
        <v/>
      </c>
      <c r="C141" s="10" t="str">
        <f>IF($A141="","",COUNTIFS(Evaluations!$G$3:$G$10000,$A141,Evaluations!$U$3:$U$10000,"&gt;=0",Evaluations!$U$3:$U$10000,"&lt;=100"))</f>
        <v/>
      </c>
      <c r="D141" s="10" t="str">
        <f>IF(OR($A141="",C141=0),"",ROUND(SUMIFS(Evaluations!$U$3:$U$10000,Evaluations!$G$3:$G$10000,$A141)/C141,2))</f>
        <v/>
      </c>
      <c r="E141" s="10" t="str">
        <f>IF($A141="","",COUNTIFS(Evaluations!$G$3:$G$10000,$A141,Evaluations!$M$3:$M$10000,"پاسخ داده شده"))</f>
        <v/>
      </c>
      <c r="F141" s="10" t="str">
        <f>IF($A141="","",IFERROR(COUNTIFS(Evaluations!$G$3:$G$10000,$A141,Evaluations!$O$3:$O$10000,"رعایت شده")/(COUNTIFS(Evaluations!$G$3:$G$10000,$A141,Evaluations!$O$3:$O$10000,"رعایت شده")+COUNTIFS(Evaluations!$G$3:$G$10000,$A141,Evaluations!$O$3:$O$10000,"رعایت نشده")),""))</f>
        <v/>
      </c>
      <c r="G141" s="10" t="str">
        <f>IF($A141="","",IFERROR(ROUND(100*COUNTIFS(Evaluations!$G$3:$G$10000,$A141,Evaluations!$Q$3:$Q$10000,1)/(COUNTIFS(Evaluations!$G$3:$G$10000,$A141,Evaluations!$Q$3:$Q$10000,1)+COUNTIFS(Evaluations!$G$3:$G$10000,$A141,Evaluations!$Q$3:$Q$10000,0)),2),""))</f>
        <v/>
      </c>
      <c r="H141" s="10" t="str">
        <f>IF($A141="","",IFERROR(ROUND(100*COUNTIFS(Evaluations!$G$3:$G$10000,$A141,Evaluations!$R$3:$R$10000,1)/(COUNTIFS(Evaluations!$G$3:$G$10000,$A141,Evaluations!$R$3:$R$10000,1)+COUNTIFS(Evaluations!$G$3:$G$10000,$A141,Evaluations!$R$3:$R$10000,0)),2),""))</f>
        <v/>
      </c>
      <c r="I141" s="10" t="str">
        <f>IF($A141="","",IFERROR(ROUND(100*COUNTIFS(Evaluations!$G$3:$G$10000,$A141,Evaluations!$S$3:$S$10000,1)/(COUNTIFS(Evaluations!$G$3:$G$10000,$A141,Evaluations!$S$3:$S$10000,1)+COUNTIFS(Evaluations!$G$3:$G$10000,$A141,Evaluations!$S$3:$S$10000,0)),2),""))</f>
        <v/>
      </c>
      <c r="J141" s="10" t="str">
        <f>IF($A141="","",IFERROR(ROUND(100*COUNTIFS(Evaluations!$G$3:$G$10000,$A141,Evaluations!$T$3:$T$10000,1)/(COUNTIFS(Evaluations!$G$3:$G$10000,$A141,Evaluations!$T$3:$T$10000,1)+COUNTIFS(Evaluations!$G$3:$G$10000,$A141,Evaluations!$T$3:$T$10000,0)),2),""))</f>
        <v/>
      </c>
      <c r="K141" s="10" t="str">
        <f>IF($A141="","",COUNTIFS(Evaluations!$G$3:$G$10000,$A141,Evaluations!$M$3:$M$10000,"عدم پاسخ"))</f>
        <v/>
      </c>
      <c r="L141" s="10" t="str">
        <f>IF($A141="","",COUNTIFS(Evaluations!$G$3:$G$10000,$A141,Evaluations!$O$3:$O$10000,"رعایت نشده"))</f>
        <v/>
      </c>
    </row>
    <row r="142">
      <c r="A142" s="10"/>
      <c r="B142" s="10" t="str">
        <f t="array" ref="B142">_xlfn.XLOOKUP(A142,DATA!D:D,DATA!E:E,"")</f>
        <v/>
      </c>
      <c r="C142" s="10" t="str">
        <f>IF($A142="","",COUNTIFS(Evaluations!$G$3:$G$10000,$A142,Evaluations!$U$3:$U$10000,"&gt;=0",Evaluations!$U$3:$U$10000,"&lt;=100"))</f>
        <v/>
      </c>
      <c r="D142" s="10" t="str">
        <f>IF(OR($A142="",C142=0),"",ROUND(SUMIFS(Evaluations!$U$3:$U$10000,Evaluations!$G$3:$G$10000,$A142)/C142,2))</f>
        <v/>
      </c>
      <c r="E142" s="10" t="str">
        <f>IF($A142="","",COUNTIFS(Evaluations!$G$3:$G$10000,$A142,Evaluations!$M$3:$M$10000,"پاسخ داده شده"))</f>
        <v/>
      </c>
      <c r="F142" s="10" t="str">
        <f>IF($A142="","",IFERROR(COUNTIFS(Evaluations!$G$3:$G$10000,$A142,Evaluations!$O$3:$O$10000,"رعایت شده")/(COUNTIFS(Evaluations!$G$3:$G$10000,$A142,Evaluations!$O$3:$O$10000,"رعایت شده")+COUNTIFS(Evaluations!$G$3:$G$10000,$A142,Evaluations!$O$3:$O$10000,"رعایت نشده")),""))</f>
        <v/>
      </c>
      <c r="G142" s="10" t="str">
        <f>IF($A142="","",IFERROR(ROUND(100*COUNTIFS(Evaluations!$G$3:$G$10000,$A142,Evaluations!$Q$3:$Q$10000,1)/(COUNTIFS(Evaluations!$G$3:$G$10000,$A142,Evaluations!$Q$3:$Q$10000,1)+COUNTIFS(Evaluations!$G$3:$G$10000,$A142,Evaluations!$Q$3:$Q$10000,0)),2),""))</f>
        <v/>
      </c>
      <c r="H142" s="10" t="str">
        <f>IF($A142="","",IFERROR(ROUND(100*COUNTIFS(Evaluations!$G$3:$G$10000,$A142,Evaluations!$R$3:$R$10000,1)/(COUNTIFS(Evaluations!$G$3:$G$10000,$A142,Evaluations!$R$3:$R$10000,1)+COUNTIFS(Evaluations!$G$3:$G$10000,$A142,Evaluations!$R$3:$R$10000,0)),2),""))</f>
        <v/>
      </c>
      <c r="I142" s="10" t="str">
        <f>IF($A142="","",IFERROR(ROUND(100*COUNTIFS(Evaluations!$G$3:$G$10000,$A142,Evaluations!$S$3:$S$10000,1)/(COUNTIFS(Evaluations!$G$3:$G$10000,$A142,Evaluations!$S$3:$S$10000,1)+COUNTIFS(Evaluations!$G$3:$G$10000,$A142,Evaluations!$S$3:$S$10000,0)),2),""))</f>
        <v/>
      </c>
      <c r="J142" s="10" t="str">
        <f>IF($A142="","",IFERROR(ROUND(100*COUNTIFS(Evaluations!$G$3:$G$10000,$A142,Evaluations!$T$3:$T$10000,1)/(COUNTIFS(Evaluations!$G$3:$G$10000,$A142,Evaluations!$T$3:$T$10000,1)+COUNTIFS(Evaluations!$G$3:$G$10000,$A142,Evaluations!$T$3:$T$10000,0)),2),""))</f>
        <v/>
      </c>
      <c r="K142" s="10" t="str">
        <f>IF($A142="","",COUNTIFS(Evaluations!$G$3:$G$10000,$A142,Evaluations!$M$3:$M$10000,"عدم پاسخ"))</f>
        <v/>
      </c>
      <c r="L142" s="10" t="str">
        <f>IF($A142="","",COUNTIFS(Evaluations!$G$3:$G$10000,$A142,Evaluations!$O$3:$O$10000,"رعایت نشده"))</f>
        <v/>
      </c>
    </row>
    <row r="143">
      <c r="A143" s="10"/>
      <c r="B143" s="10" t="str">
        <f t="array" ref="B143">_xlfn.XLOOKUP(A143,DATA!D:D,DATA!E:E,"")</f>
        <v/>
      </c>
      <c r="C143" s="10" t="str">
        <f>IF($A143="","",COUNTIFS(Evaluations!$G$3:$G$10000,$A143,Evaluations!$U$3:$U$10000,"&gt;=0",Evaluations!$U$3:$U$10000,"&lt;=100"))</f>
        <v/>
      </c>
      <c r="D143" s="10" t="str">
        <f>IF(OR($A143="",C143=0),"",ROUND(SUMIFS(Evaluations!$U$3:$U$10000,Evaluations!$G$3:$G$10000,$A143)/C143,2))</f>
        <v/>
      </c>
      <c r="E143" s="10" t="str">
        <f>IF($A143="","",COUNTIFS(Evaluations!$G$3:$G$10000,$A143,Evaluations!$M$3:$M$10000,"پاسخ داده شده"))</f>
        <v/>
      </c>
      <c r="F143" s="10" t="str">
        <f>IF($A143="","",IFERROR(COUNTIFS(Evaluations!$G$3:$G$10000,$A143,Evaluations!$O$3:$O$10000,"رعایت شده")/(COUNTIFS(Evaluations!$G$3:$G$10000,$A143,Evaluations!$O$3:$O$10000,"رعایت شده")+COUNTIFS(Evaluations!$G$3:$G$10000,$A143,Evaluations!$O$3:$O$10000,"رعایت نشده")),""))</f>
        <v/>
      </c>
      <c r="G143" s="10" t="str">
        <f>IF($A143="","",IFERROR(ROUND(100*COUNTIFS(Evaluations!$G$3:$G$10000,$A143,Evaluations!$Q$3:$Q$10000,1)/(COUNTIFS(Evaluations!$G$3:$G$10000,$A143,Evaluations!$Q$3:$Q$10000,1)+COUNTIFS(Evaluations!$G$3:$G$10000,$A143,Evaluations!$Q$3:$Q$10000,0)),2),""))</f>
        <v/>
      </c>
      <c r="H143" s="10" t="str">
        <f>IF($A143="","",IFERROR(ROUND(100*COUNTIFS(Evaluations!$G$3:$G$10000,$A143,Evaluations!$R$3:$R$10000,1)/(COUNTIFS(Evaluations!$G$3:$G$10000,$A143,Evaluations!$R$3:$R$10000,1)+COUNTIFS(Evaluations!$G$3:$G$10000,$A143,Evaluations!$R$3:$R$10000,0)),2),""))</f>
        <v/>
      </c>
      <c r="I143" s="10" t="str">
        <f>IF($A143="","",IFERROR(ROUND(100*COUNTIFS(Evaluations!$G$3:$G$10000,$A143,Evaluations!$S$3:$S$10000,1)/(COUNTIFS(Evaluations!$G$3:$G$10000,$A143,Evaluations!$S$3:$S$10000,1)+COUNTIFS(Evaluations!$G$3:$G$10000,$A143,Evaluations!$S$3:$S$10000,0)),2),""))</f>
        <v/>
      </c>
      <c r="J143" s="10" t="str">
        <f>IF($A143="","",IFERROR(ROUND(100*COUNTIFS(Evaluations!$G$3:$G$10000,$A143,Evaluations!$T$3:$T$10000,1)/(COUNTIFS(Evaluations!$G$3:$G$10000,$A143,Evaluations!$T$3:$T$10000,1)+COUNTIFS(Evaluations!$G$3:$G$10000,$A143,Evaluations!$T$3:$T$10000,0)),2),""))</f>
        <v/>
      </c>
      <c r="K143" s="10" t="str">
        <f>IF($A143="","",COUNTIFS(Evaluations!$G$3:$G$10000,$A143,Evaluations!$M$3:$M$10000,"عدم پاسخ"))</f>
        <v/>
      </c>
      <c r="L143" s="10" t="str">
        <f>IF($A143="","",COUNTIFS(Evaluations!$G$3:$G$10000,$A143,Evaluations!$O$3:$O$10000,"رعایت نشده"))</f>
        <v/>
      </c>
    </row>
    <row r="144">
      <c r="A144" s="10"/>
      <c r="B144" s="10" t="str">
        <f t="array" ref="B144">_xlfn.XLOOKUP(A144,DATA!D:D,DATA!E:E,"")</f>
        <v/>
      </c>
      <c r="C144" s="10" t="str">
        <f>IF($A144="","",COUNTIFS(Evaluations!$G$3:$G$10000,$A144,Evaluations!$U$3:$U$10000,"&gt;=0",Evaluations!$U$3:$U$10000,"&lt;=100"))</f>
        <v/>
      </c>
      <c r="D144" s="10" t="str">
        <f>IF(OR($A144="",C144=0),"",ROUND(SUMIFS(Evaluations!$U$3:$U$10000,Evaluations!$G$3:$G$10000,$A144)/C144,2))</f>
        <v/>
      </c>
      <c r="E144" s="10" t="str">
        <f>IF($A144="","",COUNTIFS(Evaluations!$G$3:$G$10000,$A144,Evaluations!$M$3:$M$10000,"پاسخ داده شده"))</f>
        <v/>
      </c>
      <c r="F144" s="10" t="str">
        <f>IF($A144="","",IFERROR(COUNTIFS(Evaluations!$G$3:$G$10000,$A144,Evaluations!$O$3:$O$10000,"رعایت شده")/(COUNTIFS(Evaluations!$G$3:$G$10000,$A144,Evaluations!$O$3:$O$10000,"رعایت شده")+COUNTIFS(Evaluations!$G$3:$G$10000,$A144,Evaluations!$O$3:$O$10000,"رعایت نشده")),""))</f>
        <v/>
      </c>
      <c r="G144" s="10" t="str">
        <f>IF($A144="","",IFERROR(ROUND(100*COUNTIFS(Evaluations!$G$3:$G$10000,$A144,Evaluations!$Q$3:$Q$10000,1)/(COUNTIFS(Evaluations!$G$3:$G$10000,$A144,Evaluations!$Q$3:$Q$10000,1)+COUNTIFS(Evaluations!$G$3:$G$10000,$A144,Evaluations!$Q$3:$Q$10000,0)),2),""))</f>
        <v/>
      </c>
      <c r="H144" s="10" t="str">
        <f>IF($A144="","",IFERROR(ROUND(100*COUNTIFS(Evaluations!$G$3:$G$10000,$A144,Evaluations!$R$3:$R$10000,1)/(COUNTIFS(Evaluations!$G$3:$G$10000,$A144,Evaluations!$R$3:$R$10000,1)+COUNTIFS(Evaluations!$G$3:$G$10000,$A144,Evaluations!$R$3:$R$10000,0)),2),""))</f>
        <v/>
      </c>
      <c r="I144" s="10" t="str">
        <f>IF($A144="","",IFERROR(ROUND(100*COUNTIFS(Evaluations!$G$3:$G$10000,$A144,Evaluations!$S$3:$S$10000,1)/(COUNTIFS(Evaluations!$G$3:$G$10000,$A144,Evaluations!$S$3:$S$10000,1)+COUNTIFS(Evaluations!$G$3:$G$10000,$A144,Evaluations!$S$3:$S$10000,0)),2),""))</f>
        <v/>
      </c>
      <c r="J144" s="10" t="str">
        <f>IF($A144="","",IFERROR(ROUND(100*COUNTIFS(Evaluations!$G$3:$G$10000,$A144,Evaluations!$T$3:$T$10000,1)/(COUNTIFS(Evaluations!$G$3:$G$10000,$A144,Evaluations!$T$3:$T$10000,1)+COUNTIFS(Evaluations!$G$3:$G$10000,$A144,Evaluations!$T$3:$T$10000,0)),2),""))</f>
        <v/>
      </c>
      <c r="K144" s="10" t="str">
        <f>IF($A144="","",COUNTIFS(Evaluations!$G$3:$G$10000,$A144,Evaluations!$M$3:$M$10000,"عدم پاسخ"))</f>
        <v/>
      </c>
      <c r="L144" s="10" t="str">
        <f>IF($A144="","",COUNTIFS(Evaluations!$G$3:$G$10000,$A144,Evaluations!$O$3:$O$10000,"رعایت نشده"))</f>
        <v/>
      </c>
    </row>
    <row r="145">
      <c r="A145" s="10"/>
      <c r="B145" s="10" t="str">
        <f t="array" ref="B145">_xlfn.XLOOKUP(A145,DATA!D:D,DATA!E:E,"")</f>
        <v/>
      </c>
      <c r="C145" s="10" t="str">
        <f>IF($A145="","",COUNTIFS(Evaluations!$G$3:$G$10000,$A145,Evaluations!$U$3:$U$10000,"&gt;=0",Evaluations!$U$3:$U$10000,"&lt;=100"))</f>
        <v/>
      </c>
      <c r="D145" s="10" t="str">
        <f>IF(OR($A145="",C145=0),"",ROUND(SUMIFS(Evaluations!$U$3:$U$10000,Evaluations!$G$3:$G$10000,$A145)/C145,2))</f>
        <v/>
      </c>
      <c r="E145" s="10" t="str">
        <f>IF($A145="","",COUNTIFS(Evaluations!$G$3:$G$10000,$A145,Evaluations!$M$3:$M$10000,"پاسخ داده شده"))</f>
        <v/>
      </c>
      <c r="F145" s="10" t="str">
        <f>IF($A145="","",IFERROR(COUNTIFS(Evaluations!$G$3:$G$10000,$A145,Evaluations!$O$3:$O$10000,"رعایت شده")/(COUNTIFS(Evaluations!$G$3:$G$10000,$A145,Evaluations!$O$3:$O$10000,"رعایت شده")+COUNTIFS(Evaluations!$G$3:$G$10000,$A145,Evaluations!$O$3:$O$10000,"رعایت نشده")),""))</f>
        <v/>
      </c>
      <c r="G145" s="10" t="str">
        <f>IF($A145="","",IFERROR(ROUND(100*COUNTIFS(Evaluations!$G$3:$G$10000,$A145,Evaluations!$Q$3:$Q$10000,1)/(COUNTIFS(Evaluations!$G$3:$G$10000,$A145,Evaluations!$Q$3:$Q$10000,1)+COUNTIFS(Evaluations!$G$3:$G$10000,$A145,Evaluations!$Q$3:$Q$10000,0)),2),""))</f>
        <v/>
      </c>
      <c r="H145" s="10" t="str">
        <f>IF($A145="","",IFERROR(ROUND(100*COUNTIFS(Evaluations!$G$3:$G$10000,$A145,Evaluations!$R$3:$R$10000,1)/(COUNTIFS(Evaluations!$G$3:$G$10000,$A145,Evaluations!$R$3:$R$10000,1)+COUNTIFS(Evaluations!$G$3:$G$10000,$A145,Evaluations!$R$3:$R$10000,0)),2),""))</f>
        <v/>
      </c>
      <c r="I145" s="10" t="str">
        <f>IF($A145="","",IFERROR(ROUND(100*COUNTIFS(Evaluations!$G$3:$G$10000,$A145,Evaluations!$S$3:$S$10000,1)/(COUNTIFS(Evaluations!$G$3:$G$10000,$A145,Evaluations!$S$3:$S$10000,1)+COUNTIFS(Evaluations!$G$3:$G$10000,$A145,Evaluations!$S$3:$S$10000,0)),2),""))</f>
        <v/>
      </c>
      <c r="J145" s="10" t="str">
        <f>IF($A145="","",IFERROR(ROUND(100*COUNTIFS(Evaluations!$G$3:$G$10000,$A145,Evaluations!$T$3:$T$10000,1)/(COUNTIFS(Evaluations!$G$3:$G$10000,$A145,Evaluations!$T$3:$T$10000,1)+COUNTIFS(Evaluations!$G$3:$G$10000,$A145,Evaluations!$T$3:$T$10000,0)),2),""))</f>
        <v/>
      </c>
      <c r="K145" s="10" t="str">
        <f>IF($A145="","",COUNTIFS(Evaluations!$G$3:$G$10000,$A145,Evaluations!$M$3:$M$10000,"عدم پاسخ"))</f>
        <v/>
      </c>
      <c r="L145" s="10" t="str">
        <f>IF($A145="","",COUNTIFS(Evaluations!$G$3:$G$10000,$A145,Evaluations!$O$3:$O$10000,"رعایت نشده"))</f>
        <v/>
      </c>
    </row>
    <row r="146">
      <c r="A146" s="10"/>
      <c r="B146" s="10" t="str">
        <f t="array" ref="B146">_xlfn.XLOOKUP(A146,DATA!D:D,DATA!E:E,"")</f>
        <v/>
      </c>
      <c r="C146" s="10" t="str">
        <f>IF($A146="","",COUNTIFS(Evaluations!$G$3:$G$10000,$A146,Evaluations!$U$3:$U$10000,"&gt;=0",Evaluations!$U$3:$U$10000,"&lt;=100"))</f>
        <v/>
      </c>
      <c r="D146" s="10" t="str">
        <f>IF(OR($A146="",C146=0),"",ROUND(SUMIFS(Evaluations!$U$3:$U$10000,Evaluations!$G$3:$G$10000,$A146)/C146,2))</f>
        <v/>
      </c>
      <c r="E146" s="10" t="str">
        <f>IF($A146="","",COUNTIFS(Evaluations!$G$3:$G$10000,$A146,Evaluations!$M$3:$M$10000,"پاسخ داده شده"))</f>
        <v/>
      </c>
      <c r="F146" s="10" t="str">
        <f>IF($A146="","",IFERROR(COUNTIFS(Evaluations!$G$3:$G$10000,$A146,Evaluations!$O$3:$O$10000,"رعایت شده")/(COUNTIFS(Evaluations!$G$3:$G$10000,$A146,Evaluations!$O$3:$O$10000,"رعایت شده")+COUNTIFS(Evaluations!$G$3:$G$10000,$A146,Evaluations!$O$3:$O$10000,"رعایت نشده")),""))</f>
        <v/>
      </c>
      <c r="G146" s="10" t="str">
        <f>IF($A146="","",IFERROR(ROUND(100*COUNTIFS(Evaluations!$G$3:$G$10000,$A146,Evaluations!$Q$3:$Q$10000,1)/(COUNTIFS(Evaluations!$G$3:$G$10000,$A146,Evaluations!$Q$3:$Q$10000,1)+COUNTIFS(Evaluations!$G$3:$G$10000,$A146,Evaluations!$Q$3:$Q$10000,0)),2),""))</f>
        <v/>
      </c>
      <c r="H146" s="10" t="str">
        <f>IF($A146="","",IFERROR(ROUND(100*COUNTIFS(Evaluations!$G$3:$G$10000,$A146,Evaluations!$R$3:$R$10000,1)/(COUNTIFS(Evaluations!$G$3:$G$10000,$A146,Evaluations!$R$3:$R$10000,1)+COUNTIFS(Evaluations!$G$3:$G$10000,$A146,Evaluations!$R$3:$R$10000,0)),2),""))</f>
        <v/>
      </c>
      <c r="I146" s="10" t="str">
        <f>IF($A146="","",IFERROR(ROUND(100*COUNTIFS(Evaluations!$G$3:$G$10000,$A146,Evaluations!$S$3:$S$10000,1)/(COUNTIFS(Evaluations!$G$3:$G$10000,$A146,Evaluations!$S$3:$S$10000,1)+COUNTIFS(Evaluations!$G$3:$G$10000,$A146,Evaluations!$S$3:$S$10000,0)),2),""))</f>
        <v/>
      </c>
      <c r="J146" s="10" t="str">
        <f>IF($A146="","",IFERROR(ROUND(100*COUNTIFS(Evaluations!$G$3:$G$10000,$A146,Evaluations!$T$3:$T$10000,1)/(COUNTIFS(Evaluations!$G$3:$G$10000,$A146,Evaluations!$T$3:$T$10000,1)+COUNTIFS(Evaluations!$G$3:$G$10000,$A146,Evaluations!$T$3:$T$10000,0)),2),""))</f>
        <v/>
      </c>
      <c r="K146" s="10" t="str">
        <f>IF($A146="","",COUNTIFS(Evaluations!$G$3:$G$10000,$A146,Evaluations!$M$3:$M$10000,"عدم پاسخ"))</f>
        <v/>
      </c>
      <c r="L146" s="10" t="str">
        <f>IF($A146="","",COUNTIFS(Evaluations!$G$3:$G$10000,$A146,Evaluations!$O$3:$O$10000,"رعایت نشده"))</f>
        <v/>
      </c>
    </row>
    <row r="147">
      <c r="A147" s="10"/>
      <c r="B147" s="10" t="str">
        <f t="array" ref="B147">_xlfn.XLOOKUP(A147,DATA!D:D,DATA!E:E,"")</f>
        <v/>
      </c>
      <c r="C147" s="10" t="str">
        <f>IF($A147="","",COUNTIFS(Evaluations!$G$3:$G$10000,$A147,Evaluations!$U$3:$U$10000,"&gt;=0",Evaluations!$U$3:$U$10000,"&lt;=100"))</f>
        <v/>
      </c>
      <c r="D147" s="10" t="str">
        <f>IF(OR($A147="",C147=0),"",ROUND(SUMIFS(Evaluations!$U$3:$U$10000,Evaluations!$G$3:$G$10000,$A147)/C147,2))</f>
        <v/>
      </c>
      <c r="E147" s="10" t="str">
        <f>IF($A147="","",COUNTIFS(Evaluations!$G$3:$G$10000,$A147,Evaluations!$M$3:$M$10000,"پاسخ داده شده"))</f>
        <v/>
      </c>
      <c r="F147" s="10" t="str">
        <f>IF($A147="","",IFERROR(COUNTIFS(Evaluations!$G$3:$G$10000,$A147,Evaluations!$O$3:$O$10000,"رعایت شده")/(COUNTIFS(Evaluations!$G$3:$G$10000,$A147,Evaluations!$O$3:$O$10000,"رعایت شده")+COUNTIFS(Evaluations!$G$3:$G$10000,$A147,Evaluations!$O$3:$O$10000,"رعایت نشده")),""))</f>
        <v/>
      </c>
      <c r="G147" s="10" t="str">
        <f>IF($A147="","",IFERROR(ROUND(100*COUNTIFS(Evaluations!$G$3:$G$10000,$A147,Evaluations!$Q$3:$Q$10000,1)/(COUNTIFS(Evaluations!$G$3:$G$10000,$A147,Evaluations!$Q$3:$Q$10000,1)+COUNTIFS(Evaluations!$G$3:$G$10000,$A147,Evaluations!$Q$3:$Q$10000,0)),2),""))</f>
        <v/>
      </c>
      <c r="H147" s="10" t="str">
        <f>IF($A147="","",IFERROR(ROUND(100*COUNTIFS(Evaluations!$G$3:$G$10000,$A147,Evaluations!$R$3:$R$10000,1)/(COUNTIFS(Evaluations!$G$3:$G$10000,$A147,Evaluations!$R$3:$R$10000,1)+COUNTIFS(Evaluations!$G$3:$G$10000,$A147,Evaluations!$R$3:$R$10000,0)),2),""))</f>
        <v/>
      </c>
      <c r="I147" s="10" t="str">
        <f>IF($A147="","",IFERROR(ROUND(100*COUNTIFS(Evaluations!$G$3:$G$10000,$A147,Evaluations!$S$3:$S$10000,1)/(COUNTIFS(Evaluations!$G$3:$G$10000,$A147,Evaluations!$S$3:$S$10000,1)+COUNTIFS(Evaluations!$G$3:$G$10000,$A147,Evaluations!$S$3:$S$10000,0)),2),""))</f>
        <v/>
      </c>
      <c r="J147" s="10" t="str">
        <f>IF($A147="","",IFERROR(ROUND(100*COUNTIFS(Evaluations!$G$3:$G$10000,$A147,Evaluations!$T$3:$T$10000,1)/(COUNTIFS(Evaluations!$G$3:$G$10000,$A147,Evaluations!$T$3:$T$10000,1)+COUNTIFS(Evaluations!$G$3:$G$10000,$A147,Evaluations!$T$3:$T$10000,0)),2),""))</f>
        <v/>
      </c>
      <c r="K147" s="10" t="str">
        <f>IF($A147="","",COUNTIFS(Evaluations!$G$3:$G$10000,$A147,Evaluations!$M$3:$M$10000,"عدم پاسخ"))</f>
        <v/>
      </c>
      <c r="L147" s="10" t="str">
        <f>IF($A147="","",COUNTIFS(Evaluations!$G$3:$G$10000,$A147,Evaluations!$O$3:$O$10000,"رعایت نشده"))</f>
        <v/>
      </c>
    </row>
    <row r="148">
      <c r="A148" s="10"/>
      <c r="B148" s="10" t="str">
        <f t="array" ref="B148">_xlfn.XLOOKUP(A148,DATA!D:D,DATA!E:E,"")</f>
        <v/>
      </c>
      <c r="C148" s="10" t="str">
        <f>IF($A148="","",COUNTIFS(Evaluations!$G$3:$G$10000,$A148,Evaluations!$U$3:$U$10000,"&gt;=0",Evaluations!$U$3:$U$10000,"&lt;=100"))</f>
        <v/>
      </c>
      <c r="D148" s="10" t="str">
        <f>IF(OR($A148="",C148=0),"",ROUND(SUMIFS(Evaluations!$U$3:$U$10000,Evaluations!$G$3:$G$10000,$A148)/C148,2))</f>
        <v/>
      </c>
      <c r="E148" s="10" t="str">
        <f>IF($A148="","",COUNTIFS(Evaluations!$G$3:$G$10000,$A148,Evaluations!$M$3:$M$10000,"پاسخ داده شده"))</f>
        <v/>
      </c>
      <c r="F148" s="10" t="str">
        <f>IF($A148="","",IFERROR(COUNTIFS(Evaluations!$G$3:$G$10000,$A148,Evaluations!$O$3:$O$10000,"رعایت شده")/(COUNTIFS(Evaluations!$G$3:$G$10000,$A148,Evaluations!$O$3:$O$10000,"رعایت شده")+COUNTIFS(Evaluations!$G$3:$G$10000,$A148,Evaluations!$O$3:$O$10000,"رعایت نشده")),""))</f>
        <v/>
      </c>
      <c r="G148" s="10" t="str">
        <f>IF($A148="","",IFERROR(ROUND(100*COUNTIFS(Evaluations!$G$3:$G$10000,$A148,Evaluations!$Q$3:$Q$10000,1)/(COUNTIFS(Evaluations!$G$3:$G$10000,$A148,Evaluations!$Q$3:$Q$10000,1)+COUNTIFS(Evaluations!$G$3:$G$10000,$A148,Evaluations!$Q$3:$Q$10000,0)),2),""))</f>
        <v/>
      </c>
      <c r="H148" s="10" t="str">
        <f>IF($A148="","",IFERROR(ROUND(100*COUNTIFS(Evaluations!$G$3:$G$10000,$A148,Evaluations!$R$3:$R$10000,1)/(COUNTIFS(Evaluations!$G$3:$G$10000,$A148,Evaluations!$R$3:$R$10000,1)+COUNTIFS(Evaluations!$G$3:$G$10000,$A148,Evaluations!$R$3:$R$10000,0)),2),""))</f>
        <v/>
      </c>
      <c r="I148" s="10" t="str">
        <f>IF($A148="","",IFERROR(ROUND(100*COUNTIFS(Evaluations!$G$3:$G$10000,$A148,Evaluations!$S$3:$S$10000,1)/(COUNTIFS(Evaluations!$G$3:$G$10000,$A148,Evaluations!$S$3:$S$10000,1)+COUNTIFS(Evaluations!$G$3:$G$10000,$A148,Evaluations!$S$3:$S$10000,0)),2),""))</f>
        <v/>
      </c>
      <c r="J148" s="10" t="str">
        <f>IF($A148="","",IFERROR(ROUND(100*COUNTIFS(Evaluations!$G$3:$G$10000,$A148,Evaluations!$T$3:$T$10000,1)/(COUNTIFS(Evaluations!$G$3:$G$10000,$A148,Evaluations!$T$3:$T$10000,1)+COUNTIFS(Evaluations!$G$3:$G$10000,$A148,Evaluations!$T$3:$T$10000,0)),2),""))</f>
        <v/>
      </c>
      <c r="K148" s="10" t="str">
        <f>IF($A148="","",COUNTIFS(Evaluations!$G$3:$G$10000,$A148,Evaluations!$M$3:$M$10000,"عدم پاسخ"))</f>
        <v/>
      </c>
      <c r="L148" s="10" t="str">
        <f>IF($A148="","",COUNTIFS(Evaluations!$G$3:$G$10000,$A148,Evaluations!$O$3:$O$10000,"رعایت نشده"))</f>
        <v/>
      </c>
    </row>
    <row r="149">
      <c r="A149" s="10"/>
      <c r="B149" s="10" t="str">
        <f t="array" ref="B149">_xlfn.XLOOKUP(A149,DATA!D:D,DATA!E:E,"")</f>
        <v/>
      </c>
      <c r="C149" s="10" t="str">
        <f>IF($A149="","",COUNTIFS(Evaluations!$G$3:$G$10000,$A149,Evaluations!$U$3:$U$10000,"&gt;=0",Evaluations!$U$3:$U$10000,"&lt;=100"))</f>
        <v/>
      </c>
      <c r="D149" s="10" t="str">
        <f>IF(OR($A149="",C149=0),"",ROUND(SUMIFS(Evaluations!$U$3:$U$10000,Evaluations!$G$3:$G$10000,$A149)/C149,2))</f>
        <v/>
      </c>
      <c r="E149" s="10" t="str">
        <f>IF($A149="","",COUNTIFS(Evaluations!$G$3:$G$10000,$A149,Evaluations!$M$3:$M$10000,"پاسخ داده شده"))</f>
        <v/>
      </c>
      <c r="F149" s="10" t="str">
        <f>IF($A149="","",IFERROR(COUNTIFS(Evaluations!$G$3:$G$10000,$A149,Evaluations!$O$3:$O$10000,"رعایت شده")/(COUNTIFS(Evaluations!$G$3:$G$10000,$A149,Evaluations!$O$3:$O$10000,"رعایت شده")+COUNTIFS(Evaluations!$G$3:$G$10000,$A149,Evaluations!$O$3:$O$10000,"رعایت نشده")),""))</f>
        <v/>
      </c>
      <c r="G149" s="10" t="str">
        <f>IF($A149="","",IFERROR(ROUND(100*COUNTIFS(Evaluations!$G$3:$G$10000,$A149,Evaluations!$Q$3:$Q$10000,1)/(COUNTIFS(Evaluations!$G$3:$G$10000,$A149,Evaluations!$Q$3:$Q$10000,1)+COUNTIFS(Evaluations!$G$3:$G$10000,$A149,Evaluations!$Q$3:$Q$10000,0)),2),""))</f>
        <v/>
      </c>
      <c r="H149" s="10" t="str">
        <f>IF($A149="","",IFERROR(ROUND(100*COUNTIFS(Evaluations!$G$3:$G$10000,$A149,Evaluations!$R$3:$R$10000,1)/(COUNTIFS(Evaluations!$G$3:$G$10000,$A149,Evaluations!$R$3:$R$10000,1)+COUNTIFS(Evaluations!$G$3:$G$10000,$A149,Evaluations!$R$3:$R$10000,0)),2),""))</f>
        <v/>
      </c>
      <c r="I149" s="10" t="str">
        <f>IF($A149="","",IFERROR(ROUND(100*COUNTIFS(Evaluations!$G$3:$G$10000,$A149,Evaluations!$S$3:$S$10000,1)/(COUNTIFS(Evaluations!$G$3:$G$10000,$A149,Evaluations!$S$3:$S$10000,1)+COUNTIFS(Evaluations!$G$3:$G$10000,$A149,Evaluations!$S$3:$S$10000,0)),2),""))</f>
        <v/>
      </c>
      <c r="J149" s="10" t="str">
        <f>IF($A149="","",IFERROR(ROUND(100*COUNTIFS(Evaluations!$G$3:$G$10000,$A149,Evaluations!$T$3:$T$10000,1)/(COUNTIFS(Evaluations!$G$3:$G$10000,$A149,Evaluations!$T$3:$T$10000,1)+COUNTIFS(Evaluations!$G$3:$G$10000,$A149,Evaluations!$T$3:$T$10000,0)),2),""))</f>
        <v/>
      </c>
      <c r="K149" s="10" t="str">
        <f>IF($A149="","",COUNTIFS(Evaluations!$G$3:$G$10000,$A149,Evaluations!$M$3:$M$10000,"عدم پاسخ"))</f>
        <v/>
      </c>
      <c r="L149" s="10" t="str">
        <f>IF($A149="","",COUNTIFS(Evaluations!$G$3:$G$10000,$A149,Evaluations!$O$3:$O$10000,"رعایت نشده"))</f>
        <v/>
      </c>
    </row>
    <row r="150">
      <c r="A150" s="10"/>
      <c r="B150" s="10" t="str">
        <f t="array" ref="B150">_xlfn.XLOOKUP(A150,DATA!D:D,DATA!E:E,"")</f>
        <v/>
      </c>
      <c r="C150" s="10" t="str">
        <f>IF($A150="","",COUNTIFS(Evaluations!$G$3:$G$10000,$A150,Evaluations!$U$3:$U$10000,"&gt;=0",Evaluations!$U$3:$U$10000,"&lt;=100"))</f>
        <v/>
      </c>
      <c r="D150" s="10" t="str">
        <f>IF(OR($A150="",C150=0),"",ROUND(SUMIFS(Evaluations!$U$3:$U$10000,Evaluations!$G$3:$G$10000,$A150)/C150,2))</f>
        <v/>
      </c>
      <c r="E150" s="10" t="str">
        <f>IF($A150="","",COUNTIFS(Evaluations!$G$3:$G$10000,$A150,Evaluations!$M$3:$M$10000,"پاسخ داده شده"))</f>
        <v/>
      </c>
      <c r="F150" s="10" t="str">
        <f>IF($A150="","",IFERROR(COUNTIFS(Evaluations!$G$3:$G$10000,$A150,Evaluations!$O$3:$O$10000,"رعایت شده")/(COUNTIFS(Evaluations!$G$3:$G$10000,$A150,Evaluations!$O$3:$O$10000,"رعایت شده")+COUNTIFS(Evaluations!$G$3:$G$10000,$A150,Evaluations!$O$3:$O$10000,"رعایت نشده")),""))</f>
        <v/>
      </c>
      <c r="G150" s="10" t="str">
        <f>IF($A150="","",IFERROR(ROUND(100*COUNTIFS(Evaluations!$G$3:$G$10000,$A150,Evaluations!$Q$3:$Q$10000,1)/(COUNTIFS(Evaluations!$G$3:$G$10000,$A150,Evaluations!$Q$3:$Q$10000,1)+COUNTIFS(Evaluations!$G$3:$G$10000,$A150,Evaluations!$Q$3:$Q$10000,0)),2),""))</f>
        <v/>
      </c>
      <c r="H150" s="10" t="str">
        <f>IF($A150="","",IFERROR(ROUND(100*COUNTIFS(Evaluations!$G$3:$G$10000,$A150,Evaluations!$R$3:$R$10000,1)/(COUNTIFS(Evaluations!$G$3:$G$10000,$A150,Evaluations!$R$3:$R$10000,1)+COUNTIFS(Evaluations!$G$3:$G$10000,$A150,Evaluations!$R$3:$R$10000,0)),2),""))</f>
        <v/>
      </c>
      <c r="I150" s="10" t="str">
        <f>IF($A150="","",IFERROR(ROUND(100*COUNTIFS(Evaluations!$G$3:$G$10000,$A150,Evaluations!$S$3:$S$10000,1)/(COUNTIFS(Evaluations!$G$3:$G$10000,$A150,Evaluations!$S$3:$S$10000,1)+COUNTIFS(Evaluations!$G$3:$G$10000,$A150,Evaluations!$S$3:$S$10000,0)),2),""))</f>
        <v/>
      </c>
      <c r="J150" s="10" t="str">
        <f>IF($A150="","",IFERROR(ROUND(100*COUNTIFS(Evaluations!$G$3:$G$10000,$A150,Evaluations!$T$3:$T$10000,1)/(COUNTIFS(Evaluations!$G$3:$G$10000,$A150,Evaluations!$T$3:$T$10000,1)+COUNTIFS(Evaluations!$G$3:$G$10000,$A150,Evaluations!$T$3:$T$10000,0)),2),""))</f>
        <v/>
      </c>
      <c r="K150" s="10" t="str">
        <f>IF($A150="","",COUNTIFS(Evaluations!$G$3:$G$10000,$A150,Evaluations!$M$3:$M$10000,"عدم پاسخ"))</f>
        <v/>
      </c>
      <c r="L150" s="10" t="str">
        <f>IF($A150="","",COUNTIFS(Evaluations!$G$3:$G$10000,$A150,Evaluations!$O$3:$O$10000,"رعایت نشده"))</f>
        <v/>
      </c>
    </row>
    <row r="151">
      <c r="A151" s="10"/>
      <c r="B151" s="10" t="str">
        <f t="array" ref="B151">_xlfn.XLOOKUP(A151,DATA!D:D,DATA!E:E,"")</f>
        <v/>
      </c>
      <c r="C151" s="10" t="str">
        <f>IF($A151="","",COUNTIFS(Evaluations!$G$3:$G$10000,$A151,Evaluations!$U$3:$U$10000,"&gt;=0",Evaluations!$U$3:$U$10000,"&lt;=100"))</f>
        <v/>
      </c>
      <c r="D151" s="10" t="str">
        <f>IF(OR($A151="",C151=0),"",ROUND(SUMIFS(Evaluations!$U$3:$U$10000,Evaluations!$G$3:$G$10000,$A151)/C151,2))</f>
        <v/>
      </c>
      <c r="E151" s="10" t="str">
        <f>IF($A151="","",COUNTIFS(Evaluations!$G$3:$G$10000,$A151,Evaluations!$M$3:$M$10000,"پاسخ داده شده"))</f>
        <v/>
      </c>
      <c r="F151" s="10" t="str">
        <f>IF($A151="","",IFERROR(COUNTIFS(Evaluations!$G$3:$G$10000,$A151,Evaluations!$O$3:$O$10000,"رعایت شده")/(COUNTIFS(Evaluations!$G$3:$G$10000,$A151,Evaluations!$O$3:$O$10000,"رعایت شده")+COUNTIFS(Evaluations!$G$3:$G$10000,$A151,Evaluations!$O$3:$O$10000,"رعایت نشده")),""))</f>
        <v/>
      </c>
      <c r="G151" s="10" t="str">
        <f>IF($A151="","",IFERROR(ROUND(100*COUNTIFS(Evaluations!$G$3:$G$10000,$A151,Evaluations!$Q$3:$Q$10000,1)/(COUNTIFS(Evaluations!$G$3:$G$10000,$A151,Evaluations!$Q$3:$Q$10000,1)+COUNTIFS(Evaluations!$G$3:$G$10000,$A151,Evaluations!$Q$3:$Q$10000,0)),2),""))</f>
        <v/>
      </c>
      <c r="H151" s="10" t="str">
        <f>IF($A151="","",IFERROR(ROUND(100*COUNTIFS(Evaluations!$G$3:$G$10000,$A151,Evaluations!$R$3:$R$10000,1)/(COUNTIFS(Evaluations!$G$3:$G$10000,$A151,Evaluations!$R$3:$R$10000,1)+COUNTIFS(Evaluations!$G$3:$G$10000,$A151,Evaluations!$R$3:$R$10000,0)),2),""))</f>
        <v/>
      </c>
      <c r="I151" s="10" t="str">
        <f>IF($A151="","",IFERROR(ROUND(100*COUNTIFS(Evaluations!$G$3:$G$10000,$A151,Evaluations!$S$3:$S$10000,1)/(COUNTIFS(Evaluations!$G$3:$G$10000,$A151,Evaluations!$S$3:$S$10000,1)+COUNTIFS(Evaluations!$G$3:$G$10000,$A151,Evaluations!$S$3:$S$10000,0)),2),""))</f>
        <v/>
      </c>
      <c r="J151" s="10" t="str">
        <f>IF($A151="","",IFERROR(ROUND(100*COUNTIFS(Evaluations!$G$3:$G$10000,$A151,Evaluations!$T$3:$T$10000,1)/(COUNTIFS(Evaluations!$G$3:$G$10000,$A151,Evaluations!$T$3:$T$10000,1)+COUNTIFS(Evaluations!$G$3:$G$10000,$A151,Evaluations!$T$3:$T$10000,0)),2),""))</f>
        <v/>
      </c>
      <c r="K151" s="10" t="str">
        <f>IF($A151="","",COUNTIFS(Evaluations!$G$3:$G$10000,$A151,Evaluations!$M$3:$M$10000,"عدم پاسخ"))</f>
        <v/>
      </c>
      <c r="L151" s="10" t="str">
        <f>IF($A151="","",COUNTIFS(Evaluations!$G$3:$G$10000,$A151,Evaluations!$O$3:$O$10000,"رعایت نشده"))</f>
        <v/>
      </c>
    </row>
    <row r="152">
      <c r="A152" s="10"/>
      <c r="B152" s="10" t="str">
        <f t="array" ref="B152">_xlfn.XLOOKUP(A152,DATA!D:D,DATA!E:E,"")</f>
        <v/>
      </c>
      <c r="C152" s="10" t="str">
        <f>IF($A152="","",COUNTIFS(Evaluations!$G$3:$G$10000,$A152,Evaluations!$U$3:$U$10000,"&gt;=0",Evaluations!$U$3:$U$10000,"&lt;=100"))</f>
        <v/>
      </c>
      <c r="D152" s="10" t="str">
        <f>IF(OR($A152="",C152=0),"",ROUND(SUMIFS(Evaluations!$U$3:$U$10000,Evaluations!$G$3:$G$10000,$A152)/C152,2))</f>
        <v/>
      </c>
      <c r="E152" s="10" t="str">
        <f>IF($A152="","",COUNTIFS(Evaluations!$G$3:$G$10000,$A152,Evaluations!$M$3:$M$10000,"پاسخ داده شده"))</f>
        <v/>
      </c>
      <c r="F152" s="10" t="str">
        <f>IF($A152="","",IFERROR(COUNTIFS(Evaluations!$G$3:$G$10000,$A152,Evaluations!$O$3:$O$10000,"رعایت شده")/(COUNTIFS(Evaluations!$G$3:$G$10000,$A152,Evaluations!$O$3:$O$10000,"رعایت شده")+COUNTIFS(Evaluations!$G$3:$G$10000,$A152,Evaluations!$O$3:$O$10000,"رعایت نشده")),""))</f>
        <v/>
      </c>
      <c r="G152" s="10" t="str">
        <f>IF($A152="","",IFERROR(ROUND(100*COUNTIFS(Evaluations!$G$3:$G$10000,$A152,Evaluations!$Q$3:$Q$10000,1)/(COUNTIFS(Evaluations!$G$3:$G$10000,$A152,Evaluations!$Q$3:$Q$10000,1)+COUNTIFS(Evaluations!$G$3:$G$10000,$A152,Evaluations!$Q$3:$Q$10000,0)),2),""))</f>
        <v/>
      </c>
      <c r="H152" s="10" t="str">
        <f>IF($A152="","",IFERROR(ROUND(100*COUNTIFS(Evaluations!$G$3:$G$10000,$A152,Evaluations!$R$3:$R$10000,1)/(COUNTIFS(Evaluations!$G$3:$G$10000,$A152,Evaluations!$R$3:$R$10000,1)+COUNTIFS(Evaluations!$G$3:$G$10000,$A152,Evaluations!$R$3:$R$10000,0)),2),""))</f>
        <v/>
      </c>
      <c r="I152" s="10" t="str">
        <f>IF($A152="","",IFERROR(ROUND(100*COUNTIFS(Evaluations!$G$3:$G$10000,$A152,Evaluations!$S$3:$S$10000,1)/(COUNTIFS(Evaluations!$G$3:$G$10000,$A152,Evaluations!$S$3:$S$10000,1)+COUNTIFS(Evaluations!$G$3:$G$10000,$A152,Evaluations!$S$3:$S$10000,0)),2),""))</f>
        <v/>
      </c>
      <c r="J152" s="10" t="str">
        <f>IF($A152="","",IFERROR(ROUND(100*COUNTIFS(Evaluations!$G$3:$G$10000,$A152,Evaluations!$T$3:$T$10000,1)/(COUNTIFS(Evaluations!$G$3:$G$10000,$A152,Evaluations!$T$3:$T$10000,1)+COUNTIFS(Evaluations!$G$3:$G$10000,$A152,Evaluations!$T$3:$T$10000,0)),2),""))</f>
        <v/>
      </c>
      <c r="K152" s="10" t="str">
        <f>IF($A152="","",COUNTIFS(Evaluations!$G$3:$G$10000,$A152,Evaluations!$M$3:$M$10000,"عدم پاسخ"))</f>
        <v/>
      </c>
      <c r="L152" s="10" t="str">
        <f>IF($A152="","",COUNTIFS(Evaluations!$G$3:$G$10000,$A152,Evaluations!$O$3:$O$10000,"رعایت نشده"))</f>
        <v/>
      </c>
    </row>
    <row r="153">
      <c r="A153" s="10"/>
      <c r="B153" s="10" t="str">
        <f t="array" ref="B153">_xlfn.XLOOKUP(A153,DATA!D:D,DATA!E:E,"")</f>
        <v/>
      </c>
      <c r="C153" s="10" t="str">
        <f>IF($A153="","",COUNTIFS(Evaluations!$G$3:$G$10000,$A153,Evaluations!$U$3:$U$10000,"&gt;=0",Evaluations!$U$3:$U$10000,"&lt;=100"))</f>
        <v/>
      </c>
      <c r="D153" s="10" t="str">
        <f>IF(OR($A153="",C153=0),"",ROUND(SUMIFS(Evaluations!$U$3:$U$10000,Evaluations!$G$3:$G$10000,$A153)/C153,2))</f>
        <v/>
      </c>
      <c r="E153" s="10" t="str">
        <f>IF($A153="","",COUNTIFS(Evaluations!$G$3:$G$10000,$A153,Evaluations!$M$3:$M$10000,"پاسخ داده شده"))</f>
        <v/>
      </c>
      <c r="F153" s="10" t="str">
        <f>IF($A153="","",IFERROR(COUNTIFS(Evaluations!$G$3:$G$10000,$A153,Evaluations!$O$3:$O$10000,"رعایت شده")/(COUNTIFS(Evaluations!$G$3:$G$10000,$A153,Evaluations!$O$3:$O$10000,"رعایت شده")+COUNTIFS(Evaluations!$G$3:$G$10000,$A153,Evaluations!$O$3:$O$10000,"رعایت نشده")),""))</f>
        <v/>
      </c>
      <c r="G153" s="10" t="str">
        <f>IF($A153="","",IFERROR(ROUND(100*COUNTIFS(Evaluations!$G$3:$G$10000,$A153,Evaluations!$Q$3:$Q$10000,1)/(COUNTIFS(Evaluations!$G$3:$G$10000,$A153,Evaluations!$Q$3:$Q$10000,1)+COUNTIFS(Evaluations!$G$3:$G$10000,$A153,Evaluations!$Q$3:$Q$10000,0)),2),""))</f>
        <v/>
      </c>
      <c r="H153" s="10" t="str">
        <f>IF($A153="","",IFERROR(ROUND(100*COUNTIFS(Evaluations!$G$3:$G$10000,$A153,Evaluations!$R$3:$R$10000,1)/(COUNTIFS(Evaluations!$G$3:$G$10000,$A153,Evaluations!$R$3:$R$10000,1)+COUNTIFS(Evaluations!$G$3:$G$10000,$A153,Evaluations!$R$3:$R$10000,0)),2),""))</f>
        <v/>
      </c>
      <c r="I153" s="10" t="str">
        <f>IF($A153="","",IFERROR(ROUND(100*COUNTIFS(Evaluations!$G$3:$G$10000,$A153,Evaluations!$S$3:$S$10000,1)/(COUNTIFS(Evaluations!$G$3:$G$10000,$A153,Evaluations!$S$3:$S$10000,1)+COUNTIFS(Evaluations!$G$3:$G$10000,$A153,Evaluations!$S$3:$S$10000,0)),2),""))</f>
        <v/>
      </c>
      <c r="J153" s="10" t="str">
        <f>IF($A153="","",IFERROR(ROUND(100*COUNTIFS(Evaluations!$G$3:$G$10000,$A153,Evaluations!$T$3:$T$10000,1)/(COUNTIFS(Evaluations!$G$3:$G$10000,$A153,Evaluations!$T$3:$T$10000,1)+COUNTIFS(Evaluations!$G$3:$G$10000,$A153,Evaluations!$T$3:$T$10000,0)),2),""))</f>
        <v/>
      </c>
      <c r="K153" s="10" t="str">
        <f>IF($A153="","",COUNTIFS(Evaluations!$G$3:$G$10000,$A153,Evaluations!$M$3:$M$10000,"عدم پاسخ"))</f>
        <v/>
      </c>
      <c r="L153" s="10" t="str">
        <f>IF($A153="","",COUNTIFS(Evaluations!$G$3:$G$10000,$A153,Evaluations!$O$3:$O$10000,"رعایت نشده"))</f>
        <v/>
      </c>
    </row>
    <row r="154">
      <c r="A154" s="10"/>
      <c r="B154" s="10" t="str">
        <f t="array" ref="B154">_xlfn.XLOOKUP(A154,DATA!D:D,DATA!E:E,"")</f>
        <v/>
      </c>
      <c r="C154" s="10" t="str">
        <f>IF($A154="","",COUNTIFS(Evaluations!$G$3:$G$10000,$A154,Evaluations!$U$3:$U$10000,"&gt;=0",Evaluations!$U$3:$U$10000,"&lt;=100"))</f>
        <v/>
      </c>
      <c r="D154" s="10" t="str">
        <f>IF(OR($A154="",C154=0),"",ROUND(SUMIFS(Evaluations!$U$3:$U$10000,Evaluations!$G$3:$G$10000,$A154)/C154,2))</f>
        <v/>
      </c>
      <c r="E154" s="10" t="str">
        <f>IF($A154="","",COUNTIFS(Evaluations!$G$3:$G$10000,$A154,Evaluations!$M$3:$M$10000,"پاسخ داده شده"))</f>
        <v/>
      </c>
      <c r="F154" s="10" t="str">
        <f>IF($A154="","",IFERROR(COUNTIFS(Evaluations!$G$3:$G$10000,$A154,Evaluations!$O$3:$O$10000,"رعایت شده")/(COUNTIFS(Evaluations!$G$3:$G$10000,$A154,Evaluations!$O$3:$O$10000,"رعایت شده")+COUNTIFS(Evaluations!$G$3:$G$10000,$A154,Evaluations!$O$3:$O$10000,"رعایت نشده")),""))</f>
        <v/>
      </c>
      <c r="G154" s="10" t="str">
        <f>IF($A154="","",IFERROR(ROUND(100*COUNTIFS(Evaluations!$G$3:$G$10000,$A154,Evaluations!$Q$3:$Q$10000,1)/(COUNTIFS(Evaluations!$G$3:$G$10000,$A154,Evaluations!$Q$3:$Q$10000,1)+COUNTIFS(Evaluations!$G$3:$G$10000,$A154,Evaluations!$Q$3:$Q$10000,0)),2),""))</f>
        <v/>
      </c>
      <c r="H154" s="10" t="str">
        <f>IF($A154="","",IFERROR(ROUND(100*COUNTIFS(Evaluations!$G$3:$G$10000,$A154,Evaluations!$R$3:$R$10000,1)/(COUNTIFS(Evaluations!$G$3:$G$10000,$A154,Evaluations!$R$3:$R$10000,1)+COUNTIFS(Evaluations!$G$3:$G$10000,$A154,Evaluations!$R$3:$R$10000,0)),2),""))</f>
        <v/>
      </c>
      <c r="I154" s="10" t="str">
        <f>IF($A154="","",IFERROR(ROUND(100*COUNTIFS(Evaluations!$G$3:$G$10000,$A154,Evaluations!$S$3:$S$10000,1)/(COUNTIFS(Evaluations!$G$3:$G$10000,$A154,Evaluations!$S$3:$S$10000,1)+COUNTIFS(Evaluations!$G$3:$G$10000,$A154,Evaluations!$S$3:$S$10000,0)),2),""))</f>
        <v/>
      </c>
      <c r="J154" s="10" t="str">
        <f>IF($A154="","",IFERROR(ROUND(100*COUNTIFS(Evaluations!$G$3:$G$10000,$A154,Evaluations!$T$3:$T$10000,1)/(COUNTIFS(Evaluations!$G$3:$G$10000,$A154,Evaluations!$T$3:$T$10000,1)+COUNTIFS(Evaluations!$G$3:$G$10000,$A154,Evaluations!$T$3:$T$10000,0)),2),""))</f>
        <v/>
      </c>
      <c r="K154" s="10" t="str">
        <f>IF($A154="","",COUNTIFS(Evaluations!$G$3:$G$10000,$A154,Evaluations!$M$3:$M$10000,"عدم پاسخ"))</f>
        <v/>
      </c>
      <c r="L154" s="10" t="str">
        <f>IF($A154="","",COUNTIFS(Evaluations!$G$3:$G$10000,$A154,Evaluations!$O$3:$O$10000,"رعایت نشده"))</f>
        <v/>
      </c>
    </row>
    <row r="155">
      <c r="A155" s="10"/>
      <c r="B155" s="10" t="str">
        <f t="array" ref="B155">_xlfn.XLOOKUP(A155,DATA!D:D,DATA!E:E,"")</f>
        <v/>
      </c>
      <c r="C155" s="10" t="str">
        <f>IF($A155="","",COUNTIFS(Evaluations!$G$3:$G$10000,$A155,Evaluations!$U$3:$U$10000,"&gt;=0",Evaluations!$U$3:$U$10000,"&lt;=100"))</f>
        <v/>
      </c>
      <c r="D155" s="10" t="str">
        <f>IF(OR($A155="",C155=0),"",ROUND(SUMIFS(Evaluations!$U$3:$U$10000,Evaluations!$G$3:$G$10000,$A155)/C155,2))</f>
        <v/>
      </c>
      <c r="E155" s="10" t="str">
        <f>IF($A155="","",COUNTIFS(Evaluations!$G$3:$G$10000,$A155,Evaluations!$M$3:$M$10000,"پاسخ داده شده"))</f>
        <v/>
      </c>
      <c r="F155" s="10" t="str">
        <f>IF($A155="","",IFERROR(COUNTIFS(Evaluations!$G$3:$G$10000,$A155,Evaluations!$O$3:$O$10000,"رعایت شده")/(COUNTIFS(Evaluations!$G$3:$G$10000,$A155,Evaluations!$O$3:$O$10000,"رعایت شده")+COUNTIFS(Evaluations!$G$3:$G$10000,$A155,Evaluations!$O$3:$O$10000,"رعایت نشده")),""))</f>
        <v/>
      </c>
      <c r="G155" s="10" t="str">
        <f>IF($A155="","",IFERROR(ROUND(100*COUNTIFS(Evaluations!$G$3:$G$10000,$A155,Evaluations!$Q$3:$Q$10000,1)/(COUNTIFS(Evaluations!$G$3:$G$10000,$A155,Evaluations!$Q$3:$Q$10000,1)+COUNTIFS(Evaluations!$G$3:$G$10000,$A155,Evaluations!$Q$3:$Q$10000,0)),2),""))</f>
        <v/>
      </c>
      <c r="H155" s="10" t="str">
        <f>IF($A155="","",IFERROR(ROUND(100*COUNTIFS(Evaluations!$G$3:$G$10000,$A155,Evaluations!$R$3:$R$10000,1)/(COUNTIFS(Evaluations!$G$3:$G$10000,$A155,Evaluations!$R$3:$R$10000,1)+COUNTIFS(Evaluations!$G$3:$G$10000,$A155,Evaluations!$R$3:$R$10000,0)),2),""))</f>
        <v/>
      </c>
      <c r="I155" s="10" t="str">
        <f>IF($A155="","",IFERROR(ROUND(100*COUNTIFS(Evaluations!$G$3:$G$10000,$A155,Evaluations!$S$3:$S$10000,1)/(COUNTIFS(Evaluations!$G$3:$G$10000,$A155,Evaluations!$S$3:$S$10000,1)+COUNTIFS(Evaluations!$G$3:$G$10000,$A155,Evaluations!$S$3:$S$10000,0)),2),""))</f>
        <v/>
      </c>
      <c r="J155" s="10" t="str">
        <f>IF($A155="","",IFERROR(ROUND(100*COUNTIFS(Evaluations!$G$3:$G$10000,$A155,Evaluations!$T$3:$T$10000,1)/(COUNTIFS(Evaluations!$G$3:$G$10000,$A155,Evaluations!$T$3:$T$10000,1)+COUNTIFS(Evaluations!$G$3:$G$10000,$A155,Evaluations!$T$3:$T$10000,0)),2),""))</f>
        <v/>
      </c>
      <c r="K155" s="10" t="str">
        <f>IF($A155="","",COUNTIFS(Evaluations!$G$3:$G$10000,$A155,Evaluations!$M$3:$M$10000,"عدم پاسخ"))</f>
        <v/>
      </c>
      <c r="L155" s="10" t="str">
        <f>IF($A155="","",COUNTIFS(Evaluations!$G$3:$G$10000,$A155,Evaluations!$O$3:$O$10000,"رعایت نشده"))</f>
        <v/>
      </c>
    </row>
    <row r="156">
      <c r="A156" s="10"/>
      <c r="B156" s="10" t="str">
        <f t="array" ref="B156">_xlfn.XLOOKUP(A156,DATA!D:D,DATA!E:E,"")</f>
        <v/>
      </c>
      <c r="C156" s="10" t="str">
        <f>IF($A156="","",COUNTIFS(Evaluations!$G$3:$G$10000,$A156,Evaluations!$U$3:$U$10000,"&gt;=0",Evaluations!$U$3:$U$10000,"&lt;=100"))</f>
        <v/>
      </c>
      <c r="D156" s="10" t="str">
        <f>IF(OR($A156="",C156=0),"",ROUND(SUMIFS(Evaluations!$U$3:$U$10000,Evaluations!$G$3:$G$10000,$A156)/C156,2))</f>
        <v/>
      </c>
      <c r="E156" s="10" t="str">
        <f>IF($A156="","",COUNTIFS(Evaluations!$G$3:$G$10000,$A156,Evaluations!$M$3:$M$10000,"پاسخ داده شده"))</f>
        <v/>
      </c>
      <c r="F156" s="10" t="str">
        <f>IF($A156="","",IFERROR(COUNTIFS(Evaluations!$G$3:$G$10000,$A156,Evaluations!$O$3:$O$10000,"رعایت شده")/(COUNTIFS(Evaluations!$G$3:$G$10000,$A156,Evaluations!$O$3:$O$10000,"رعایت شده")+COUNTIFS(Evaluations!$G$3:$G$10000,$A156,Evaluations!$O$3:$O$10000,"رعایت نشده")),""))</f>
        <v/>
      </c>
      <c r="G156" s="10" t="str">
        <f>IF($A156="","",IFERROR(ROUND(100*COUNTIFS(Evaluations!$G$3:$G$10000,$A156,Evaluations!$Q$3:$Q$10000,1)/(COUNTIFS(Evaluations!$G$3:$G$10000,$A156,Evaluations!$Q$3:$Q$10000,1)+COUNTIFS(Evaluations!$G$3:$G$10000,$A156,Evaluations!$Q$3:$Q$10000,0)),2),""))</f>
        <v/>
      </c>
      <c r="H156" s="10" t="str">
        <f>IF($A156="","",IFERROR(ROUND(100*COUNTIFS(Evaluations!$G$3:$G$10000,$A156,Evaluations!$R$3:$R$10000,1)/(COUNTIFS(Evaluations!$G$3:$G$10000,$A156,Evaluations!$R$3:$R$10000,1)+COUNTIFS(Evaluations!$G$3:$G$10000,$A156,Evaluations!$R$3:$R$10000,0)),2),""))</f>
        <v/>
      </c>
      <c r="I156" s="10" t="str">
        <f>IF($A156="","",IFERROR(ROUND(100*COUNTIFS(Evaluations!$G$3:$G$10000,$A156,Evaluations!$S$3:$S$10000,1)/(COUNTIFS(Evaluations!$G$3:$G$10000,$A156,Evaluations!$S$3:$S$10000,1)+COUNTIFS(Evaluations!$G$3:$G$10000,$A156,Evaluations!$S$3:$S$10000,0)),2),""))</f>
        <v/>
      </c>
      <c r="J156" s="10" t="str">
        <f>IF($A156="","",IFERROR(ROUND(100*COUNTIFS(Evaluations!$G$3:$G$10000,$A156,Evaluations!$T$3:$T$10000,1)/(COUNTIFS(Evaluations!$G$3:$G$10000,$A156,Evaluations!$T$3:$T$10000,1)+COUNTIFS(Evaluations!$G$3:$G$10000,$A156,Evaluations!$T$3:$T$10000,0)),2),""))</f>
        <v/>
      </c>
      <c r="K156" s="10" t="str">
        <f>IF($A156="","",COUNTIFS(Evaluations!$G$3:$G$10000,$A156,Evaluations!$M$3:$M$10000,"عدم پاسخ"))</f>
        <v/>
      </c>
      <c r="L156" s="10" t="str">
        <f>IF($A156="","",COUNTIFS(Evaluations!$G$3:$G$10000,$A156,Evaluations!$O$3:$O$10000,"رعایت نشده"))</f>
        <v/>
      </c>
    </row>
    <row r="157">
      <c r="A157" s="10"/>
      <c r="B157" s="10" t="str">
        <f t="array" ref="B157">_xlfn.XLOOKUP(A157,DATA!D:D,DATA!E:E,"")</f>
        <v/>
      </c>
      <c r="C157" s="10" t="str">
        <f>IF($A157="","",COUNTIFS(Evaluations!$G$3:$G$10000,$A157,Evaluations!$U$3:$U$10000,"&gt;=0",Evaluations!$U$3:$U$10000,"&lt;=100"))</f>
        <v/>
      </c>
      <c r="D157" s="10" t="str">
        <f>IF(OR($A157="",C157=0),"",ROUND(SUMIFS(Evaluations!$U$3:$U$10000,Evaluations!$G$3:$G$10000,$A157)/C157,2))</f>
        <v/>
      </c>
      <c r="E157" s="10" t="str">
        <f>IF($A157="","",COUNTIFS(Evaluations!$G$3:$G$10000,$A157,Evaluations!$M$3:$M$10000,"پاسخ داده شده"))</f>
        <v/>
      </c>
      <c r="F157" s="10" t="str">
        <f>IF($A157="","",IFERROR(COUNTIFS(Evaluations!$G$3:$G$10000,$A157,Evaluations!$O$3:$O$10000,"رعایت شده")/(COUNTIFS(Evaluations!$G$3:$G$10000,$A157,Evaluations!$O$3:$O$10000,"رعایت شده")+COUNTIFS(Evaluations!$G$3:$G$10000,$A157,Evaluations!$O$3:$O$10000,"رعایت نشده")),""))</f>
        <v/>
      </c>
      <c r="G157" s="10" t="str">
        <f>IF($A157="","",IFERROR(ROUND(100*COUNTIFS(Evaluations!$G$3:$G$10000,$A157,Evaluations!$Q$3:$Q$10000,1)/(COUNTIFS(Evaluations!$G$3:$G$10000,$A157,Evaluations!$Q$3:$Q$10000,1)+COUNTIFS(Evaluations!$G$3:$G$10000,$A157,Evaluations!$Q$3:$Q$10000,0)),2),""))</f>
        <v/>
      </c>
      <c r="H157" s="10" t="str">
        <f>IF($A157="","",IFERROR(ROUND(100*COUNTIFS(Evaluations!$G$3:$G$10000,$A157,Evaluations!$R$3:$R$10000,1)/(COUNTIFS(Evaluations!$G$3:$G$10000,$A157,Evaluations!$R$3:$R$10000,1)+COUNTIFS(Evaluations!$G$3:$G$10000,$A157,Evaluations!$R$3:$R$10000,0)),2),""))</f>
        <v/>
      </c>
      <c r="I157" s="10" t="str">
        <f>IF($A157="","",IFERROR(ROUND(100*COUNTIFS(Evaluations!$G$3:$G$10000,$A157,Evaluations!$S$3:$S$10000,1)/(COUNTIFS(Evaluations!$G$3:$G$10000,$A157,Evaluations!$S$3:$S$10000,1)+COUNTIFS(Evaluations!$G$3:$G$10000,$A157,Evaluations!$S$3:$S$10000,0)),2),""))</f>
        <v/>
      </c>
      <c r="J157" s="10" t="str">
        <f>IF($A157="","",IFERROR(ROUND(100*COUNTIFS(Evaluations!$G$3:$G$10000,$A157,Evaluations!$T$3:$T$10000,1)/(COUNTIFS(Evaluations!$G$3:$G$10000,$A157,Evaluations!$T$3:$T$10000,1)+COUNTIFS(Evaluations!$G$3:$G$10000,$A157,Evaluations!$T$3:$T$10000,0)),2),""))</f>
        <v/>
      </c>
      <c r="K157" s="10" t="str">
        <f>IF($A157="","",COUNTIFS(Evaluations!$G$3:$G$10000,$A157,Evaluations!$M$3:$M$10000,"عدم پاسخ"))</f>
        <v/>
      </c>
      <c r="L157" s="10" t="str">
        <f>IF($A157="","",COUNTIFS(Evaluations!$G$3:$G$10000,$A157,Evaluations!$O$3:$O$10000,"رعایت نشده"))</f>
        <v/>
      </c>
    </row>
    <row r="158">
      <c r="A158" s="10"/>
      <c r="B158" s="10" t="str">
        <f t="array" ref="B158">_xlfn.XLOOKUP(A158,DATA!D:D,DATA!E:E,"")</f>
        <v/>
      </c>
      <c r="C158" s="10" t="str">
        <f>IF($A158="","",COUNTIFS(Evaluations!$G$3:$G$10000,$A158,Evaluations!$U$3:$U$10000,"&gt;=0",Evaluations!$U$3:$U$10000,"&lt;=100"))</f>
        <v/>
      </c>
      <c r="D158" s="10" t="str">
        <f>IF(OR($A158="",C158=0),"",ROUND(SUMIFS(Evaluations!$U$3:$U$10000,Evaluations!$G$3:$G$10000,$A158)/C158,2))</f>
        <v/>
      </c>
      <c r="E158" s="10" t="str">
        <f>IF($A158="","",COUNTIFS(Evaluations!$G$3:$G$10000,$A158,Evaluations!$M$3:$M$10000,"پاسخ داده شده"))</f>
        <v/>
      </c>
      <c r="F158" s="10" t="str">
        <f>IF($A158="","",IFERROR(COUNTIFS(Evaluations!$G$3:$G$10000,$A158,Evaluations!$O$3:$O$10000,"رعایت شده")/(COUNTIFS(Evaluations!$G$3:$G$10000,$A158,Evaluations!$O$3:$O$10000,"رعایت شده")+COUNTIFS(Evaluations!$G$3:$G$10000,$A158,Evaluations!$O$3:$O$10000,"رعایت نشده")),""))</f>
        <v/>
      </c>
      <c r="G158" s="10" t="str">
        <f>IF($A158="","",IFERROR(ROUND(100*COUNTIFS(Evaluations!$G$3:$G$10000,$A158,Evaluations!$Q$3:$Q$10000,1)/(COUNTIFS(Evaluations!$G$3:$G$10000,$A158,Evaluations!$Q$3:$Q$10000,1)+COUNTIFS(Evaluations!$G$3:$G$10000,$A158,Evaluations!$Q$3:$Q$10000,0)),2),""))</f>
        <v/>
      </c>
      <c r="H158" s="10" t="str">
        <f>IF($A158="","",IFERROR(ROUND(100*COUNTIFS(Evaluations!$G$3:$G$10000,$A158,Evaluations!$R$3:$R$10000,1)/(COUNTIFS(Evaluations!$G$3:$G$10000,$A158,Evaluations!$R$3:$R$10000,1)+COUNTIFS(Evaluations!$G$3:$G$10000,$A158,Evaluations!$R$3:$R$10000,0)),2),""))</f>
        <v/>
      </c>
      <c r="I158" s="10" t="str">
        <f>IF($A158="","",IFERROR(ROUND(100*COUNTIFS(Evaluations!$G$3:$G$10000,$A158,Evaluations!$S$3:$S$10000,1)/(COUNTIFS(Evaluations!$G$3:$G$10000,$A158,Evaluations!$S$3:$S$10000,1)+COUNTIFS(Evaluations!$G$3:$G$10000,$A158,Evaluations!$S$3:$S$10000,0)),2),""))</f>
        <v/>
      </c>
      <c r="J158" s="10" t="str">
        <f>IF($A158="","",IFERROR(ROUND(100*COUNTIFS(Evaluations!$G$3:$G$10000,$A158,Evaluations!$T$3:$T$10000,1)/(COUNTIFS(Evaluations!$G$3:$G$10000,$A158,Evaluations!$T$3:$T$10000,1)+COUNTIFS(Evaluations!$G$3:$G$10000,$A158,Evaluations!$T$3:$T$10000,0)),2),""))</f>
        <v/>
      </c>
      <c r="K158" s="10" t="str">
        <f>IF($A158="","",COUNTIFS(Evaluations!$G$3:$G$10000,$A158,Evaluations!$M$3:$M$10000,"عدم پاسخ"))</f>
        <v/>
      </c>
      <c r="L158" s="10" t="str">
        <f>IF($A158="","",COUNTIFS(Evaluations!$G$3:$G$10000,$A158,Evaluations!$O$3:$O$10000,"رعایت نشده"))</f>
        <v/>
      </c>
    </row>
    <row r="159">
      <c r="A159" s="10"/>
      <c r="B159" s="10" t="str">
        <f t="array" ref="B159">_xlfn.XLOOKUP(A159,DATA!D:D,DATA!E:E,"")</f>
        <v/>
      </c>
      <c r="C159" s="10" t="str">
        <f>IF($A159="","",COUNTIFS(Evaluations!$G$3:$G$10000,$A159,Evaluations!$U$3:$U$10000,"&gt;=0",Evaluations!$U$3:$U$10000,"&lt;=100"))</f>
        <v/>
      </c>
      <c r="D159" s="10" t="str">
        <f>IF(OR($A159="",C159=0),"",ROUND(SUMIFS(Evaluations!$U$3:$U$10000,Evaluations!$G$3:$G$10000,$A159)/C159,2))</f>
        <v/>
      </c>
      <c r="E159" s="10" t="str">
        <f>IF($A159="","",COUNTIFS(Evaluations!$G$3:$G$10000,$A159,Evaluations!$M$3:$M$10000,"پاسخ داده شده"))</f>
        <v/>
      </c>
      <c r="F159" s="10" t="str">
        <f>IF($A159="","",IFERROR(COUNTIFS(Evaluations!$G$3:$G$10000,$A159,Evaluations!$O$3:$O$10000,"رعایت شده")/(COUNTIFS(Evaluations!$G$3:$G$10000,$A159,Evaluations!$O$3:$O$10000,"رعایت شده")+COUNTIFS(Evaluations!$G$3:$G$10000,$A159,Evaluations!$O$3:$O$10000,"رعایت نشده")),""))</f>
        <v/>
      </c>
      <c r="G159" s="10" t="str">
        <f>IF($A159="","",IFERROR(ROUND(100*COUNTIFS(Evaluations!$G$3:$G$10000,$A159,Evaluations!$Q$3:$Q$10000,1)/(COUNTIFS(Evaluations!$G$3:$G$10000,$A159,Evaluations!$Q$3:$Q$10000,1)+COUNTIFS(Evaluations!$G$3:$G$10000,$A159,Evaluations!$Q$3:$Q$10000,0)),2),""))</f>
        <v/>
      </c>
      <c r="H159" s="10" t="str">
        <f>IF($A159="","",IFERROR(ROUND(100*COUNTIFS(Evaluations!$G$3:$G$10000,$A159,Evaluations!$R$3:$R$10000,1)/(COUNTIFS(Evaluations!$G$3:$G$10000,$A159,Evaluations!$R$3:$R$10000,1)+COUNTIFS(Evaluations!$G$3:$G$10000,$A159,Evaluations!$R$3:$R$10000,0)),2),""))</f>
        <v/>
      </c>
      <c r="I159" s="10" t="str">
        <f>IF($A159="","",IFERROR(ROUND(100*COUNTIFS(Evaluations!$G$3:$G$10000,$A159,Evaluations!$S$3:$S$10000,1)/(COUNTIFS(Evaluations!$G$3:$G$10000,$A159,Evaluations!$S$3:$S$10000,1)+COUNTIFS(Evaluations!$G$3:$G$10000,$A159,Evaluations!$S$3:$S$10000,0)),2),""))</f>
        <v/>
      </c>
      <c r="J159" s="10" t="str">
        <f>IF($A159="","",IFERROR(ROUND(100*COUNTIFS(Evaluations!$G$3:$G$10000,$A159,Evaluations!$T$3:$T$10000,1)/(COUNTIFS(Evaluations!$G$3:$G$10000,$A159,Evaluations!$T$3:$T$10000,1)+COUNTIFS(Evaluations!$G$3:$G$10000,$A159,Evaluations!$T$3:$T$10000,0)),2),""))</f>
        <v/>
      </c>
      <c r="K159" s="10" t="str">
        <f>IF($A159="","",COUNTIFS(Evaluations!$G$3:$G$10000,$A159,Evaluations!$M$3:$M$10000,"عدم پاسخ"))</f>
        <v/>
      </c>
      <c r="L159" s="10" t="str">
        <f>IF($A159="","",COUNTIFS(Evaluations!$G$3:$G$10000,$A159,Evaluations!$O$3:$O$10000,"رعایت نشده"))</f>
        <v/>
      </c>
    </row>
    <row r="160">
      <c r="A160" s="10"/>
      <c r="B160" s="10" t="str">
        <f t="array" ref="B160">_xlfn.XLOOKUP(A160,DATA!D:D,DATA!E:E,"")</f>
        <v/>
      </c>
      <c r="C160" s="10" t="str">
        <f>IF($A160="","",COUNTIFS(Evaluations!$G$3:$G$10000,$A160,Evaluations!$U$3:$U$10000,"&gt;=0",Evaluations!$U$3:$U$10000,"&lt;=100"))</f>
        <v/>
      </c>
      <c r="D160" s="10" t="str">
        <f>IF(OR($A160="",C160=0),"",ROUND(SUMIFS(Evaluations!$U$3:$U$10000,Evaluations!$G$3:$G$10000,$A160)/C160,2))</f>
        <v/>
      </c>
      <c r="E160" s="10" t="str">
        <f>IF($A160="","",COUNTIFS(Evaluations!$G$3:$G$10000,$A160,Evaluations!$M$3:$M$10000,"پاسخ داده شده"))</f>
        <v/>
      </c>
      <c r="F160" s="10" t="str">
        <f>IF($A160="","",IFERROR(COUNTIFS(Evaluations!$G$3:$G$10000,$A160,Evaluations!$O$3:$O$10000,"رعایت شده")/(COUNTIFS(Evaluations!$G$3:$G$10000,$A160,Evaluations!$O$3:$O$10000,"رعایت شده")+COUNTIFS(Evaluations!$G$3:$G$10000,$A160,Evaluations!$O$3:$O$10000,"رعایت نشده")),""))</f>
        <v/>
      </c>
      <c r="G160" s="10" t="str">
        <f>IF($A160="","",IFERROR(ROUND(100*COUNTIFS(Evaluations!$G$3:$G$10000,$A160,Evaluations!$Q$3:$Q$10000,1)/(COUNTIFS(Evaluations!$G$3:$G$10000,$A160,Evaluations!$Q$3:$Q$10000,1)+COUNTIFS(Evaluations!$G$3:$G$10000,$A160,Evaluations!$Q$3:$Q$10000,0)),2),""))</f>
        <v/>
      </c>
      <c r="H160" s="10" t="str">
        <f>IF($A160="","",IFERROR(ROUND(100*COUNTIFS(Evaluations!$G$3:$G$10000,$A160,Evaluations!$R$3:$R$10000,1)/(COUNTIFS(Evaluations!$G$3:$G$10000,$A160,Evaluations!$R$3:$R$10000,1)+COUNTIFS(Evaluations!$G$3:$G$10000,$A160,Evaluations!$R$3:$R$10000,0)),2),""))</f>
        <v/>
      </c>
      <c r="I160" s="10" t="str">
        <f>IF($A160="","",IFERROR(ROUND(100*COUNTIFS(Evaluations!$G$3:$G$10000,$A160,Evaluations!$S$3:$S$10000,1)/(COUNTIFS(Evaluations!$G$3:$G$10000,$A160,Evaluations!$S$3:$S$10000,1)+COUNTIFS(Evaluations!$G$3:$G$10000,$A160,Evaluations!$S$3:$S$10000,0)),2),""))</f>
        <v/>
      </c>
      <c r="J160" s="10" t="str">
        <f>IF($A160="","",IFERROR(ROUND(100*COUNTIFS(Evaluations!$G$3:$G$10000,$A160,Evaluations!$T$3:$T$10000,1)/(COUNTIFS(Evaluations!$G$3:$G$10000,$A160,Evaluations!$T$3:$T$10000,1)+COUNTIFS(Evaluations!$G$3:$G$10000,$A160,Evaluations!$T$3:$T$10000,0)),2),""))</f>
        <v/>
      </c>
      <c r="K160" s="10" t="str">
        <f>IF($A160="","",COUNTIFS(Evaluations!$G$3:$G$10000,$A160,Evaluations!$M$3:$M$10000,"عدم پاسخ"))</f>
        <v/>
      </c>
      <c r="L160" s="10" t="str">
        <f>IF($A160="","",COUNTIFS(Evaluations!$G$3:$G$10000,$A160,Evaluations!$O$3:$O$10000,"رعایت نشده"))</f>
        <v/>
      </c>
    </row>
    <row r="161">
      <c r="A161" s="10"/>
      <c r="B161" s="10" t="str">
        <f t="array" ref="B161">_xlfn.XLOOKUP(A161,DATA!D:D,DATA!E:E,"")</f>
        <v/>
      </c>
      <c r="C161" s="10" t="str">
        <f>IF($A161="","",COUNTIFS(Evaluations!$G$3:$G$10000,$A161,Evaluations!$U$3:$U$10000,"&gt;=0",Evaluations!$U$3:$U$10000,"&lt;=100"))</f>
        <v/>
      </c>
      <c r="D161" s="10" t="str">
        <f>IF(OR($A161="",C161=0),"",ROUND(SUMIFS(Evaluations!$U$3:$U$10000,Evaluations!$G$3:$G$10000,$A161)/C161,2))</f>
        <v/>
      </c>
      <c r="E161" s="10" t="str">
        <f>IF($A161="","",COUNTIFS(Evaluations!$G$3:$G$10000,$A161,Evaluations!$M$3:$M$10000,"پاسخ داده شده"))</f>
        <v/>
      </c>
      <c r="F161" s="10" t="str">
        <f>IF($A161="","",IFERROR(COUNTIFS(Evaluations!$G$3:$G$10000,$A161,Evaluations!$O$3:$O$10000,"رعایت شده")/(COUNTIFS(Evaluations!$G$3:$G$10000,$A161,Evaluations!$O$3:$O$10000,"رعایت شده")+COUNTIFS(Evaluations!$G$3:$G$10000,$A161,Evaluations!$O$3:$O$10000,"رعایت نشده")),""))</f>
        <v/>
      </c>
      <c r="G161" s="10" t="str">
        <f>IF($A161="","",IFERROR(ROUND(100*COUNTIFS(Evaluations!$G$3:$G$10000,$A161,Evaluations!$Q$3:$Q$10000,1)/(COUNTIFS(Evaluations!$G$3:$G$10000,$A161,Evaluations!$Q$3:$Q$10000,1)+COUNTIFS(Evaluations!$G$3:$G$10000,$A161,Evaluations!$Q$3:$Q$10000,0)),2),""))</f>
        <v/>
      </c>
      <c r="H161" s="10" t="str">
        <f>IF($A161="","",IFERROR(ROUND(100*COUNTIFS(Evaluations!$G$3:$G$10000,$A161,Evaluations!$R$3:$R$10000,1)/(COUNTIFS(Evaluations!$G$3:$G$10000,$A161,Evaluations!$R$3:$R$10000,1)+COUNTIFS(Evaluations!$G$3:$G$10000,$A161,Evaluations!$R$3:$R$10000,0)),2),""))</f>
        <v/>
      </c>
      <c r="I161" s="10" t="str">
        <f>IF($A161="","",IFERROR(ROUND(100*COUNTIFS(Evaluations!$G$3:$G$10000,$A161,Evaluations!$S$3:$S$10000,1)/(COUNTIFS(Evaluations!$G$3:$G$10000,$A161,Evaluations!$S$3:$S$10000,1)+COUNTIFS(Evaluations!$G$3:$G$10000,$A161,Evaluations!$S$3:$S$10000,0)),2),""))</f>
        <v/>
      </c>
      <c r="J161" s="10" t="str">
        <f>IF($A161="","",IFERROR(ROUND(100*COUNTIFS(Evaluations!$G$3:$G$10000,$A161,Evaluations!$T$3:$T$10000,1)/(COUNTIFS(Evaluations!$G$3:$G$10000,$A161,Evaluations!$T$3:$T$10000,1)+COUNTIFS(Evaluations!$G$3:$G$10000,$A161,Evaluations!$T$3:$T$10000,0)),2),""))</f>
        <v/>
      </c>
      <c r="K161" s="10" t="str">
        <f>IF($A161="","",COUNTIFS(Evaluations!$G$3:$G$10000,$A161,Evaluations!$M$3:$M$10000,"عدم پاسخ"))</f>
        <v/>
      </c>
      <c r="L161" s="10" t="str">
        <f>IF($A161="","",COUNTIFS(Evaluations!$G$3:$G$10000,$A161,Evaluations!$O$3:$O$10000,"رعایت نشده"))</f>
        <v/>
      </c>
    </row>
    <row r="162">
      <c r="A162" s="10"/>
      <c r="B162" s="10" t="str">
        <f t="array" ref="B162">_xlfn.XLOOKUP(A162,DATA!D:D,DATA!E:E,"")</f>
        <v/>
      </c>
      <c r="C162" s="10" t="str">
        <f>IF($A162="","",COUNTIFS(Evaluations!$G$3:$G$10000,$A162,Evaluations!$U$3:$U$10000,"&gt;=0",Evaluations!$U$3:$U$10000,"&lt;=100"))</f>
        <v/>
      </c>
      <c r="D162" s="10" t="str">
        <f>IF(OR($A162="",C162=0),"",ROUND(SUMIFS(Evaluations!$U$3:$U$10000,Evaluations!$G$3:$G$10000,$A162)/C162,2))</f>
        <v/>
      </c>
      <c r="E162" s="10" t="str">
        <f>IF($A162="","",COUNTIFS(Evaluations!$G$3:$G$10000,$A162,Evaluations!$M$3:$M$10000,"پاسخ داده شده"))</f>
        <v/>
      </c>
      <c r="F162" s="10" t="str">
        <f>IF($A162="","",IFERROR(COUNTIFS(Evaluations!$G$3:$G$10000,$A162,Evaluations!$O$3:$O$10000,"رعایت شده")/(COUNTIFS(Evaluations!$G$3:$G$10000,$A162,Evaluations!$O$3:$O$10000,"رعایت شده")+COUNTIFS(Evaluations!$G$3:$G$10000,$A162,Evaluations!$O$3:$O$10000,"رعایت نشده")),""))</f>
        <v/>
      </c>
      <c r="G162" s="10" t="str">
        <f>IF($A162="","",IFERROR(ROUND(100*COUNTIFS(Evaluations!$G$3:$G$10000,$A162,Evaluations!$Q$3:$Q$10000,1)/(COUNTIFS(Evaluations!$G$3:$G$10000,$A162,Evaluations!$Q$3:$Q$10000,1)+COUNTIFS(Evaluations!$G$3:$G$10000,$A162,Evaluations!$Q$3:$Q$10000,0)),2),""))</f>
        <v/>
      </c>
      <c r="H162" s="10" t="str">
        <f>IF($A162="","",IFERROR(ROUND(100*COUNTIFS(Evaluations!$G$3:$G$10000,$A162,Evaluations!$R$3:$R$10000,1)/(COUNTIFS(Evaluations!$G$3:$G$10000,$A162,Evaluations!$R$3:$R$10000,1)+COUNTIFS(Evaluations!$G$3:$G$10000,$A162,Evaluations!$R$3:$R$10000,0)),2),""))</f>
        <v/>
      </c>
      <c r="I162" s="10" t="str">
        <f>IF($A162="","",IFERROR(ROUND(100*COUNTIFS(Evaluations!$G$3:$G$10000,$A162,Evaluations!$S$3:$S$10000,1)/(COUNTIFS(Evaluations!$G$3:$G$10000,$A162,Evaluations!$S$3:$S$10000,1)+COUNTIFS(Evaluations!$G$3:$G$10000,$A162,Evaluations!$S$3:$S$10000,0)),2),""))</f>
        <v/>
      </c>
      <c r="J162" s="10" t="str">
        <f>IF($A162="","",IFERROR(ROUND(100*COUNTIFS(Evaluations!$G$3:$G$10000,$A162,Evaluations!$T$3:$T$10000,1)/(COUNTIFS(Evaluations!$G$3:$G$10000,$A162,Evaluations!$T$3:$T$10000,1)+COUNTIFS(Evaluations!$G$3:$G$10000,$A162,Evaluations!$T$3:$T$10000,0)),2),""))</f>
        <v/>
      </c>
      <c r="K162" s="10" t="str">
        <f>IF($A162="","",COUNTIFS(Evaluations!$G$3:$G$10000,$A162,Evaluations!$M$3:$M$10000,"عدم پاسخ"))</f>
        <v/>
      </c>
      <c r="L162" s="10" t="str">
        <f>IF($A162="","",COUNTIFS(Evaluations!$G$3:$G$10000,$A162,Evaluations!$O$3:$O$10000,"رعایت نشده"))</f>
        <v/>
      </c>
    </row>
    <row r="163">
      <c r="A163" s="10"/>
      <c r="B163" s="10" t="str">
        <f t="array" ref="B163">_xlfn.XLOOKUP(A163,DATA!D:D,DATA!E:E,"")</f>
        <v/>
      </c>
      <c r="C163" s="10" t="str">
        <f>IF($A163="","",COUNTIFS(Evaluations!$G$3:$G$10000,$A163,Evaluations!$U$3:$U$10000,"&gt;=0",Evaluations!$U$3:$U$10000,"&lt;=100"))</f>
        <v/>
      </c>
      <c r="D163" s="10" t="str">
        <f>IF(OR($A163="",C163=0),"",ROUND(SUMIFS(Evaluations!$U$3:$U$10000,Evaluations!$G$3:$G$10000,$A163)/C163,2))</f>
        <v/>
      </c>
      <c r="E163" s="10" t="str">
        <f>IF($A163="","",COUNTIFS(Evaluations!$G$3:$G$10000,$A163,Evaluations!$M$3:$M$10000,"پاسخ داده شده"))</f>
        <v/>
      </c>
      <c r="F163" s="10" t="str">
        <f>IF($A163="","",IFERROR(COUNTIFS(Evaluations!$G$3:$G$10000,$A163,Evaluations!$O$3:$O$10000,"رعایت شده")/(COUNTIFS(Evaluations!$G$3:$G$10000,$A163,Evaluations!$O$3:$O$10000,"رعایت شده")+COUNTIFS(Evaluations!$G$3:$G$10000,$A163,Evaluations!$O$3:$O$10000,"رعایت نشده")),""))</f>
        <v/>
      </c>
      <c r="G163" s="10" t="str">
        <f>IF($A163="","",IFERROR(ROUND(100*COUNTIFS(Evaluations!$G$3:$G$10000,$A163,Evaluations!$Q$3:$Q$10000,1)/(COUNTIFS(Evaluations!$G$3:$G$10000,$A163,Evaluations!$Q$3:$Q$10000,1)+COUNTIFS(Evaluations!$G$3:$G$10000,$A163,Evaluations!$Q$3:$Q$10000,0)),2),""))</f>
        <v/>
      </c>
      <c r="H163" s="10" t="str">
        <f>IF($A163="","",IFERROR(ROUND(100*COUNTIFS(Evaluations!$G$3:$G$10000,$A163,Evaluations!$R$3:$R$10000,1)/(COUNTIFS(Evaluations!$G$3:$G$10000,$A163,Evaluations!$R$3:$R$10000,1)+COUNTIFS(Evaluations!$G$3:$G$10000,$A163,Evaluations!$R$3:$R$10000,0)),2),""))</f>
        <v/>
      </c>
      <c r="I163" s="10" t="str">
        <f>IF($A163="","",IFERROR(ROUND(100*COUNTIFS(Evaluations!$G$3:$G$10000,$A163,Evaluations!$S$3:$S$10000,1)/(COUNTIFS(Evaluations!$G$3:$G$10000,$A163,Evaluations!$S$3:$S$10000,1)+COUNTIFS(Evaluations!$G$3:$G$10000,$A163,Evaluations!$S$3:$S$10000,0)),2),""))</f>
        <v/>
      </c>
      <c r="J163" s="10" t="str">
        <f>IF($A163="","",IFERROR(ROUND(100*COUNTIFS(Evaluations!$G$3:$G$10000,$A163,Evaluations!$T$3:$T$10000,1)/(COUNTIFS(Evaluations!$G$3:$G$10000,$A163,Evaluations!$T$3:$T$10000,1)+COUNTIFS(Evaluations!$G$3:$G$10000,$A163,Evaluations!$T$3:$T$10000,0)),2),""))</f>
        <v/>
      </c>
      <c r="K163" s="10" t="str">
        <f>IF($A163="","",COUNTIFS(Evaluations!$G$3:$G$10000,$A163,Evaluations!$M$3:$M$10000,"عدم پاسخ"))</f>
        <v/>
      </c>
      <c r="L163" s="10" t="str">
        <f>IF($A163="","",COUNTIFS(Evaluations!$G$3:$G$10000,$A163,Evaluations!$O$3:$O$10000,"رعایت نشده"))</f>
        <v/>
      </c>
    </row>
    <row r="164">
      <c r="A164" s="10"/>
      <c r="B164" s="10" t="str">
        <f t="array" ref="B164">_xlfn.XLOOKUP(A164,DATA!D:D,DATA!E:E,"")</f>
        <v/>
      </c>
      <c r="C164" s="10" t="str">
        <f>IF($A164="","",COUNTIFS(Evaluations!$G$3:$G$10000,$A164,Evaluations!$U$3:$U$10000,"&gt;=0",Evaluations!$U$3:$U$10000,"&lt;=100"))</f>
        <v/>
      </c>
      <c r="D164" s="10" t="str">
        <f>IF(OR($A164="",C164=0),"",ROUND(SUMIFS(Evaluations!$U$3:$U$10000,Evaluations!$G$3:$G$10000,$A164)/C164,2))</f>
        <v/>
      </c>
      <c r="E164" s="10" t="str">
        <f>IF($A164="","",COUNTIFS(Evaluations!$G$3:$G$10000,$A164,Evaluations!$M$3:$M$10000,"پاسخ داده شده"))</f>
        <v/>
      </c>
      <c r="F164" s="10" t="str">
        <f>IF($A164="","",IFERROR(COUNTIFS(Evaluations!$G$3:$G$10000,$A164,Evaluations!$O$3:$O$10000,"رعایت شده")/(COUNTIFS(Evaluations!$G$3:$G$10000,$A164,Evaluations!$O$3:$O$10000,"رعایت شده")+COUNTIFS(Evaluations!$G$3:$G$10000,$A164,Evaluations!$O$3:$O$10000,"رعایت نشده")),""))</f>
        <v/>
      </c>
      <c r="G164" s="10" t="str">
        <f>IF($A164="","",IFERROR(ROUND(100*COUNTIFS(Evaluations!$G$3:$G$10000,$A164,Evaluations!$Q$3:$Q$10000,1)/(COUNTIFS(Evaluations!$G$3:$G$10000,$A164,Evaluations!$Q$3:$Q$10000,1)+COUNTIFS(Evaluations!$G$3:$G$10000,$A164,Evaluations!$Q$3:$Q$10000,0)),2),""))</f>
        <v/>
      </c>
      <c r="H164" s="10" t="str">
        <f>IF($A164="","",IFERROR(ROUND(100*COUNTIFS(Evaluations!$G$3:$G$10000,$A164,Evaluations!$R$3:$R$10000,1)/(COUNTIFS(Evaluations!$G$3:$G$10000,$A164,Evaluations!$R$3:$R$10000,1)+COUNTIFS(Evaluations!$G$3:$G$10000,$A164,Evaluations!$R$3:$R$10000,0)),2),""))</f>
        <v/>
      </c>
      <c r="I164" s="10" t="str">
        <f>IF($A164="","",IFERROR(ROUND(100*COUNTIFS(Evaluations!$G$3:$G$10000,$A164,Evaluations!$S$3:$S$10000,1)/(COUNTIFS(Evaluations!$G$3:$G$10000,$A164,Evaluations!$S$3:$S$10000,1)+COUNTIFS(Evaluations!$G$3:$G$10000,$A164,Evaluations!$S$3:$S$10000,0)),2),""))</f>
        <v/>
      </c>
      <c r="J164" s="10" t="str">
        <f>IF($A164="","",IFERROR(ROUND(100*COUNTIFS(Evaluations!$G$3:$G$10000,$A164,Evaluations!$T$3:$T$10000,1)/(COUNTIFS(Evaluations!$G$3:$G$10000,$A164,Evaluations!$T$3:$T$10000,1)+COUNTIFS(Evaluations!$G$3:$G$10000,$A164,Evaluations!$T$3:$T$10000,0)),2),""))</f>
        <v/>
      </c>
      <c r="K164" s="10" t="str">
        <f>IF($A164="","",COUNTIFS(Evaluations!$G$3:$G$10000,$A164,Evaluations!$M$3:$M$10000,"عدم پاسخ"))</f>
        <v/>
      </c>
      <c r="L164" s="10" t="str">
        <f>IF($A164="","",COUNTIFS(Evaluations!$G$3:$G$10000,$A164,Evaluations!$O$3:$O$10000,"رعایت نشده"))</f>
        <v/>
      </c>
    </row>
    <row r="165">
      <c r="A165" s="10"/>
      <c r="B165" s="10" t="str">
        <f t="array" ref="B165">_xlfn.XLOOKUP(A165,DATA!D:D,DATA!E:E,"")</f>
        <v/>
      </c>
      <c r="C165" s="10" t="str">
        <f>IF($A165="","",COUNTIFS(Evaluations!$G$3:$G$10000,$A165,Evaluations!$U$3:$U$10000,"&gt;=0",Evaluations!$U$3:$U$10000,"&lt;=100"))</f>
        <v/>
      </c>
      <c r="D165" s="10" t="str">
        <f>IF(OR($A165="",C165=0),"",ROUND(SUMIFS(Evaluations!$U$3:$U$10000,Evaluations!$G$3:$G$10000,$A165)/C165,2))</f>
        <v/>
      </c>
      <c r="E165" s="10" t="str">
        <f>IF($A165="","",COUNTIFS(Evaluations!$G$3:$G$10000,$A165,Evaluations!$M$3:$M$10000,"پاسخ داده شده"))</f>
        <v/>
      </c>
      <c r="F165" s="10" t="str">
        <f>IF($A165="","",IFERROR(COUNTIFS(Evaluations!$G$3:$G$10000,$A165,Evaluations!$O$3:$O$10000,"رعایت شده")/(COUNTIFS(Evaluations!$G$3:$G$10000,$A165,Evaluations!$O$3:$O$10000,"رعایت شده")+COUNTIFS(Evaluations!$G$3:$G$10000,$A165,Evaluations!$O$3:$O$10000,"رعایت نشده")),""))</f>
        <v/>
      </c>
      <c r="G165" s="10" t="str">
        <f>IF($A165="","",IFERROR(ROUND(100*COUNTIFS(Evaluations!$G$3:$G$10000,$A165,Evaluations!$Q$3:$Q$10000,1)/(COUNTIFS(Evaluations!$G$3:$G$10000,$A165,Evaluations!$Q$3:$Q$10000,1)+COUNTIFS(Evaluations!$G$3:$G$10000,$A165,Evaluations!$Q$3:$Q$10000,0)),2),""))</f>
        <v/>
      </c>
      <c r="H165" s="10" t="str">
        <f>IF($A165="","",IFERROR(ROUND(100*COUNTIFS(Evaluations!$G$3:$G$10000,$A165,Evaluations!$R$3:$R$10000,1)/(COUNTIFS(Evaluations!$G$3:$G$10000,$A165,Evaluations!$R$3:$R$10000,1)+COUNTIFS(Evaluations!$G$3:$G$10000,$A165,Evaluations!$R$3:$R$10000,0)),2),""))</f>
        <v/>
      </c>
      <c r="I165" s="10" t="str">
        <f>IF($A165="","",IFERROR(ROUND(100*COUNTIFS(Evaluations!$G$3:$G$10000,$A165,Evaluations!$S$3:$S$10000,1)/(COUNTIFS(Evaluations!$G$3:$G$10000,$A165,Evaluations!$S$3:$S$10000,1)+COUNTIFS(Evaluations!$G$3:$G$10000,$A165,Evaluations!$S$3:$S$10000,0)),2),""))</f>
        <v/>
      </c>
      <c r="J165" s="10" t="str">
        <f>IF($A165="","",IFERROR(ROUND(100*COUNTIFS(Evaluations!$G$3:$G$10000,$A165,Evaluations!$T$3:$T$10000,1)/(COUNTIFS(Evaluations!$G$3:$G$10000,$A165,Evaluations!$T$3:$T$10000,1)+COUNTIFS(Evaluations!$G$3:$G$10000,$A165,Evaluations!$T$3:$T$10000,0)),2),""))</f>
        <v/>
      </c>
      <c r="K165" s="10" t="str">
        <f>IF($A165="","",COUNTIFS(Evaluations!$G$3:$G$10000,$A165,Evaluations!$M$3:$M$10000,"عدم پاسخ"))</f>
        <v/>
      </c>
      <c r="L165" s="10" t="str">
        <f>IF($A165="","",COUNTIFS(Evaluations!$G$3:$G$10000,$A165,Evaluations!$O$3:$O$10000,"رعایت نشده"))</f>
        <v/>
      </c>
    </row>
    <row r="166">
      <c r="A166" s="10"/>
      <c r="B166" s="10" t="str">
        <f t="array" ref="B166">_xlfn.XLOOKUP(A166,DATA!D:D,DATA!E:E,"")</f>
        <v/>
      </c>
      <c r="C166" s="10" t="str">
        <f>IF($A166="","",COUNTIFS(Evaluations!$G$3:$G$10000,$A166,Evaluations!$U$3:$U$10000,"&gt;=0",Evaluations!$U$3:$U$10000,"&lt;=100"))</f>
        <v/>
      </c>
      <c r="D166" s="10" t="str">
        <f>IF(OR($A166="",C166=0),"",ROUND(SUMIFS(Evaluations!$U$3:$U$10000,Evaluations!$G$3:$G$10000,$A166)/C166,2))</f>
        <v/>
      </c>
      <c r="E166" s="10" t="str">
        <f>IF($A166="","",COUNTIFS(Evaluations!$G$3:$G$10000,$A166,Evaluations!$M$3:$M$10000,"پاسخ داده شده"))</f>
        <v/>
      </c>
      <c r="F166" s="10" t="str">
        <f>IF($A166="","",IFERROR(COUNTIFS(Evaluations!$G$3:$G$10000,$A166,Evaluations!$O$3:$O$10000,"رعایت شده")/(COUNTIFS(Evaluations!$G$3:$G$10000,$A166,Evaluations!$O$3:$O$10000,"رعایت شده")+COUNTIFS(Evaluations!$G$3:$G$10000,$A166,Evaluations!$O$3:$O$10000,"رعایت نشده")),""))</f>
        <v/>
      </c>
      <c r="G166" s="10" t="str">
        <f>IF($A166="","",IFERROR(ROUND(100*COUNTIFS(Evaluations!$G$3:$G$10000,$A166,Evaluations!$Q$3:$Q$10000,1)/(COUNTIFS(Evaluations!$G$3:$G$10000,$A166,Evaluations!$Q$3:$Q$10000,1)+COUNTIFS(Evaluations!$G$3:$G$10000,$A166,Evaluations!$Q$3:$Q$10000,0)),2),""))</f>
        <v/>
      </c>
      <c r="H166" s="10" t="str">
        <f>IF($A166="","",IFERROR(ROUND(100*COUNTIFS(Evaluations!$G$3:$G$10000,$A166,Evaluations!$R$3:$R$10000,1)/(COUNTIFS(Evaluations!$G$3:$G$10000,$A166,Evaluations!$R$3:$R$10000,1)+COUNTIFS(Evaluations!$G$3:$G$10000,$A166,Evaluations!$R$3:$R$10000,0)),2),""))</f>
        <v/>
      </c>
      <c r="I166" s="10" t="str">
        <f>IF($A166="","",IFERROR(ROUND(100*COUNTIFS(Evaluations!$G$3:$G$10000,$A166,Evaluations!$S$3:$S$10000,1)/(COUNTIFS(Evaluations!$G$3:$G$10000,$A166,Evaluations!$S$3:$S$10000,1)+COUNTIFS(Evaluations!$G$3:$G$10000,$A166,Evaluations!$S$3:$S$10000,0)),2),""))</f>
        <v/>
      </c>
      <c r="J166" s="10" t="str">
        <f>IF($A166="","",IFERROR(ROUND(100*COUNTIFS(Evaluations!$G$3:$G$10000,$A166,Evaluations!$T$3:$T$10000,1)/(COUNTIFS(Evaluations!$G$3:$G$10000,$A166,Evaluations!$T$3:$T$10000,1)+COUNTIFS(Evaluations!$G$3:$G$10000,$A166,Evaluations!$T$3:$T$10000,0)),2),""))</f>
        <v/>
      </c>
      <c r="K166" s="10" t="str">
        <f>IF($A166="","",COUNTIFS(Evaluations!$G$3:$G$10000,$A166,Evaluations!$M$3:$M$10000,"عدم پاسخ"))</f>
        <v/>
      </c>
      <c r="L166" s="10" t="str">
        <f>IF($A166="","",COUNTIFS(Evaluations!$G$3:$G$10000,$A166,Evaluations!$O$3:$O$10000,"رعایت نشده"))</f>
        <v/>
      </c>
    </row>
    <row r="167">
      <c r="A167" s="10"/>
      <c r="B167" s="10" t="str">
        <f t="array" ref="B167">_xlfn.XLOOKUP(A167,DATA!D:D,DATA!E:E,"")</f>
        <v/>
      </c>
      <c r="C167" s="10" t="str">
        <f>IF($A167="","",COUNTIFS(Evaluations!$G$3:$G$10000,$A167,Evaluations!$U$3:$U$10000,"&gt;=0",Evaluations!$U$3:$U$10000,"&lt;=100"))</f>
        <v/>
      </c>
      <c r="D167" s="10" t="str">
        <f>IF(OR($A167="",C167=0),"",ROUND(SUMIFS(Evaluations!$U$3:$U$10000,Evaluations!$G$3:$G$10000,$A167)/C167,2))</f>
        <v/>
      </c>
      <c r="E167" s="10" t="str">
        <f>IF($A167="","",COUNTIFS(Evaluations!$G$3:$G$10000,$A167,Evaluations!$M$3:$M$10000,"پاسخ داده شده"))</f>
        <v/>
      </c>
      <c r="F167" s="10" t="str">
        <f>IF($A167="","",IFERROR(COUNTIFS(Evaluations!$G$3:$G$10000,$A167,Evaluations!$O$3:$O$10000,"رعایت شده")/(COUNTIFS(Evaluations!$G$3:$G$10000,$A167,Evaluations!$O$3:$O$10000,"رعایت شده")+COUNTIFS(Evaluations!$G$3:$G$10000,$A167,Evaluations!$O$3:$O$10000,"رعایت نشده")),""))</f>
        <v/>
      </c>
      <c r="G167" s="10" t="str">
        <f>IF($A167="","",IFERROR(ROUND(100*COUNTIFS(Evaluations!$G$3:$G$10000,$A167,Evaluations!$Q$3:$Q$10000,1)/(COUNTIFS(Evaluations!$G$3:$G$10000,$A167,Evaluations!$Q$3:$Q$10000,1)+COUNTIFS(Evaluations!$G$3:$G$10000,$A167,Evaluations!$Q$3:$Q$10000,0)),2),""))</f>
        <v/>
      </c>
      <c r="H167" s="10" t="str">
        <f>IF($A167="","",IFERROR(ROUND(100*COUNTIFS(Evaluations!$G$3:$G$10000,$A167,Evaluations!$R$3:$R$10000,1)/(COUNTIFS(Evaluations!$G$3:$G$10000,$A167,Evaluations!$R$3:$R$10000,1)+COUNTIFS(Evaluations!$G$3:$G$10000,$A167,Evaluations!$R$3:$R$10000,0)),2),""))</f>
        <v/>
      </c>
      <c r="I167" s="10" t="str">
        <f>IF($A167="","",IFERROR(ROUND(100*COUNTIFS(Evaluations!$G$3:$G$10000,$A167,Evaluations!$S$3:$S$10000,1)/(COUNTIFS(Evaluations!$G$3:$G$10000,$A167,Evaluations!$S$3:$S$10000,1)+COUNTIFS(Evaluations!$G$3:$G$10000,$A167,Evaluations!$S$3:$S$10000,0)),2),""))</f>
        <v/>
      </c>
      <c r="J167" s="10" t="str">
        <f>IF($A167="","",IFERROR(ROUND(100*COUNTIFS(Evaluations!$G$3:$G$10000,$A167,Evaluations!$T$3:$T$10000,1)/(COUNTIFS(Evaluations!$G$3:$G$10000,$A167,Evaluations!$T$3:$T$10000,1)+COUNTIFS(Evaluations!$G$3:$G$10000,$A167,Evaluations!$T$3:$T$10000,0)),2),""))</f>
        <v/>
      </c>
      <c r="K167" s="10" t="str">
        <f>IF($A167="","",COUNTIFS(Evaluations!$G$3:$G$10000,$A167,Evaluations!$M$3:$M$10000,"عدم پاسخ"))</f>
        <v/>
      </c>
      <c r="L167" s="10" t="str">
        <f>IF($A167="","",COUNTIFS(Evaluations!$G$3:$G$10000,$A167,Evaluations!$O$3:$O$10000,"رعایت نشده"))</f>
        <v/>
      </c>
    </row>
    <row r="168">
      <c r="A168" s="10"/>
      <c r="B168" s="10" t="str">
        <f t="array" ref="B168">_xlfn.XLOOKUP(A168,DATA!D:D,DATA!E:E,"")</f>
        <v/>
      </c>
      <c r="C168" s="10" t="str">
        <f>IF($A168="","",COUNTIFS(Evaluations!$G$3:$G$10000,$A168,Evaluations!$U$3:$U$10000,"&gt;=0",Evaluations!$U$3:$U$10000,"&lt;=100"))</f>
        <v/>
      </c>
      <c r="D168" s="10" t="str">
        <f>IF(OR($A168="",C168=0),"",ROUND(SUMIFS(Evaluations!$U$3:$U$10000,Evaluations!$G$3:$G$10000,$A168)/C168,2))</f>
        <v/>
      </c>
      <c r="E168" s="10" t="str">
        <f>IF($A168="","",COUNTIFS(Evaluations!$G$3:$G$10000,$A168,Evaluations!$M$3:$M$10000,"پاسخ داده شده"))</f>
        <v/>
      </c>
      <c r="F168" s="10" t="str">
        <f>IF($A168="","",IFERROR(COUNTIFS(Evaluations!$G$3:$G$10000,$A168,Evaluations!$O$3:$O$10000,"رعایت شده")/(COUNTIFS(Evaluations!$G$3:$G$10000,$A168,Evaluations!$O$3:$O$10000,"رعایت شده")+COUNTIFS(Evaluations!$G$3:$G$10000,$A168,Evaluations!$O$3:$O$10000,"رعایت نشده")),""))</f>
        <v/>
      </c>
      <c r="G168" s="10" t="str">
        <f>IF($A168="","",IFERROR(ROUND(100*COUNTIFS(Evaluations!$G$3:$G$10000,$A168,Evaluations!$Q$3:$Q$10000,1)/(COUNTIFS(Evaluations!$G$3:$G$10000,$A168,Evaluations!$Q$3:$Q$10000,1)+COUNTIFS(Evaluations!$G$3:$G$10000,$A168,Evaluations!$Q$3:$Q$10000,0)),2),""))</f>
        <v/>
      </c>
      <c r="H168" s="10" t="str">
        <f>IF($A168="","",IFERROR(ROUND(100*COUNTIFS(Evaluations!$G$3:$G$10000,$A168,Evaluations!$R$3:$R$10000,1)/(COUNTIFS(Evaluations!$G$3:$G$10000,$A168,Evaluations!$R$3:$R$10000,1)+COUNTIFS(Evaluations!$G$3:$G$10000,$A168,Evaluations!$R$3:$R$10000,0)),2),""))</f>
        <v/>
      </c>
      <c r="I168" s="10" t="str">
        <f>IF($A168="","",IFERROR(ROUND(100*COUNTIFS(Evaluations!$G$3:$G$10000,$A168,Evaluations!$S$3:$S$10000,1)/(COUNTIFS(Evaluations!$G$3:$G$10000,$A168,Evaluations!$S$3:$S$10000,1)+COUNTIFS(Evaluations!$G$3:$G$10000,$A168,Evaluations!$S$3:$S$10000,0)),2),""))</f>
        <v/>
      </c>
      <c r="J168" s="10" t="str">
        <f>IF($A168="","",IFERROR(ROUND(100*COUNTIFS(Evaluations!$G$3:$G$10000,$A168,Evaluations!$T$3:$T$10000,1)/(COUNTIFS(Evaluations!$G$3:$G$10000,$A168,Evaluations!$T$3:$T$10000,1)+COUNTIFS(Evaluations!$G$3:$G$10000,$A168,Evaluations!$T$3:$T$10000,0)),2),""))</f>
        <v/>
      </c>
      <c r="K168" s="10" t="str">
        <f>IF($A168="","",COUNTIFS(Evaluations!$G$3:$G$10000,$A168,Evaluations!$M$3:$M$10000,"عدم پاسخ"))</f>
        <v/>
      </c>
      <c r="L168" s="10" t="str">
        <f>IF($A168="","",COUNTIFS(Evaluations!$G$3:$G$10000,$A168,Evaluations!$O$3:$O$10000,"رعایت نشده"))</f>
        <v/>
      </c>
    </row>
    <row r="169">
      <c r="A169" s="10"/>
      <c r="B169" s="10" t="str">
        <f t="array" ref="B169">_xlfn.XLOOKUP(A169,DATA!D:D,DATA!E:E,"")</f>
        <v/>
      </c>
      <c r="C169" s="10" t="str">
        <f>IF($A169="","",COUNTIFS(Evaluations!$G$3:$G$10000,$A169,Evaluations!$U$3:$U$10000,"&gt;=0",Evaluations!$U$3:$U$10000,"&lt;=100"))</f>
        <v/>
      </c>
      <c r="D169" s="10" t="str">
        <f>IF(OR($A169="",C169=0),"",ROUND(SUMIFS(Evaluations!$U$3:$U$10000,Evaluations!$G$3:$G$10000,$A169)/C169,2))</f>
        <v/>
      </c>
      <c r="E169" s="10" t="str">
        <f>IF($A169="","",COUNTIFS(Evaluations!$G$3:$G$10000,$A169,Evaluations!$M$3:$M$10000,"پاسخ داده شده"))</f>
        <v/>
      </c>
      <c r="F169" s="10" t="str">
        <f>IF($A169="","",IFERROR(COUNTIFS(Evaluations!$G$3:$G$10000,$A169,Evaluations!$O$3:$O$10000,"رعایت شده")/(COUNTIFS(Evaluations!$G$3:$G$10000,$A169,Evaluations!$O$3:$O$10000,"رعایت شده")+COUNTIFS(Evaluations!$G$3:$G$10000,$A169,Evaluations!$O$3:$O$10000,"رعایت نشده")),""))</f>
        <v/>
      </c>
      <c r="G169" s="10" t="str">
        <f>IF($A169="","",IFERROR(ROUND(100*COUNTIFS(Evaluations!$G$3:$G$10000,$A169,Evaluations!$Q$3:$Q$10000,1)/(COUNTIFS(Evaluations!$G$3:$G$10000,$A169,Evaluations!$Q$3:$Q$10000,1)+COUNTIFS(Evaluations!$G$3:$G$10000,$A169,Evaluations!$Q$3:$Q$10000,0)),2),""))</f>
        <v/>
      </c>
      <c r="H169" s="10" t="str">
        <f>IF($A169="","",IFERROR(ROUND(100*COUNTIFS(Evaluations!$G$3:$G$10000,$A169,Evaluations!$R$3:$R$10000,1)/(COUNTIFS(Evaluations!$G$3:$G$10000,$A169,Evaluations!$R$3:$R$10000,1)+COUNTIFS(Evaluations!$G$3:$G$10000,$A169,Evaluations!$R$3:$R$10000,0)),2),""))</f>
        <v/>
      </c>
      <c r="I169" s="10" t="str">
        <f>IF($A169="","",IFERROR(ROUND(100*COUNTIFS(Evaluations!$G$3:$G$10000,$A169,Evaluations!$S$3:$S$10000,1)/(COUNTIFS(Evaluations!$G$3:$G$10000,$A169,Evaluations!$S$3:$S$10000,1)+COUNTIFS(Evaluations!$G$3:$G$10000,$A169,Evaluations!$S$3:$S$10000,0)),2),""))</f>
        <v/>
      </c>
      <c r="J169" s="10" t="str">
        <f>IF($A169="","",IFERROR(ROUND(100*COUNTIFS(Evaluations!$G$3:$G$10000,$A169,Evaluations!$T$3:$T$10000,1)/(COUNTIFS(Evaluations!$G$3:$G$10000,$A169,Evaluations!$T$3:$T$10000,1)+COUNTIFS(Evaluations!$G$3:$G$10000,$A169,Evaluations!$T$3:$T$10000,0)),2),""))</f>
        <v/>
      </c>
      <c r="K169" s="10" t="str">
        <f>IF($A169="","",COUNTIFS(Evaluations!$G$3:$G$10000,$A169,Evaluations!$M$3:$M$10000,"عدم پاسخ"))</f>
        <v/>
      </c>
      <c r="L169" s="10" t="str">
        <f>IF($A169="","",COUNTIFS(Evaluations!$G$3:$G$10000,$A169,Evaluations!$O$3:$O$10000,"رعایت نشده"))</f>
        <v/>
      </c>
    </row>
    <row r="170">
      <c r="A170" s="10"/>
      <c r="B170" s="10" t="str">
        <f t="array" ref="B170">_xlfn.XLOOKUP(A170,DATA!D:D,DATA!E:E,"")</f>
        <v/>
      </c>
      <c r="C170" s="10" t="str">
        <f>IF($A170="","",COUNTIFS(Evaluations!$G$3:$G$10000,$A170,Evaluations!$U$3:$U$10000,"&gt;=0",Evaluations!$U$3:$U$10000,"&lt;=100"))</f>
        <v/>
      </c>
      <c r="D170" s="10" t="str">
        <f>IF(OR($A170="",C170=0),"",ROUND(SUMIFS(Evaluations!$U$3:$U$10000,Evaluations!$G$3:$G$10000,$A170)/C170,2))</f>
        <v/>
      </c>
      <c r="E170" s="10" t="str">
        <f>IF($A170="","",COUNTIFS(Evaluations!$G$3:$G$10000,$A170,Evaluations!$M$3:$M$10000,"پاسخ داده شده"))</f>
        <v/>
      </c>
      <c r="F170" s="10" t="str">
        <f>IF($A170="","",IFERROR(COUNTIFS(Evaluations!$G$3:$G$10000,$A170,Evaluations!$O$3:$O$10000,"رعایت شده")/(COUNTIFS(Evaluations!$G$3:$G$10000,$A170,Evaluations!$O$3:$O$10000,"رعایت شده")+COUNTIFS(Evaluations!$G$3:$G$10000,$A170,Evaluations!$O$3:$O$10000,"رعایت نشده")),""))</f>
        <v/>
      </c>
      <c r="G170" s="10" t="str">
        <f>IF($A170="","",IFERROR(ROUND(100*COUNTIFS(Evaluations!$G$3:$G$10000,$A170,Evaluations!$Q$3:$Q$10000,1)/(COUNTIFS(Evaluations!$G$3:$G$10000,$A170,Evaluations!$Q$3:$Q$10000,1)+COUNTIFS(Evaluations!$G$3:$G$10000,$A170,Evaluations!$Q$3:$Q$10000,0)),2),""))</f>
        <v/>
      </c>
      <c r="H170" s="10" t="str">
        <f>IF($A170="","",IFERROR(ROUND(100*COUNTIFS(Evaluations!$G$3:$G$10000,$A170,Evaluations!$R$3:$R$10000,1)/(COUNTIFS(Evaluations!$G$3:$G$10000,$A170,Evaluations!$R$3:$R$10000,1)+COUNTIFS(Evaluations!$G$3:$G$10000,$A170,Evaluations!$R$3:$R$10000,0)),2),""))</f>
        <v/>
      </c>
      <c r="I170" s="10" t="str">
        <f>IF($A170="","",IFERROR(ROUND(100*COUNTIFS(Evaluations!$G$3:$G$10000,$A170,Evaluations!$S$3:$S$10000,1)/(COUNTIFS(Evaluations!$G$3:$G$10000,$A170,Evaluations!$S$3:$S$10000,1)+COUNTIFS(Evaluations!$G$3:$G$10000,$A170,Evaluations!$S$3:$S$10000,0)),2),""))</f>
        <v/>
      </c>
      <c r="J170" s="10" t="str">
        <f>IF($A170="","",IFERROR(ROUND(100*COUNTIFS(Evaluations!$G$3:$G$10000,$A170,Evaluations!$T$3:$T$10000,1)/(COUNTIFS(Evaluations!$G$3:$G$10000,$A170,Evaluations!$T$3:$T$10000,1)+COUNTIFS(Evaluations!$G$3:$G$10000,$A170,Evaluations!$T$3:$T$10000,0)),2),""))</f>
        <v/>
      </c>
      <c r="K170" s="10" t="str">
        <f>IF($A170="","",COUNTIFS(Evaluations!$G$3:$G$10000,$A170,Evaluations!$M$3:$M$10000,"عدم پاسخ"))</f>
        <v/>
      </c>
      <c r="L170" s="10" t="str">
        <f>IF($A170="","",COUNTIFS(Evaluations!$G$3:$G$10000,$A170,Evaluations!$O$3:$O$10000,"رعایت نشده"))</f>
        <v/>
      </c>
    </row>
    <row r="171">
      <c r="A171" s="10"/>
      <c r="B171" s="10" t="str">
        <f t="array" ref="B171">_xlfn.XLOOKUP(A171,DATA!D:D,DATA!E:E,"")</f>
        <v/>
      </c>
      <c r="C171" s="10" t="str">
        <f>IF($A171="","",COUNTIFS(Evaluations!$G$3:$G$10000,$A171,Evaluations!$U$3:$U$10000,"&gt;=0",Evaluations!$U$3:$U$10000,"&lt;=100"))</f>
        <v/>
      </c>
      <c r="D171" s="10" t="str">
        <f>IF(OR($A171="",C171=0),"",ROUND(SUMIFS(Evaluations!$U$3:$U$10000,Evaluations!$G$3:$G$10000,$A171)/C171,2))</f>
        <v/>
      </c>
      <c r="E171" s="10" t="str">
        <f>IF($A171="","",COUNTIFS(Evaluations!$G$3:$G$10000,$A171,Evaluations!$M$3:$M$10000,"پاسخ داده شده"))</f>
        <v/>
      </c>
      <c r="F171" s="10" t="str">
        <f>IF($A171="","",IFERROR(COUNTIFS(Evaluations!$G$3:$G$10000,$A171,Evaluations!$O$3:$O$10000,"رعایت شده")/(COUNTIFS(Evaluations!$G$3:$G$10000,$A171,Evaluations!$O$3:$O$10000,"رعایت شده")+COUNTIFS(Evaluations!$G$3:$G$10000,$A171,Evaluations!$O$3:$O$10000,"رعایت نشده")),""))</f>
        <v/>
      </c>
      <c r="G171" s="10" t="str">
        <f>IF($A171="","",IFERROR(ROUND(100*COUNTIFS(Evaluations!$G$3:$G$10000,$A171,Evaluations!$Q$3:$Q$10000,1)/(COUNTIFS(Evaluations!$G$3:$G$10000,$A171,Evaluations!$Q$3:$Q$10000,1)+COUNTIFS(Evaluations!$G$3:$G$10000,$A171,Evaluations!$Q$3:$Q$10000,0)),2),""))</f>
        <v/>
      </c>
      <c r="H171" s="10" t="str">
        <f>IF($A171="","",IFERROR(ROUND(100*COUNTIFS(Evaluations!$G$3:$G$10000,$A171,Evaluations!$R$3:$R$10000,1)/(COUNTIFS(Evaluations!$G$3:$G$10000,$A171,Evaluations!$R$3:$R$10000,1)+COUNTIFS(Evaluations!$G$3:$G$10000,$A171,Evaluations!$R$3:$R$10000,0)),2),""))</f>
        <v/>
      </c>
      <c r="I171" s="10" t="str">
        <f>IF($A171="","",IFERROR(ROUND(100*COUNTIFS(Evaluations!$G$3:$G$10000,$A171,Evaluations!$S$3:$S$10000,1)/(COUNTIFS(Evaluations!$G$3:$G$10000,$A171,Evaluations!$S$3:$S$10000,1)+COUNTIFS(Evaluations!$G$3:$G$10000,$A171,Evaluations!$S$3:$S$10000,0)),2),""))</f>
        <v/>
      </c>
      <c r="J171" s="10" t="str">
        <f>IF($A171="","",IFERROR(ROUND(100*COUNTIFS(Evaluations!$G$3:$G$10000,$A171,Evaluations!$T$3:$T$10000,1)/(COUNTIFS(Evaluations!$G$3:$G$10000,$A171,Evaluations!$T$3:$T$10000,1)+COUNTIFS(Evaluations!$G$3:$G$10000,$A171,Evaluations!$T$3:$T$10000,0)),2),""))</f>
        <v/>
      </c>
      <c r="K171" s="10" t="str">
        <f>IF($A171="","",COUNTIFS(Evaluations!$G$3:$G$10000,$A171,Evaluations!$M$3:$M$10000,"عدم پاسخ"))</f>
        <v/>
      </c>
      <c r="L171" s="10" t="str">
        <f>IF($A171="","",COUNTIFS(Evaluations!$G$3:$G$10000,$A171,Evaluations!$O$3:$O$10000,"رعایت نشده"))</f>
        <v/>
      </c>
    </row>
    <row r="172">
      <c r="A172" s="10"/>
      <c r="B172" s="10" t="str">
        <f t="array" ref="B172">_xlfn.XLOOKUP(A172,DATA!D:D,DATA!E:E,"")</f>
        <v/>
      </c>
      <c r="C172" s="10" t="str">
        <f>IF($A172="","",COUNTIFS(Evaluations!$G$3:$G$10000,$A172,Evaluations!$U$3:$U$10000,"&gt;=0",Evaluations!$U$3:$U$10000,"&lt;=100"))</f>
        <v/>
      </c>
      <c r="D172" s="10" t="str">
        <f>IF(OR($A172="",C172=0),"",ROUND(SUMIFS(Evaluations!$U$3:$U$10000,Evaluations!$G$3:$G$10000,$A172)/C172,2))</f>
        <v/>
      </c>
      <c r="E172" s="10" t="str">
        <f>IF($A172="","",COUNTIFS(Evaluations!$G$3:$G$10000,$A172,Evaluations!$M$3:$M$10000,"پاسخ داده شده"))</f>
        <v/>
      </c>
      <c r="F172" s="10" t="str">
        <f>IF($A172="","",IFERROR(COUNTIFS(Evaluations!$G$3:$G$10000,$A172,Evaluations!$O$3:$O$10000,"رعایت شده")/(COUNTIFS(Evaluations!$G$3:$G$10000,$A172,Evaluations!$O$3:$O$10000,"رعایت شده")+COUNTIFS(Evaluations!$G$3:$G$10000,$A172,Evaluations!$O$3:$O$10000,"رعایت نشده")),""))</f>
        <v/>
      </c>
      <c r="G172" s="10" t="str">
        <f>IF($A172="","",IFERROR(ROUND(100*COUNTIFS(Evaluations!$G$3:$G$10000,$A172,Evaluations!$Q$3:$Q$10000,1)/(COUNTIFS(Evaluations!$G$3:$G$10000,$A172,Evaluations!$Q$3:$Q$10000,1)+COUNTIFS(Evaluations!$G$3:$G$10000,$A172,Evaluations!$Q$3:$Q$10000,0)),2),""))</f>
        <v/>
      </c>
      <c r="H172" s="10" t="str">
        <f>IF($A172="","",IFERROR(ROUND(100*COUNTIFS(Evaluations!$G$3:$G$10000,$A172,Evaluations!$R$3:$R$10000,1)/(COUNTIFS(Evaluations!$G$3:$G$10000,$A172,Evaluations!$R$3:$R$10000,1)+COUNTIFS(Evaluations!$G$3:$G$10000,$A172,Evaluations!$R$3:$R$10000,0)),2),""))</f>
        <v/>
      </c>
      <c r="I172" s="10" t="str">
        <f>IF($A172="","",IFERROR(ROUND(100*COUNTIFS(Evaluations!$G$3:$G$10000,$A172,Evaluations!$S$3:$S$10000,1)/(COUNTIFS(Evaluations!$G$3:$G$10000,$A172,Evaluations!$S$3:$S$10000,1)+COUNTIFS(Evaluations!$G$3:$G$10000,$A172,Evaluations!$S$3:$S$10000,0)),2),""))</f>
        <v/>
      </c>
      <c r="J172" s="10" t="str">
        <f>IF($A172="","",IFERROR(ROUND(100*COUNTIFS(Evaluations!$G$3:$G$10000,$A172,Evaluations!$T$3:$T$10000,1)/(COUNTIFS(Evaluations!$G$3:$G$10000,$A172,Evaluations!$T$3:$T$10000,1)+COUNTIFS(Evaluations!$G$3:$G$10000,$A172,Evaluations!$T$3:$T$10000,0)),2),""))</f>
        <v/>
      </c>
      <c r="K172" s="10" t="str">
        <f>IF($A172="","",COUNTIFS(Evaluations!$G$3:$G$10000,$A172,Evaluations!$M$3:$M$10000,"عدم پاسخ"))</f>
        <v/>
      </c>
      <c r="L172" s="10" t="str">
        <f>IF($A172="","",COUNTIFS(Evaluations!$G$3:$G$10000,$A172,Evaluations!$O$3:$O$10000,"رعایت نشده"))</f>
        <v/>
      </c>
    </row>
    <row r="173">
      <c r="A173" s="10"/>
      <c r="B173" s="10" t="str">
        <f t="array" ref="B173">_xlfn.XLOOKUP(A173,DATA!D:D,DATA!E:E,"")</f>
        <v/>
      </c>
      <c r="C173" s="10" t="str">
        <f>IF($A173="","",COUNTIFS(Evaluations!$G$3:$G$10000,$A173,Evaluations!$U$3:$U$10000,"&gt;=0",Evaluations!$U$3:$U$10000,"&lt;=100"))</f>
        <v/>
      </c>
      <c r="D173" s="10" t="str">
        <f>IF(OR($A173="",C173=0),"",ROUND(SUMIFS(Evaluations!$U$3:$U$10000,Evaluations!$G$3:$G$10000,$A173)/C173,2))</f>
        <v/>
      </c>
      <c r="E173" s="10" t="str">
        <f>IF($A173="","",COUNTIFS(Evaluations!$G$3:$G$10000,$A173,Evaluations!$M$3:$M$10000,"پاسخ داده شده"))</f>
        <v/>
      </c>
      <c r="F173" s="10" t="str">
        <f>IF($A173="","",IFERROR(COUNTIFS(Evaluations!$G$3:$G$10000,$A173,Evaluations!$O$3:$O$10000,"رعایت شده")/(COUNTIFS(Evaluations!$G$3:$G$10000,$A173,Evaluations!$O$3:$O$10000,"رعایت شده")+COUNTIFS(Evaluations!$G$3:$G$10000,$A173,Evaluations!$O$3:$O$10000,"رعایت نشده")),""))</f>
        <v/>
      </c>
      <c r="G173" s="10" t="str">
        <f>IF($A173="","",IFERROR(ROUND(100*COUNTIFS(Evaluations!$G$3:$G$10000,$A173,Evaluations!$Q$3:$Q$10000,1)/(COUNTIFS(Evaluations!$G$3:$G$10000,$A173,Evaluations!$Q$3:$Q$10000,1)+COUNTIFS(Evaluations!$G$3:$G$10000,$A173,Evaluations!$Q$3:$Q$10000,0)),2),""))</f>
        <v/>
      </c>
      <c r="H173" s="10" t="str">
        <f>IF($A173="","",IFERROR(ROUND(100*COUNTIFS(Evaluations!$G$3:$G$10000,$A173,Evaluations!$R$3:$R$10000,1)/(COUNTIFS(Evaluations!$G$3:$G$10000,$A173,Evaluations!$R$3:$R$10000,1)+COUNTIFS(Evaluations!$G$3:$G$10000,$A173,Evaluations!$R$3:$R$10000,0)),2),""))</f>
        <v/>
      </c>
      <c r="I173" s="10" t="str">
        <f>IF($A173="","",IFERROR(ROUND(100*COUNTIFS(Evaluations!$G$3:$G$10000,$A173,Evaluations!$S$3:$S$10000,1)/(COUNTIFS(Evaluations!$G$3:$G$10000,$A173,Evaluations!$S$3:$S$10000,1)+COUNTIFS(Evaluations!$G$3:$G$10000,$A173,Evaluations!$S$3:$S$10000,0)),2),""))</f>
        <v/>
      </c>
      <c r="J173" s="10" t="str">
        <f>IF($A173="","",IFERROR(ROUND(100*COUNTIFS(Evaluations!$G$3:$G$10000,$A173,Evaluations!$T$3:$T$10000,1)/(COUNTIFS(Evaluations!$G$3:$G$10000,$A173,Evaluations!$T$3:$T$10000,1)+COUNTIFS(Evaluations!$G$3:$G$10000,$A173,Evaluations!$T$3:$T$10000,0)),2),""))</f>
        <v/>
      </c>
      <c r="K173" s="10" t="str">
        <f>IF($A173="","",COUNTIFS(Evaluations!$G$3:$G$10000,$A173,Evaluations!$M$3:$M$10000,"عدم پاسخ"))</f>
        <v/>
      </c>
      <c r="L173" s="10" t="str">
        <f>IF($A173="","",COUNTIFS(Evaluations!$G$3:$G$10000,$A173,Evaluations!$O$3:$O$10000,"رعایت نشده"))</f>
        <v/>
      </c>
    </row>
    <row r="174">
      <c r="A174" s="10"/>
      <c r="B174" s="10" t="str">
        <f t="array" ref="B174">_xlfn.XLOOKUP(A174,DATA!D:D,DATA!E:E,"")</f>
        <v/>
      </c>
      <c r="C174" s="10" t="str">
        <f>IF($A174="","",COUNTIFS(Evaluations!$G$3:$G$10000,$A174,Evaluations!$U$3:$U$10000,"&gt;=0",Evaluations!$U$3:$U$10000,"&lt;=100"))</f>
        <v/>
      </c>
      <c r="D174" s="10" t="str">
        <f>IF(OR($A174="",C174=0),"",ROUND(SUMIFS(Evaluations!$U$3:$U$10000,Evaluations!$G$3:$G$10000,$A174)/C174,2))</f>
        <v/>
      </c>
      <c r="E174" s="10" t="str">
        <f>IF($A174="","",COUNTIFS(Evaluations!$G$3:$G$10000,$A174,Evaluations!$M$3:$M$10000,"پاسخ داده شده"))</f>
        <v/>
      </c>
      <c r="F174" s="10" t="str">
        <f>IF($A174="","",IFERROR(COUNTIFS(Evaluations!$G$3:$G$10000,$A174,Evaluations!$O$3:$O$10000,"رعایت شده")/(COUNTIFS(Evaluations!$G$3:$G$10000,$A174,Evaluations!$O$3:$O$10000,"رعایت شده")+COUNTIFS(Evaluations!$G$3:$G$10000,$A174,Evaluations!$O$3:$O$10000,"رعایت نشده")),""))</f>
        <v/>
      </c>
      <c r="G174" s="10" t="str">
        <f>IF($A174="","",IFERROR(ROUND(100*COUNTIFS(Evaluations!$G$3:$G$10000,$A174,Evaluations!$Q$3:$Q$10000,1)/(COUNTIFS(Evaluations!$G$3:$G$10000,$A174,Evaluations!$Q$3:$Q$10000,1)+COUNTIFS(Evaluations!$G$3:$G$10000,$A174,Evaluations!$Q$3:$Q$10000,0)),2),""))</f>
        <v/>
      </c>
      <c r="H174" s="10" t="str">
        <f>IF($A174="","",IFERROR(ROUND(100*COUNTIFS(Evaluations!$G$3:$G$10000,$A174,Evaluations!$R$3:$R$10000,1)/(COUNTIFS(Evaluations!$G$3:$G$10000,$A174,Evaluations!$R$3:$R$10000,1)+COUNTIFS(Evaluations!$G$3:$G$10000,$A174,Evaluations!$R$3:$R$10000,0)),2),""))</f>
        <v/>
      </c>
      <c r="I174" s="10" t="str">
        <f>IF($A174="","",IFERROR(ROUND(100*COUNTIFS(Evaluations!$G$3:$G$10000,$A174,Evaluations!$S$3:$S$10000,1)/(COUNTIFS(Evaluations!$G$3:$G$10000,$A174,Evaluations!$S$3:$S$10000,1)+COUNTIFS(Evaluations!$G$3:$G$10000,$A174,Evaluations!$S$3:$S$10000,0)),2),""))</f>
        <v/>
      </c>
      <c r="J174" s="10" t="str">
        <f>IF($A174="","",IFERROR(ROUND(100*COUNTIFS(Evaluations!$G$3:$G$10000,$A174,Evaluations!$T$3:$T$10000,1)/(COUNTIFS(Evaluations!$G$3:$G$10000,$A174,Evaluations!$T$3:$T$10000,1)+COUNTIFS(Evaluations!$G$3:$G$10000,$A174,Evaluations!$T$3:$T$10000,0)),2),""))</f>
        <v/>
      </c>
      <c r="K174" s="10" t="str">
        <f>IF($A174="","",COUNTIFS(Evaluations!$G$3:$G$10000,$A174,Evaluations!$M$3:$M$10000,"عدم پاسخ"))</f>
        <v/>
      </c>
      <c r="L174" s="10" t="str">
        <f>IF($A174="","",COUNTIFS(Evaluations!$G$3:$G$10000,$A174,Evaluations!$O$3:$O$10000,"رعایت نشده"))</f>
        <v/>
      </c>
    </row>
    <row r="175">
      <c r="A175" s="10"/>
      <c r="B175" s="10" t="str">
        <f t="array" ref="B175">_xlfn.XLOOKUP(A175,DATA!D:D,DATA!E:E,"")</f>
        <v/>
      </c>
      <c r="C175" s="10" t="str">
        <f>IF($A175="","",COUNTIFS(Evaluations!$G$3:$G$10000,$A175,Evaluations!$U$3:$U$10000,"&gt;=0",Evaluations!$U$3:$U$10000,"&lt;=100"))</f>
        <v/>
      </c>
      <c r="D175" s="10" t="str">
        <f>IF(OR($A175="",C175=0),"",ROUND(SUMIFS(Evaluations!$U$3:$U$10000,Evaluations!$G$3:$G$10000,$A175)/C175,2))</f>
        <v/>
      </c>
      <c r="E175" s="10" t="str">
        <f>IF($A175="","",COUNTIFS(Evaluations!$G$3:$G$10000,$A175,Evaluations!$M$3:$M$10000,"پاسخ داده شده"))</f>
        <v/>
      </c>
      <c r="F175" s="10" t="str">
        <f>IF($A175="","",IFERROR(COUNTIFS(Evaluations!$G$3:$G$10000,$A175,Evaluations!$O$3:$O$10000,"رعایت شده")/(COUNTIFS(Evaluations!$G$3:$G$10000,$A175,Evaluations!$O$3:$O$10000,"رعایت شده")+COUNTIFS(Evaluations!$G$3:$G$10000,$A175,Evaluations!$O$3:$O$10000,"رعایت نشده")),""))</f>
        <v/>
      </c>
      <c r="G175" s="10" t="str">
        <f>IF($A175="","",IFERROR(ROUND(100*COUNTIFS(Evaluations!$G$3:$G$10000,$A175,Evaluations!$Q$3:$Q$10000,1)/(COUNTIFS(Evaluations!$G$3:$G$10000,$A175,Evaluations!$Q$3:$Q$10000,1)+COUNTIFS(Evaluations!$G$3:$G$10000,$A175,Evaluations!$Q$3:$Q$10000,0)),2),""))</f>
        <v/>
      </c>
      <c r="H175" s="10" t="str">
        <f>IF($A175="","",IFERROR(ROUND(100*COUNTIFS(Evaluations!$G$3:$G$10000,$A175,Evaluations!$R$3:$R$10000,1)/(COUNTIFS(Evaluations!$G$3:$G$10000,$A175,Evaluations!$R$3:$R$10000,1)+COUNTIFS(Evaluations!$G$3:$G$10000,$A175,Evaluations!$R$3:$R$10000,0)),2),""))</f>
        <v/>
      </c>
      <c r="I175" s="10" t="str">
        <f>IF($A175="","",IFERROR(ROUND(100*COUNTIFS(Evaluations!$G$3:$G$10000,$A175,Evaluations!$S$3:$S$10000,1)/(COUNTIFS(Evaluations!$G$3:$G$10000,$A175,Evaluations!$S$3:$S$10000,1)+COUNTIFS(Evaluations!$G$3:$G$10000,$A175,Evaluations!$S$3:$S$10000,0)),2),""))</f>
        <v/>
      </c>
      <c r="J175" s="10" t="str">
        <f>IF($A175="","",IFERROR(ROUND(100*COUNTIFS(Evaluations!$G$3:$G$10000,$A175,Evaluations!$T$3:$T$10000,1)/(COUNTIFS(Evaluations!$G$3:$G$10000,$A175,Evaluations!$T$3:$T$10000,1)+COUNTIFS(Evaluations!$G$3:$G$10000,$A175,Evaluations!$T$3:$T$10000,0)),2),""))</f>
        <v/>
      </c>
      <c r="K175" s="10" t="str">
        <f>IF($A175="","",COUNTIFS(Evaluations!$G$3:$G$10000,$A175,Evaluations!$M$3:$M$10000,"عدم پاسخ"))</f>
        <v/>
      </c>
      <c r="L175" s="10" t="str">
        <f>IF($A175="","",COUNTIFS(Evaluations!$G$3:$G$10000,$A175,Evaluations!$O$3:$O$10000,"رعایت نشده"))</f>
        <v/>
      </c>
    </row>
    <row r="176">
      <c r="A176" s="10"/>
      <c r="B176" s="10" t="str">
        <f t="array" ref="B176">_xlfn.XLOOKUP(A176,DATA!D:D,DATA!E:E,"")</f>
        <v/>
      </c>
      <c r="C176" s="10" t="str">
        <f>IF($A176="","",COUNTIFS(Evaluations!$G$3:$G$10000,$A176,Evaluations!$U$3:$U$10000,"&gt;=0",Evaluations!$U$3:$U$10000,"&lt;=100"))</f>
        <v/>
      </c>
      <c r="D176" s="10" t="str">
        <f>IF(OR($A176="",C176=0),"",ROUND(SUMIFS(Evaluations!$U$3:$U$10000,Evaluations!$G$3:$G$10000,$A176)/C176,2))</f>
        <v/>
      </c>
      <c r="E176" s="10" t="str">
        <f>IF($A176="","",COUNTIFS(Evaluations!$G$3:$G$10000,$A176,Evaluations!$M$3:$M$10000,"پاسخ داده شده"))</f>
        <v/>
      </c>
      <c r="F176" s="10" t="str">
        <f>IF($A176="","",IFERROR(COUNTIFS(Evaluations!$G$3:$G$10000,$A176,Evaluations!$O$3:$O$10000,"رعایت شده")/(COUNTIFS(Evaluations!$G$3:$G$10000,$A176,Evaluations!$O$3:$O$10000,"رعایت شده")+COUNTIFS(Evaluations!$G$3:$G$10000,$A176,Evaluations!$O$3:$O$10000,"رعایت نشده")),""))</f>
        <v/>
      </c>
      <c r="G176" s="10" t="str">
        <f>IF($A176="","",IFERROR(ROUND(100*COUNTIFS(Evaluations!$G$3:$G$10000,$A176,Evaluations!$Q$3:$Q$10000,1)/(COUNTIFS(Evaluations!$G$3:$G$10000,$A176,Evaluations!$Q$3:$Q$10000,1)+COUNTIFS(Evaluations!$G$3:$G$10000,$A176,Evaluations!$Q$3:$Q$10000,0)),2),""))</f>
        <v/>
      </c>
      <c r="H176" s="10" t="str">
        <f>IF($A176="","",IFERROR(ROUND(100*COUNTIFS(Evaluations!$G$3:$G$10000,$A176,Evaluations!$R$3:$R$10000,1)/(COUNTIFS(Evaluations!$G$3:$G$10000,$A176,Evaluations!$R$3:$R$10000,1)+COUNTIFS(Evaluations!$G$3:$G$10000,$A176,Evaluations!$R$3:$R$10000,0)),2),""))</f>
        <v/>
      </c>
      <c r="I176" s="10" t="str">
        <f>IF($A176="","",IFERROR(ROUND(100*COUNTIFS(Evaluations!$G$3:$G$10000,$A176,Evaluations!$S$3:$S$10000,1)/(COUNTIFS(Evaluations!$G$3:$G$10000,$A176,Evaluations!$S$3:$S$10000,1)+COUNTIFS(Evaluations!$G$3:$G$10000,$A176,Evaluations!$S$3:$S$10000,0)),2),""))</f>
        <v/>
      </c>
      <c r="J176" s="10" t="str">
        <f>IF($A176="","",IFERROR(ROUND(100*COUNTIFS(Evaluations!$G$3:$G$10000,$A176,Evaluations!$T$3:$T$10000,1)/(COUNTIFS(Evaluations!$G$3:$G$10000,$A176,Evaluations!$T$3:$T$10000,1)+COUNTIFS(Evaluations!$G$3:$G$10000,$A176,Evaluations!$T$3:$T$10000,0)),2),""))</f>
        <v/>
      </c>
      <c r="K176" s="10" t="str">
        <f>IF($A176="","",COUNTIFS(Evaluations!$G$3:$G$10000,$A176,Evaluations!$M$3:$M$10000,"عدم پاسخ"))</f>
        <v/>
      </c>
      <c r="L176" s="10" t="str">
        <f>IF($A176="","",COUNTIFS(Evaluations!$G$3:$G$10000,$A176,Evaluations!$O$3:$O$10000,"رعایت نشده"))</f>
        <v/>
      </c>
    </row>
    <row r="177">
      <c r="A177" s="10"/>
      <c r="B177" s="10" t="str">
        <f t="array" ref="B177">_xlfn.XLOOKUP(A177,DATA!D:D,DATA!E:E,"")</f>
        <v/>
      </c>
      <c r="C177" s="10" t="str">
        <f>IF($A177="","",COUNTIFS(Evaluations!$G$3:$G$10000,$A177,Evaluations!$U$3:$U$10000,"&gt;=0",Evaluations!$U$3:$U$10000,"&lt;=100"))</f>
        <v/>
      </c>
      <c r="D177" s="10" t="str">
        <f>IF(OR($A177="",C177=0),"",ROUND(SUMIFS(Evaluations!$U$3:$U$10000,Evaluations!$G$3:$G$10000,$A177)/C177,2))</f>
        <v/>
      </c>
      <c r="E177" s="10" t="str">
        <f>IF($A177="","",COUNTIFS(Evaluations!$G$3:$G$10000,$A177,Evaluations!$M$3:$M$10000,"پاسخ داده شده"))</f>
        <v/>
      </c>
      <c r="F177" s="10" t="str">
        <f>IF($A177="","",IFERROR(COUNTIFS(Evaluations!$G$3:$G$10000,$A177,Evaluations!$O$3:$O$10000,"رعایت شده")/(COUNTIFS(Evaluations!$G$3:$G$10000,$A177,Evaluations!$O$3:$O$10000,"رعایت شده")+COUNTIFS(Evaluations!$G$3:$G$10000,$A177,Evaluations!$O$3:$O$10000,"رعایت نشده")),""))</f>
        <v/>
      </c>
      <c r="G177" s="10" t="str">
        <f>IF($A177="","",IFERROR(ROUND(100*COUNTIFS(Evaluations!$G$3:$G$10000,$A177,Evaluations!$Q$3:$Q$10000,1)/(COUNTIFS(Evaluations!$G$3:$G$10000,$A177,Evaluations!$Q$3:$Q$10000,1)+COUNTIFS(Evaluations!$G$3:$G$10000,$A177,Evaluations!$Q$3:$Q$10000,0)),2),""))</f>
        <v/>
      </c>
      <c r="H177" s="10" t="str">
        <f>IF($A177="","",IFERROR(ROUND(100*COUNTIFS(Evaluations!$G$3:$G$10000,$A177,Evaluations!$R$3:$R$10000,1)/(COUNTIFS(Evaluations!$G$3:$G$10000,$A177,Evaluations!$R$3:$R$10000,1)+COUNTIFS(Evaluations!$G$3:$G$10000,$A177,Evaluations!$R$3:$R$10000,0)),2),""))</f>
        <v/>
      </c>
      <c r="I177" s="10" t="str">
        <f>IF($A177="","",IFERROR(ROUND(100*COUNTIFS(Evaluations!$G$3:$G$10000,$A177,Evaluations!$S$3:$S$10000,1)/(COUNTIFS(Evaluations!$G$3:$G$10000,$A177,Evaluations!$S$3:$S$10000,1)+COUNTIFS(Evaluations!$G$3:$G$10000,$A177,Evaluations!$S$3:$S$10000,0)),2),""))</f>
        <v/>
      </c>
      <c r="J177" s="10" t="str">
        <f>IF($A177="","",IFERROR(ROUND(100*COUNTIFS(Evaluations!$G$3:$G$10000,$A177,Evaluations!$T$3:$T$10000,1)/(COUNTIFS(Evaluations!$G$3:$G$10000,$A177,Evaluations!$T$3:$T$10000,1)+COUNTIFS(Evaluations!$G$3:$G$10000,$A177,Evaluations!$T$3:$T$10000,0)),2),""))</f>
        <v/>
      </c>
      <c r="K177" s="10" t="str">
        <f>IF($A177="","",COUNTIFS(Evaluations!$G$3:$G$10000,$A177,Evaluations!$M$3:$M$10000,"عدم پاسخ"))</f>
        <v/>
      </c>
      <c r="L177" s="10" t="str">
        <f>IF($A177="","",COUNTIFS(Evaluations!$G$3:$G$10000,$A177,Evaluations!$O$3:$O$10000,"رعایت نشده"))</f>
        <v/>
      </c>
    </row>
    <row r="178">
      <c r="A178" s="10"/>
      <c r="B178" s="10" t="str">
        <f t="array" ref="B178">_xlfn.XLOOKUP(A178,DATA!D:D,DATA!E:E,"")</f>
        <v/>
      </c>
      <c r="C178" s="10" t="str">
        <f>IF($A178="","",COUNTIFS(Evaluations!$G$3:$G$10000,$A178,Evaluations!$U$3:$U$10000,"&gt;=0",Evaluations!$U$3:$U$10000,"&lt;=100"))</f>
        <v/>
      </c>
      <c r="D178" s="10" t="str">
        <f>IF(OR($A178="",C178=0),"",ROUND(SUMIFS(Evaluations!$U$3:$U$10000,Evaluations!$G$3:$G$10000,$A178)/C178,2))</f>
        <v/>
      </c>
      <c r="E178" s="10" t="str">
        <f>IF($A178="","",COUNTIFS(Evaluations!$G$3:$G$10000,$A178,Evaluations!$M$3:$M$10000,"پاسخ داده شده"))</f>
        <v/>
      </c>
      <c r="F178" s="10" t="str">
        <f>IF($A178="","",IFERROR(COUNTIFS(Evaluations!$G$3:$G$10000,$A178,Evaluations!$O$3:$O$10000,"رعایت شده")/(COUNTIFS(Evaluations!$G$3:$G$10000,$A178,Evaluations!$O$3:$O$10000,"رعایت شده")+COUNTIFS(Evaluations!$G$3:$G$10000,$A178,Evaluations!$O$3:$O$10000,"رعایت نشده")),""))</f>
        <v/>
      </c>
      <c r="G178" s="10" t="str">
        <f>IF($A178="","",IFERROR(ROUND(100*COUNTIFS(Evaluations!$G$3:$G$10000,$A178,Evaluations!$Q$3:$Q$10000,1)/(COUNTIFS(Evaluations!$G$3:$G$10000,$A178,Evaluations!$Q$3:$Q$10000,1)+COUNTIFS(Evaluations!$G$3:$G$10000,$A178,Evaluations!$Q$3:$Q$10000,0)),2),""))</f>
        <v/>
      </c>
      <c r="H178" s="10" t="str">
        <f>IF($A178="","",IFERROR(ROUND(100*COUNTIFS(Evaluations!$G$3:$G$10000,$A178,Evaluations!$R$3:$R$10000,1)/(COUNTIFS(Evaluations!$G$3:$G$10000,$A178,Evaluations!$R$3:$R$10000,1)+COUNTIFS(Evaluations!$G$3:$G$10000,$A178,Evaluations!$R$3:$R$10000,0)),2),""))</f>
        <v/>
      </c>
      <c r="I178" s="10" t="str">
        <f>IF($A178="","",IFERROR(ROUND(100*COUNTIFS(Evaluations!$G$3:$G$10000,$A178,Evaluations!$S$3:$S$10000,1)/(COUNTIFS(Evaluations!$G$3:$G$10000,$A178,Evaluations!$S$3:$S$10000,1)+COUNTIFS(Evaluations!$G$3:$G$10000,$A178,Evaluations!$S$3:$S$10000,0)),2),""))</f>
        <v/>
      </c>
      <c r="J178" s="10" t="str">
        <f>IF($A178="","",IFERROR(ROUND(100*COUNTIFS(Evaluations!$G$3:$G$10000,$A178,Evaluations!$T$3:$T$10000,1)/(COUNTIFS(Evaluations!$G$3:$G$10000,$A178,Evaluations!$T$3:$T$10000,1)+COUNTIFS(Evaluations!$G$3:$G$10000,$A178,Evaluations!$T$3:$T$10000,0)),2),""))</f>
        <v/>
      </c>
      <c r="K178" s="10" t="str">
        <f>IF($A178="","",COUNTIFS(Evaluations!$G$3:$G$10000,$A178,Evaluations!$M$3:$M$10000,"عدم پاسخ"))</f>
        <v/>
      </c>
      <c r="L178" s="10" t="str">
        <f>IF($A178="","",COUNTIFS(Evaluations!$G$3:$G$10000,$A178,Evaluations!$O$3:$O$10000,"رعایت نشده"))</f>
        <v/>
      </c>
    </row>
    <row r="179">
      <c r="A179" s="10"/>
      <c r="B179" s="10" t="str">
        <f t="array" ref="B179">_xlfn.XLOOKUP(A179,DATA!D:D,DATA!E:E,"")</f>
        <v/>
      </c>
      <c r="C179" s="10" t="str">
        <f>IF($A179="","",COUNTIFS(Evaluations!$G$3:$G$10000,$A179,Evaluations!$U$3:$U$10000,"&gt;=0",Evaluations!$U$3:$U$10000,"&lt;=100"))</f>
        <v/>
      </c>
      <c r="D179" s="10" t="str">
        <f>IF(OR($A179="",C179=0),"",ROUND(SUMIFS(Evaluations!$U$3:$U$10000,Evaluations!$G$3:$G$10000,$A179)/C179,2))</f>
        <v/>
      </c>
      <c r="E179" s="10" t="str">
        <f>IF($A179="","",COUNTIFS(Evaluations!$G$3:$G$10000,$A179,Evaluations!$M$3:$M$10000,"پاسخ داده شده"))</f>
        <v/>
      </c>
      <c r="F179" s="10" t="str">
        <f>IF($A179="","",IFERROR(COUNTIFS(Evaluations!$G$3:$G$10000,$A179,Evaluations!$O$3:$O$10000,"رعایت شده")/(COUNTIFS(Evaluations!$G$3:$G$10000,$A179,Evaluations!$O$3:$O$10000,"رعایت شده")+COUNTIFS(Evaluations!$G$3:$G$10000,$A179,Evaluations!$O$3:$O$10000,"رعایت نشده")),""))</f>
        <v/>
      </c>
      <c r="G179" s="10" t="str">
        <f>IF($A179="","",IFERROR(ROUND(100*COUNTIFS(Evaluations!$G$3:$G$10000,$A179,Evaluations!$Q$3:$Q$10000,1)/(COUNTIFS(Evaluations!$G$3:$G$10000,$A179,Evaluations!$Q$3:$Q$10000,1)+COUNTIFS(Evaluations!$G$3:$G$10000,$A179,Evaluations!$Q$3:$Q$10000,0)),2),""))</f>
        <v/>
      </c>
      <c r="H179" s="10" t="str">
        <f>IF($A179="","",IFERROR(ROUND(100*COUNTIFS(Evaluations!$G$3:$G$10000,$A179,Evaluations!$R$3:$R$10000,1)/(COUNTIFS(Evaluations!$G$3:$G$10000,$A179,Evaluations!$R$3:$R$10000,1)+COUNTIFS(Evaluations!$G$3:$G$10000,$A179,Evaluations!$R$3:$R$10000,0)),2),""))</f>
        <v/>
      </c>
      <c r="I179" s="10" t="str">
        <f>IF($A179="","",IFERROR(ROUND(100*COUNTIFS(Evaluations!$G$3:$G$10000,$A179,Evaluations!$S$3:$S$10000,1)/(COUNTIFS(Evaluations!$G$3:$G$10000,$A179,Evaluations!$S$3:$S$10000,1)+COUNTIFS(Evaluations!$G$3:$G$10000,$A179,Evaluations!$S$3:$S$10000,0)),2),""))</f>
        <v/>
      </c>
      <c r="J179" s="10" t="str">
        <f>IF($A179="","",IFERROR(ROUND(100*COUNTIFS(Evaluations!$G$3:$G$10000,$A179,Evaluations!$T$3:$T$10000,1)/(COUNTIFS(Evaluations!$G$3:$G$10000,$A179,Evaluations!$T$3:$T$10000,1)+COUNTIFS(Evaluations!$G$3:$G$10000,$A179,Evaluations!$T$3:$T$10000,0)),2),""))</f>
        <v/>
      </c>
      <c r="K179" s="10" t="str">
        <f>IF($A179="","",COUNTIFS(Evaluations!$G$3:$G$10000,$A179,Evaluations!$M$3:$M$10000,"عدم پاسخ"))</f>
        <v/>
      </c>
      <c r="L179" s="10" t="str">
        <f>IF($A179="","",COUNTIFS(Evaluations!$G$3:$G$10000,$A179,Evaluations!$O$3:$O$10000,"رعایت نشده"))</f>
        <v/>
      </c>
    </row>
    <row r="180">
      <c r="A180" s="10"/>
      <c r="B180" s="10" t="str">
        <f t="array" ref="B180">_xlfn.XLOOKUP(A180,DATA!D:D,DATA!E:E,"")</f>
        <v/>
      </c>
      <c r="C180" s="10" t="str">
        <f>IF($A180="","",COUNTIFS(Evaluations!$G$3:$G$10000,$A180,Evaluations!$U$3:$U$10000,"&gt;=0",Evaluations!$U$3:$U$10000,"&lt;=100"))</f>
        <v/>
      </c>
      <c r="D180" s="10" t="str">
        <f>IF(OR($A180="",C180=0),"",ROUND(SUMIFS(Evaluations!$U$3:$U$10000,Evaluations!$G$3:$G$10000,$A180)/C180,2))</f>
        <v/>
      </c>
      <c r="E180" s="10" t="str">
        <f>IF($A180="","",COUNTIFS(Evaluations!$G$3:$G$10000,$A180,Evaluations!$M$3:$M$10000,"پاسخ داده شده"))</f>
        <v/>
      </c>
      <c r="F180" s="10" t="str">
        <f>IF($A180="","",IFERROR(COUNTIFS(Evaluations!$G$3:$G$10000,$A180,Evaluations!$O$3:$O$10000,"رعایت شده")/(COUNTIFS(Evaluations!$G$3:$G$10000,$A180,Evaluations!$O$3:$O$10000,"رعایت شده")+COUNTIFS(Evaluations!$G$3:$G$10000,$A180,Evaluations!$O$3:$O$10000,"رعایت نشده")),""))</f>
        <v/>
      </c>
      <c r="G180" s="10" t="str">
        <f>IF($A180="","",IFERROR(ROUND(100*COUNTIFS(Evaluations!$G$3:$G$10000,$A180,Evaluations!$Q$3:$Q$10000,1)/(COUNTIFS(Evaluations!$G$3:$G$10000,$A180,Evaluations!$Q$3:$Q$10000,1)+COUNTIFS(Evaluations!$G$3:$G$10000,$A180,Evaluations!$Q$3:$Q$10000,0)),2),""))</f>
        <v/>
      </c>
      <c r="H180" s="10" t="str">
        <f>IF($A180="","",IFERROR(ROUND(100*COUNTIFS(Evaluations!$G$3:$G$10000,$A180,Evaluations!$R$3:$R$10000,1)/(COUNTIFS(Evaluations!$G$3:$G$10000,$A180,Evaluations!$R$3:$R$10000,1)+COUNTIFS(Evaluations!$G$3:$G$10000,$A180,Evaluations!$R$3:$R$10000,0)),2),""))</f>
        <v/>
      </c>
      <c r="I180" s="10" t="str">
        <f>IF($A180="","",IFERROR(ROUND(100*COUNTIFS(Evaluations!$G$3:$G$10000,$A180,Evaluations!$S$3:$S$10000,1)/(COUNTIFS(Evaluations!$G$3:$G$10000,$A180,Evaluations!$S$3:$S$10000,1)+COUNTIFS(Evaluations!$G$3:$G$10000,$A180,Evaluations!$S$3:$S$10000,0)),2),""))</f>
        <v/>
      </c>
      <c r="J180" s="10" t="str">
        <f>IF($A180="","",IFERROR(ROUND(100*COUNTIFS(Evaluations!$G$3:$G$10000,$A180,Evaluations!$T$3:$T$10000,1)/(COUNTIFS(Evaluations!$G$3:$G$10000,$A180,Evaluations!$T$3:$T$10000,1)+COUNTIFS(Evaluations!$G$3:$G$10000,$A180,Evaluations!$T$3:$T$10000,0)),2),""))</f>
        <v/>
      </c>
      <c r="K180" s="10" t="str">
        <f>IF($A180="","",COUNTIFS(Evaluations!$G$3:$G$10000,$A180,Evaluations!$M$3:$M$10000,"عدم پاسخ"))</f>
        <v/>
      </c>
      <c r="L180" s="10" t="str">
        <f>IF($A180="","",COUNTIFS(Evaluations!$G$3:$G$10000,$A180,Evaluations!$O$3:$O$10000,"رعایت نشده"))</f>
        <v/>
      </c>
    </row>
    <row r="181">
      <c r="A181" s="10"/>
      <c r="B181" s="10" t="str">
        <f t="array" ref="B181">_xlfn.XLOOKUP(A181,DATA!D:D,DATA!E:E,"")</f>
        <v/>
      </c>
      <c r="C181" s="10" t="str">
        <f>IF($A181="","",COUNTIFS(Evaluations!$G$3:$G$10000,$A181,Evaluations!$U$3:$U$10000,"&gt;=0",Evaluations!$U$3:$U$10000,"&lt;=100"))</f>
        <v/>
      </c>
      <c r="D181" s="10" t="str">
        <f>IF(OR($A181="",C181=0),"",ROUND(SUMIFS(Evaluations!$U$3:$U$10000,Evaluations!$G$3:$G$10000,$A181)/C181,2))</f>
        <v/>
      </c>
      <c r="E181" s="10" t="str">
        <f>IF($A181="","",COUNTIFS(Evaluations!$G$3:$G$10000,$A181,Evaluations!$M$3:$M$10000,"پاسخ داده شده"))</f>
        <v/>
      </c>
      <c r="F181" s="10" t="str">
        <f>IF($A181="","",IFERROR(COUNTIFS(Evaluations!$G$3:$G$10000,$A181,Evaluations!$O$3:$O$10000,"رعایت شده")/(COUNTIFS(Evaluations!$G$3:$G$10000,$A181,Evaluations!$O$3:$O$10000,"رعایت شده")+COUNTIFS(Evaluations!$G$3:$G$10000,$A181,Evaluations!$O$3:$O$10000,"رعایت نشده")),""))</f>
        <v/>
      </c>
      <c r="G181" s="10" t="str">
        <f>IF($A181="","",IFERROR(ROUND(100*COUNTIFS(Evaluations!$G$3:$G$10000,$A181,Evaluations!$Q$3:$Q$10000,1)/(COUNTIFS(Evaluations!$G$3:$G$10000,$A181,Evaluations!$Q$3:$Q$10000,1)+COUNTIFS(Evaluations!$G$3:$G$10000,$A181,Evaluations!$Q$3:$Q$10000,0)),2),""))</f>
        <v/>
      </c>
      <c r="H181" s="10" t="str">
        <f>IF($A181="","",IFERROR(ROUND(100*COUNTIFS(Evaluations!$G$3:$G$10000,$A181,Evaluations!$R$3:$R$10000,1)/(COUNTIFS(Evaluations!$G$3:$G$10000,$A181,Evaluations!$R$3:$R$10000,1)+COUNTIFS(Evaluations!$G$3:$G$10000,$A181,Evaluations!$R$3:$R$10000,0)),2),""))</f>
        <v/>
      </c>
      <c r="I181" s="10" t="str">
        <f>IF($A181="","",IFERROR(ROUND(100*COUNTIFS(Evaluations!$G$3:$G$10000,$A181,Evaluations!$S$3:$S$10000,1)/(COUNTIFS(Evaluations!$G$3:$G$10000,$A181,Evaluations!$S$3:$S$10000,1)+COUNTIFS(Evaluations!$G$3:$G$10000,$A181,Evaluations!$S$3:$S$10000,0)),2),""))</f>
        <v/>
      </c>
      <c r="J181" s="10" t="str">
        <f>IF($A181="","",IFERROR(ROUND(100*COUNTIFS(Evaluations!$G$3:$G$10000,$A181,Evaluations!$T$3:$T$10000,1)/(COUNTIFS(Evaluations!$G$3:$G$10000,$A181,Evaluations!$T$3:$T$10000,1)+COUNTIFS(Evaluations!$G$3:$G$10000,$A181,Evaluations!$T$3:$T$10000,0)),2),""))</f>
        <v/>
      </c>
      <c r="K181" s="10" t="str">
        <f>IF($A181="","",COUNTIFS(Evaluations!$G$3:$G$10000,$A181,Evaluations!$M$3:$M$10000,"عدم پاسخ"))</f>
        <v/>
      </c>
      <c r="L181" s="10" t="str">
        <f>IF($A181="","",COUNTIFS(Evaluations!$G$3:$G$10000,$A181,Evaluations!$O$3:$O$10000,"رعایت نشده"))</f>
        <v/>
      </c>
    </row>
    <row r="182">
      <c r="A182" s="10"/>
      <c r="B182" s="10" t="str">
        <f t="array" ref="B182">_xlfn.XLOOKUP(A182,DATA!D:D,DATA!E:E,"")</f>
        <v/>
      </c>
      <c r="C182" s="10" t="str">
        <f>IF($A182="","",COUNTIFS(Evaluations!$G$3:$G$10000,$A182,Evaluations!$U$3:$U$10000,"&gt;=0",Evaluations!$U$3:$U$10000,"&lt;=100"))</f>
        <v/>
      </c>
      <c r="D182" s="10" t="str">
        <f>IF(OR($A182="",C182=0),"",ROUND(SUMIFS(Evaluations!$U$3:$U$10000,Evaluations!$G$3:$G$10000,$A182)/C182,2))</f>
        <v/>
      </c>
      <c r="E182" s="10" t="str">
        <f>IF($A182="","",COUNTIFS(Evaluations!$G$3:$G$10000,$A182,Evaluations!$M$3:$M$10000,"پاسخ داده شده"))</f>
        <v/>
      </c>
      <c r="F182" s="10" t="str">
        <f>IF($A182="","",IFERROR(COUNTIFS(Evaluations!$G$3:$G$10000,$A182,Evaluations!$O$3:$O$10000,"رعایت شده")/(COUNTIFS(Evaluations!$G$3:$G$10000,$A182,Evaluations!$O$3:$O$10000,"رعایت شده")+COUNTIFS(Evaluations!$G$3:$G$10000,$A182,Evaluations!$O$3:$O$10000,"رعایت نشده")),""))</f>
        <v/>
      </c>
      <c r="G182" s="10" t="str">
        <f>IF($A182="","",IFERROR(ROUND(100*COUNTIFS(Evaluations!$G$3:$G$10000,$A182,Evaluations!$Q$3:$Q$10000,1)/(COUNTIFS(Evaluations!$G$3:$G$10000,$A182,Evaluations!$Q$3:$Q$10000,1)+COUNTIFS(Evaluations!$G$3:$G$10000,$A182,Evaluations!$Q$3:$Q$10000,0)),2),""))</f>
        <v/>
      </c>
      <c r="H182" s="10" t="str">
        <f>IF($A182="","",IFERROR(ROUND(100*COUNTIFS(Evaluations!$G$3:$G$10000,$A182,Evaluations!$R$3:$R$10000,1)/(COUNTIFS(Evaluations!$G$3:$G$10000,$A182,Evaluations!$R$3:$R$10000,1)+COUNTIFS(Evaluations!$G$3:$G$10000,$A182,Evaluations!$R$3:$R$10000,0)),2),""))</f>
        <v/>
      </c>
      <c r="I182" s="10" t="str">
        <f>IF($A182="","",IFERROR(ROUND(100*COUNTIFS(Evaluations!$G$3:$G$10000,$A182,Evaluations!$S$3:$S$10000,1)/(COUNTIFS(Evaluations!$G$3:$G$10000,$A182,Evaluations!$S$3:$S$10000,1)+COUNTIFS(Evaluations!$G$3:$G$10000,$A182,Evaluations!$S$3:$S$10000,0)),2),""))</f>
        <v/>
      </c>
      <c r="J182" s="10" t="str">
        <f>IF($A182="","",IFERROR(ROUND(100*COUNTIFS(Evaluations!$G$3:$G$10000,$A182,Evaluations!$T$3:$T$10000,1)/(COUNTIFS(Evaluations!$G$3:$G$10000,$A182,Evaluations!$T$3:$T$10000,1)+COUNTIFS(Evaluations!$G$3:$G$10000,$A182,Evaluations!$T$3:$T$10000,0)),2),""))</f>
        <v/>
      </c>
      <c r="K182" s="10" t="str">
        <f>IF($A182="","",COUNTIFS(Evaluations!$G$3:$G$10000,$A182,Evaluations!$M$3:$M$10000,"عدم پاسخ"))</f>
        <v/>
      </c>
      <c r="L182" s="10" t="str">
        <f>IF($A182="","",COUNTIFS(Evaluations!$G$3:$G$10000,$A182,Evaluations!$O$3:$O$10000,"رعایت نشده"))</f>
        <v/>
      </c>
    </row>
    <row r="183">
      <c r="A183" s="10"/>
      <c r="B183" s="10" t="str">
        <f t="array" ref="B183">_xlfn.XLOOKUP(A183,DATA!D:D,DATA!E:E,"")</f>
        <v/>
      </c>
      <c r="C183" s="10" t="str">
        <f>IF($A183="","",COUNTIFS(Evaluations!$G$3:$G$10000,$A183,Evaluations!$U$3:$U$10000,"&gt;=0",Evaluations!$U$3:$U$10000,"&lt;=100"))</f>
        <v/>
      </c>
      <c r="D183" s="10" t="str">
        <f>IF(OR($A183="",C183=0),"",ROUND(SUMIFS(Evaluations!$U$3:$U$10000,Evaluations!$G$3:$G$10000,$A183)/C183,2))</f>
        <v/>
      </c>
      <c r="E183" s="10" t="str">
        <f>IF($A183="","",COUNTIFS(Evaluations!$G$3:$G$10000,$A183,Evaluations!$M$3:$M$10000,"پاسخ داده شده"))</f>
        <v/>
      </c>
      <c r="F183" s="10" t="str">
        <f>IF($A183="","",IFERROR(COUNTIFS(Evaluations!$G$3:$G$10000,$A183,Evaluations!$O$3:$O$10000,"رعایت شده")/(COUNTIFS(Evaluations!$G$3:$G$10000,$A183,Evaluations!$O$3:$O$10000,"رعایت شده")+COUNTIFS(Evaluations!$G$3:$G$10000,$A183,Evaluations!$O$3:$O$10000,"رعایت نشده")),""))</f>
        <v/>
      </c>
      <c r="G183" s="10" t="str">
        <f>IF($A183="","",IFERROR(ROUND(100*COUNTIFS(Evaluations!$G$3:$G$10000,$A183,Evaluations!$Q$3:$Q$10000,1)/(COUNTIFS(Evaluations!$G$3:$G$10000,$A183,Evaluations!$Q$3:$Q$10000,1)+COUNTIFS(Evaluations!$G$3:$G$10000,$A183,Evaluations!$Q$3:$Q$10000,0)),2),""))</f>
        <v/>
      </c>
      <c r="H183" s="10" t="str">
        <f>IF($A183="","",IFERROR(ROUND(100*COUNTIFS(Evaluations!$G$3:$G$10000,$A183,Evaluations!$R$3:$R$10000,1)/(COUNTIFS(Evaluations!$G$3:$G$10000,$A183,Evaluations!$R$3:$R$10000,1)+COUNTIFS(Evaluations!$G$3:$G$10000,$A183,Evaluations!$R$3:$R$10000,0)),2),""))</f>
        <v/>
      </c>
      <c r="I183" s="10" t="str">
        <f>IF($A183="","",IFERROR(ROUND(100*COUNTIFS(Evaluations!$G$3:$G$10000,$A183,Evaluations!$S$3:$S$10000,1)/(COUNTIFS(Evaluations!$G$3:$G$10000,$A183,Evaluations!$S$3:$S$10000,1)+COUNTIFS(Evaluations!$G$3:$G$10000,$A183,Evaluations!$S$3:$S$10000,0)),2),""))</f>
        <v/>
      </c>
      <c r="J183" s="10" t="str">
        <f>IF($A183="","",IFERROR(ROUND(100*COUNTIFS(Evaluations!$G$3:$G$10000,$A183,Evaluations!$T$3:$T$10000,1)/(COUNTIFS(Evaluations!$G$3:$G$10000,$A183,Evaluations!$T$3:$T$10000,1)+COUNTIFS(Evaluations!$G$3:$G$10000,$A183,Evaluations!$T$3:$T$10000,0)),2),""))</f>
        <v/>
      </c>
      <c r="K183" s="10" t="str">
        <f>IF($A183="","",COUNTIFS(Evaluations!$G$3:$G$10000,$A183,Evaluations!$M$3:$M$10000,"عدم پاسخ"))</f>
        <v/>
      </c>
      <c r="L183" s="10" t="str">
        <f>IF($A183="","",COUNTIFS(Evaluations!$G$3:$G$10000,$A183,Evaluations!$O$3:$O$10000,"رعایت نشده"))</f>
        <v/>
      </c>
    </row>
    <row r="184">
      <c r="A184" s="10"/>
      <c r="B184" s="10" t="str">
        <f t="array" ref="B184">_xlfn.XLOOKUP(A184,DATA!D:D,DATA!E:E,"")</f>
        <v/>
      </c>
      <c r="C184" s="10" t="str">
        <f>IF($A184="","",COUNTIFS(Evaluations!$G$3:$G$10000,$A184,Evaluations!$U$3:$U$10000,"&gt;=0",Evaluations!$U$3:$U$10000,"&lt;=100"))</f>
        <v/>
      </c>
      <c r="D184" s="10" t="str">
        <f>IF(OR($A184="",C184=0),"",ROUND(SUMIFS(Evaluations!$U$3:$U$10000,Evaluations!$G$3:$G$10000,$A184)/C184,2))</f>
        <v/>
      </c>
      <c r="E184" s="10" t="str">
        <f>IF($A184="","",COUNTIFS(Evaluations!$G$3:$G$10000,$A184,Evaluations!$M$3:$M$10000,"پاسخ داده شده"))</f>
        <v/>
      </c>
      <c r="F184" s="10" t="str">
        <f>IF($A184="","",IFERROR(COUNTIFS(Evaluations!$G$3:$G$10000,$A184,Evaluations!$O$3:$O$10000,"رعایت شده")/(COUNTIFS(Evaluations!$G$3:$G$10000,$A184,Evaluations!$O$3:$O$10000,"رعایت شده")+COUNTIFS(Evaluations!$G$3:$G$10000,$A184,Evaluations!$O$3:$O$10000,"رعایت نشده")),""))</f>
        <v/>
      </c>
      <c r="G184" s="10" t="str">
        <f>IF($A184="","",IFERROR(ROUND(100*COUNTIFS(Evaluations!$G$3:$G$10000,$A184,Evaluations!$Q$3:$Q$10000,1)/(COUNTIFS(Evaluations!$G$3:$G$10000,$A184,Evaluations!$Q$3:$Q$10000,1)+COUNTIFS(Evaluations!$G$3:$G$10000,$A184,Evaluations!$Q$3:$Q$10000,0)),2),""))</f>
        <v/>
      </c>
      <c r="H184" s="10" t="str">
        <f>IF($A184="","",IFERROR(ROUND(100*COUNTIFS(Evaluations!$G$3:$G$10000,$A184,Evaluations!$R$3:$R$10000,1)/(COUNTIFS(Evaluations!$G$3:$G$10000,$A184,Evaluations!$R$3:$R$10000,1)+COUNTIFS(Evaluations!$G$3:$G$10000,$A184,Evaluations!$R$3:$R$10000,0)),2),""))</f>
        <v/>
      </c>
      <c r="I184" s="10" t="str">
        <f>IF($A184="","",IFERROR(ROUND(100*COUNTIFS(Evaluations!$G$3:$G$10000,$A184,Evaluations!$S$3:$S$10000,1)/(COUNTIFS(Evaluations!$G$3:$G$10000,$A184,Evaluations!$S$3:$S$10000,1)+COUNTIFS(Evaluations!$G$3:$G$10000,$A184,Evaluations!$S$3:$S$10000,0)),2),""))</f>
        <v/>
      </c>
      <c r="J184" s="10" t="str">
        <f>IF($A184="","",IFERROR(ROUND(100*COUNTIFS(Evaluations!$G$3:$G$10000,$A184,Evaluations!$T$3:$T$10000,1)/(COUNTIFS(Evaluations!$G$3:$G$10000,$A184,Evaluations!$T$3:$T$10000,1)+COUNTIFS(Evaluations!$G$3:$G$10000,$A184,Evaluations!$T$3:$T$10000,0)),2),""))</f>
        <v/>
      </c>
      <c r="K184" s="10" t="str">
        <f>IF($A184="","",COUNTIFS(Evaluations!$G$3:$G$10000,$A184,Evaluations!$M$3:$M$10000,"عدم پاسخ"))</f>
        <v/>
      </c>
      <c r="L184" s="10" t="str">
        <f>IF($A184="","",COUNTIFS(Evaluations!$G$3:$G$10000,$A184,Evaluations!$O$3:$O$10000,"رعایت نشده"))</f>
        <v/>
      </c>
    </row>
    <row r="185">
      <c r="A185" s="10"/>
      <c r="B185" s="10" t="str">
        <f t="array" ref="B185">_xlfn.XLOOKUP(A185,DATA!D:D,DATA!E:E,"")</f>
        <v/>
      </c>
      <c r="C185" s="10" t="str">
        <f>IF($A185="","",COUNTIFS(Evaluations!$G$3:$G$10000,$A185,Evaluations!$U$3:$U$10000,"&gt;=0",Evaluations!$U$3:$U$10000,"&lt;=100"))</f>
        <v/>
      </c>
      <c r="D185" s="10" t="str">
        <f>IF(OR($A185="",C185=0),"",ROUND(SUMIFS(Evaluations!$U$3:$U$10000,Evaluations!$G$3:$G$10000,$A185)/C185,2))</f>
        <v/>
      </c>
      <c r="E185" s="10" t="str">
        <f>IF($A185="","",COUNTIFS(Evaluations!$G$3:$G$10000,$A185,Evaluations!$M$3:$M$10000,"پاسخ داده شده"))</f>
        <v/>
      </c>
      <c r="F185" s="10" t="str">
        <f>IF($A185="","",IFERROR(COUNTIFS(Evaluations!$G$3:$G$10000,$A185,Evaluations!$O$3:$O$10000,"رعایت شده")/(COUNTIFS(Evaluations!$G$3:$G$10000,$A185,Evaluations!$O$3:$O$10000,"رعایت شده")+COUNTIFS(Evaluations!$G$3:$G$10000,$A185,Evaluations!$O$3:$O$10000,"رعایت نشده")),""))</f>
        <v/>
      </c>
      <c r="G185" s="10" t="str">
        <f>IF($A185="","",IFERROR(ROUND(100*COUNTIFS(Evaluations!$G$3:$G$10000,$A185,Evaluations!$Q$3:$Q$10000,1)/(COUNTIFS(Evaluations!$G$3:$G$10000,$A185,Evaluations!$Q$3:$Q$10000,1)+COUNTIFS(Evaluations!$G$3:$G$10000,$A185,Evaluations!$Q$3:$Q$10000,0)),2),""))</f>
        <v/>
      </c>
      <c r="H185" s="10" t="str">
        <f>IF($A185="","",IFERROR(ROUND(100*COUNTIFS(Evaluations!$G$3:$G$10000,$A185,Evaluations!$R$3:$R$10000,1)/(COUNTIFS(Evaluations!$G$3:$G$10000,$A185,Evaluations!$R$3:$R$10000,1)+COUNTIFS(Evaluations!$G$3:$G$10000,$A185,Evaluations!$R$3:$R$10000,0)),2),""))</f>
        <v/>
      </c>
      <c r="I185" s="10" t="str">
        <f>IF($A185="","",IFERROR(ROUND(100*COUNTIFS(Evaluations!$G$3:$G$10000,$A185,Evaluations!$S$3:$S$10000,1)/(COUNTIFS(Evaluations!$G$3:$G$10000,$A185,Evaluations!$S$3:$S$10000,1)+COUNTIFS(Evaluations!$G$3:$G$10000,$A185,Evaluations!$S$3:$S$10000,0)),2),""))</f>
        <v/>
      </c>
      <c r="J185" s="10" t="str">
        <f>IF($A185="","",IFERROR(ROUND(100*COUNTIFS(Evaluations!$G$3:$G$10000,$A185,Evaluations!$T$3:$T$10000,1)/(COUNTIFS(Evaluations!$G$3:$G$10000,$A185,Evaluations!$T$3:$T$10000,1)+COUNTIFS(Evaluations!$G$3:$G$10000,$A185,Evaluations!$T$3:$T$10000,0)),2),""))</f>
        <v/>
      </c>
      <c r="K185" s="10" t="str">
        <f>IF($A185="","",COUNTIFS(Evaluations!$G$3:$G$10000,$A185,Evaluations!$M$3:$M$10000,"عدم پاسخ"))</f>
        <v/>
      </c>
      <c r="L185" s="10" t="str">
        <f>IF($A185="","",COUNTIFS(Evaluations!$G$3:$G$10000,$A185,Evaluations!$O$3:$O$10000,"رعایت نشده"))</f>
        <v/>
      </c>
    </row>
    <row r="186">
      <c r="A186" s="10"/>
      <c r="B186" s="10" t="str">
        <f t="array" ref="B186">_xlfn.XLOOKUP(A186,DATA!D:D,DATA!E:E,"")</f>
        <v/>
      </c>
      <c r="C186" s="10" t="str">
        <f>IF($A186="","",COUNTIFS(Evaluations!$G$3:$G$10000,$A186,Evaluations!$U$3:$U$10000,"&gt;=0",Evaluations!$U$3:$U$10000,"&lt;=100"))</f>
        <v/>
      </c>
      <c r="D186" s="10" t="str">
        <f>IF(OR($A186="",C186=0),"",ROUND(SUMIFS(Evaluations!$U$3:$U$10000,Evaluations!$G$3:$G$10000,$A186)/C186,2))</f>
        <v/>
      </c>
      <c r="E186" s="10" t="str">
        <f>IF($A186="","",COUNTIFS(Evaluations!$G$3:$G$10000,$A186,Evaluations!$M$3:$M$10000,"پاسخ داده شده"))</f>
        <v/>
      </c>
      <c r="F186" s="10" t="str">
        <f>IF($A186="","",IFERROR(COUNTIFS(Evaluations!$G$3:$G$10000,$A186,Evaluations!$O$3:$O$10000,"رعایت شده")/(COUNTIFS(Evaluations!$G$3:$G$10000,$A186,Evaluations!$O$3:$O$10000,"رعایت شده")+COUNTIFS(Evaluations!$G$3:$G$10000,$A186,Evaluations!$O$3:$O$10000,"رعایت نشده")),""))</f>
        <v/>
      </c>
      <c r="G186" s="10" t="str">
        <f>IF($A186="","",IFERROR(ROUND(100*COUNTIFS(Evaluations!$G$3:$G$10000,$A186,Evaluations!$Q$3:$Q$10000,1)/(COUNTIFS(Evaluations!$G$3:$G$10000,$A186,Evaluations!$Q$3:$Q$10000,1)+COUNTIFS(Evaluations!$G$3:$G$10000,$A186,Evaluations!$Q$3:$Q$10000,0)),2),""))</f>
        <v/>
      </c>
      <c r="H186" s="10" t="str">
        <f>IF($A186="","",IFERROR(ROUND(100*COUNTIFS(Evaluations!$G$3:$G$10000,$A186,Evaluations!$R$3:$R$10000,1)/(COUNTIFS(Evaluations!$G$3:$G$10000,$A186,Evaluations!$R$3:$R$10000,1)+COUNTIFS(Evaluations!$G$3:$G$10000,$A186,Evaluations!$R$3:$R$10000,0)),2),""))</f>
        <v/>
      </c>
      <c r="I186" s="10" t="str">
        <f>IF($A186="","",IFERROR(ROUND(100*COUNTIFS(Evaluations!$G$3:$G$10000,$A186,Evaluations!$S$3:$S$10000,1)/(COUNTIFS(Evaluations!$G$3:$G$10000,$A186,Evaluations!$S$3:$S$10000,1)+COUNTIFS(Evaluations!$G$3:$G$10000,$A186,Evaluations!$S$3:$S$10000,0)),2),""))</f>
        <v/>
      </c>
      <c r="J186" s="10" t="str">
        <f>IF($A186="","",IFERROR(ROUND(100*COUNTIFS(Evaluations!$G$3:$G$10000,$A186,Evaluations!$T$3:$T$10000,1)/(COUNTIFS(Evaluations!$G$3:$G$10000,$A186,Evaluations!$T$3:$T$10000,1)+COUNTIFS(Evaluations!$G$3:$G$10000,$A186,Evaluations!$T$3:$T$10000,0)),2),""))</f>
        <v/>
      </c>
      <c r="K186" s="10" t="str">
        <f>IF($A186="","",COUNTIFS(Evaluations!$G$3:$G$10000,$A186,Evaluations!$M$3:$M$10000,"عدم پاسخ"))</f>
        <v/>
      </c>
      <c r="L186" s="10" t="str">
        <f>IF($A186="","",COUNTIFS(Evaluations!$G$3:$G$10000,$A186,Evaluations!$O$3:$O$10000,"رعایت نشده"))</f>
        <v/>
      </c>
    </row>
    <row r="187">
      <c r="A187" s="10"/>
      <c r="B187" s="10" t="str">
        <f t="array" ref="B187">_xlfn.XLOOKUP(A187,DATA!D:D,DATA!E:E,"")</f>
        <v/>
      </c>
      <c r="C187" s="10" t="str">
        <f>IF($A187="","",COUNTIFS(Evaluations!$G$3:$G$10000,$A187,Evaluations!$U$3:$U$10000,"&gt;=0",Evaluations!$U$3:$U$10000,"&lt;=100"))</f>
        <v/>
      </c>
      <c r="D187" s="10" t="str">
        <f>IF(OR($A187="",C187=0),"",ROUND(SUMIFS(Evaluations!$U$3:$U$10000,Evaluations!$G$3:$G$10000,$A187)/C187,2))</f>
        <v/>
      </c>
      <c r="E187" s="10" t="str">
        <f>IF($A187="","",COUNTIFS(Evaluations!$G$3:$G$10000,$A187,Evaluations!$M$3:$M$10000,"پاسخ داده شده"))</f>
        <v/>
      </c>
      <c r="F187" s="10" t="str">
        <f>IF($A187="","",IFERROR(COUNTIFS(Evaluations!$G$3:$G$10000,$A187,Evaluations!$O$3:$O$10000,"رعایت شده")/(COUNTIFS(Evaluations!$G$3:$G$10000,$A187,Evaluations!$O$3:$O$10000,"رعایت شده")+COUNTIFS(Evaluations!$G$3:$G$10000,$A187,Evaluations!$O$3:$O$10000,"رعایت نشده")),""))</f>
        <v/>
      </c>
      <c r="G187" s="10" t="str">
        <f>IF($A187="","",IFERROR(ROUND(100*COUNTIFS(Evaluations!$G$3:$G$10000,$A187,Evaluations!$Q$3:$Q$10000,1)/(COUNTIFS(Evaluations!$G$3:$G$10000,$A187,Evaluations!$Q$3:$Q$10000,1)+COUNTIFS(Evaluations!$G$3:$G$10000,$A187,Evaluations!$Q$3:$Q$10000,0)),2),""))</f>
        <v/>
      </c>
      <c r="H187" s="10" t="str">
        <f>IF($A187="","",IFERROR(ROUND(100*COUNTIFS(Evaluations!$G$3:$G$10000,$A187,Evaluations!$R$3:$R$10000,1)/(COUNTIFS(Evaluations!$G$3:$G$10000,$A187,Evaluations!$R$3:$R$10000,1)+COUNTIFS(Evaluations!$G$3:$G$10000,$A187,Evaluations!$R$3:$R$10000,0)),2),""))</f>
        <v/>
      </c>
      <c r="I187" s="10" t="str">
        <f>IF($A187="","",IFERROR(ROUND(100*COUNTIFS(Evaluations!$G$3:$G$10000,$A187,Evaluations!$S$3:$S$10000,1)/(COUNTIFS(Evaluations!$G$3:$G$10000,$A187,Evaluations!$S$3:$S$10000,1)+COUNTIFS(Evaluations!$G$3:$G$10000,$A187,Evaluations!$S$3:$S$10000,0)),2),""))</f>
        <v/>
      </c>
      <c r="J187" s="10" t="str">
        <f>IF($A187="","",IFERROR(ROUND(100*COUNTIFS(Evaluations!$G$3:$G$10000,$A187,Evaluations!$T$3:$T$10000,1)/(COUNTIFS(Evaluations!$G$3:$G$10000,$A187,Evaluations!$T$3:$T$10000,1)+COUNTIFS(Evaluations!$G$3:$G$10000,$A187,Evaluations!$T$3:$T$10000,0)),2),""))</f>
        <v/>
      </c>
      <c r="K187" s="10" t="str">
        <f>IF($A187="","",COUNTIFS(Evaluations!$G$3:$G$10000,$A187,Evaluations!$M$3:$M$10000,"عدم پاسخ"))</f>
        <v/>
      </c>
      <c r="L187" s="10" t="str">
        <f>IF($A187="","",COUNTIFS(Evaluations!$G$3:$G$10000,$A187,Evaluations!$O$3:$O$10000,"رعایت نشده"))</f>
        <v/>
      </c>
    </row>
    <row r="188">
      <c r="A188" s="10"/>
      <c r="B188" s="10" t="str">
        <f t="array" ref="B188">_xlfn.XLOOKUP(A188,DATA!D:D,DATA!E:E,"")</f>
        <v/>
      </c>
      <c r="C188" s="10" t="str">
        <f>IF($A188="","",COUNTIFS(Evaluations!$G$3:$G$10000,$A188,Evaluations!$U$3:$U$10000,"&gt;=0",Evaluations!$U$3:$U$10000,"&lt;=100"))</f>
        <v/>
      </c>
      <c r="D188" s="10" t="str">
        <f>IF(OR($A188="",C188=0),"",ROUND(SUMIFS(Evaluations!$U$3:$U$10000,Evaluations!$G$3:$G$10000,$A188)/C188,2))</f>
        <v/>
      </c>
      <c r="E188" s="10" t="str">
        <f>IF($A188="","",COUNTIFS(Evaluations!$G$3:$G$10000,$A188,Evaluations!$M$3:$M$10000,"پاسخ داده شده"))</f>
        <v/>
      </c>
      <c r="F188" s="10" t="str">
        <f>IF($A188="","",IFERROR(COUNTIFS(Evaluations!$G$3:$G$10000,$A188,Evaluations!$O$3:$O$10000,"رعایت شده")/(COUNTIFS(Evaluations!$G$3:$G$10000,$A188,Evaluations!$O$3:$O$10000,"رعایت شده")+COUNTIFS(Evaluations!$G$3:$G$10000,$A188,Evaluations!$O$3:$O$10000,"رعایت نشده")),""))</f>
        <v/>
      </c>
      <c r="G188" s="10" t="str">
        <f>IF($A188="","",IFERROR(ROUND(100*COUNTIFS(Evaluations!$G$3:$G$10000,$A188,Evaluations!$Q$3:$Q$10000,1)/(COUNTIFS(Evaluations!$G$3:$G$10000,$A188,Evaluations!$Q$3:$Q$10000,1)+COUNTIFS(Evaluations!$G$3:$G$10000,$A188,Evaluations!$Q$3:$Q$10000,0)),2),""))</f>
        <v/>
      </c>
      <c r="H188" s="10" t="str">
        <f>IF($A188="","",IFERROR(ROUND(100*COUNTIFS(Evaluations!$G$3:$G$10000,$A188,Evaluations!$R$3:$R$10000,1)/(COUNTIFS(Evaluations!$G$3:$G$10000,$A188,Evaluations!$R$3:$R$10000,1)+COUNTIFS(Evaluations!$G$3:$G$10000,$A188,Evaluations!$R$3:$R$10000,0)),2),""))</f>
        <v/>
      </c>
      <c r="I188" s="10" t="str">
        <f>IF($A188="","",IFERROR(ROUND(100*COUNTIFS(Evaluations!$G$3:$G$10000,$A188,Evaluations!$S$3:$S$10000,1)/(COUNTIFS(Evaluations!$G$3:$G$10000,$A188,Evaluations!$S$3:$S$10000,1)+COUNTIFS(Evaluations!$G$3:$G$10000,$A188,Evaluations!$S$3:$S$10000,0)),2),""))</f>
        <v/>
      </c>
      <c r="J188" s="10" t="str">
        <f>IF($A188="","",IFERROR(ROUND(100*COUNTIFS(Evaluations!$G$3:$G$10000,$A188,Evaluations!$T$3:$T$10000,1)/(COUNTIFS(Evaluations!$G$3:$G$10000,$A188,Evaluations!$T$3:$T$10000,1)+COUNTIFS(Evaluations!$G$3:$G$10000,$A188,Evaluations!$T$3:$T$10000,0)),2),""))</f>
        <v/>
      </c>
      <c r="K188" s="10" t="str">
        <f>IF($A188="","",COUNTIFS(Evaluations!$G$3:$G$10000,$A188,Evaluations!$M$3:$M$10000,"عدم پاسخ"))</f>
        <v/>
      </c>
      <c r="L188" s="10" t="str">
        <f>IF($A188="","",COUNTIFS(Evaluations!$G$3:$G$10000,$A188,Evaluations!$O$3:$O$10000,"رعایت نشده"))</f>
        <v/>
      </c>
    </row>
    <row r="189">
      <c r="A189" s="10"/>
      <c r="B189" s="10" t="str">
        <f t="array" ref="B189">_xlfn.XLOOKUP(A189,DATA!D:D,DATA!E:E,"")</f>
        <v/>
      </c>
      <c r="C189" s="10" t="str">
        <f>IF($A189="","",COUNTIFS(Evaluations!$G$3:$G$10000,$A189,Evaluations!$U$3:$U$10000,"&gt;=0",Evaluations!$U$3:$U$10000,"&lt;=100"))</f>
        <v/>
      </c>
      <c r="D189" s="10" t="str">
        <f>IF(OR($A189="",C189=0),"",ROUND(SUMIFS(Evaluations!$U$3:$U$10000,Evaluations!$G$3:$G$10000,$A189)/C189,2))</f>
        <v/>
      </c>
      <c r="E189" s="10" t="str">
        <f>IF($A189="","",COUNTIFS(Evaluations!$G$3:$G$10000,$A189,Evaluations!$M$3:$M$10000,"پاسخ داده شده"))</f>
        <v/>
      </c>
      <c r="F189" s="10" t="str">
        <f>IF($A189="","",IFERROR(COUNTIFS(Evaluations!$G$3:$G$10000,$A189,Evaluations!$O$3:$O$10000,"رعایت شده")/(COUNTIFS(Evaluations!$G$3:$G$10000,$A189,Evaluations!$O$3:$O$10000,"رعایت شده")+COUNTIFS(Evaluations!$G$3:$G$10000,$A189,Evaluations!$O$3:$O$10000,"رعایت نشده")),""))</f>
        <v/>
      </c>
      <c r="G189" s="10" t="str">
        <f>IF($A189="","",IFERROR(ROUND(100*COUNTIFS(Evaluations!$G$3:$G$10000,$A189,Evaluations!$Q$3:$Q$10000,1)/(COUNTIFS(Evaluations!$G$3:$G$10000,$A189,Evaluations!$Q$3:$Q$10000,1)+COUNTIFS(Evaluations!$G$3:$G$10000,$A189,Evaluations!$Q$3:$Q$10000,0)),2),""))</f>
        <v/>
      </c>
      <c r="H189" s="10" t="str">
        <f>IF($A189="","",IFERROR(ROUND(100*COUNTIFS(Evaluations!$G$3:$G$10000,$A189,Evaluations!$R$3:$R$10000,1)/(COUNTIFS(Evaluations!$G$3:$G$10000,$A189,Evaluations!$R$3:$R$10000,1)+COUNTIFS(Evaluations!$G$3:$G$10000,$A189,Evaluations!$R$3:$R$10000,0)),2),""))</f>
        <v/>
      </c>
      <c r="I189" s="10" t="str">
        <f>IF($A189="","",IFERROR(ROUND(100*COUNTIFS(Evaluations!$G$3:$G$10000,$A189,Evaluations!$S$3:$S$10000,1)/(COUNTIFS(Evaluations!$G$3:$G$10000,$A189,Evaluations!$S$3:$S$10000,1)+COUNTIFS(Evaluations!$G$3:$G$10000,$A189,Evaluations!$S$3:$S$10000,0)),2),""))</f>
        <v/>
      </c>
      <c r="J189" s="10" t="str">
        <f>IF($A189="","",IFERROR(ROUND(100*COUNTIFS(Evaluations!$G$3:$G$10000,$A189,Evaluations!$T$3:$T$10000,1)/(COUNTIFS(Evaluations!$G$3:$G$10000,$A189,Evaluations!$T$3:$T$10000,1)+COUNTIFS(Evaluations!$G$3:$G$10000,$A189,Evaluations!$T$3:$T$10000,0)),2),""))</f>
        <v/>
      </c>
      <c r="K189" s="10" t="str">
        <f>IF($A189="","",COUNTIFS(Evaluations!$G$3:$G$10000,$A189,Evaluations!$M$3:$M$10000,"عدم پاسخ"))</f>
        <v/>
      </c>
      <c r="L189" s="10" t="str">
        <f>IF($A189="","",COUNTIFS(Evaluations!$G$3:$G$10000,$A189,Evaluations!$O$3:$O$10000,"رعایت نشده"))</f>
        <v/>
      </c>
    </row>
    <row r="190">
      <c r="A190" s="10"/>
      <c r="B190" s="10" t="str">
        <f t="array" ref="B190">_xlfn.XLOOKUP(A190,DATA!D:D,DATA!E:E,"")</f>
        <v/>
      </c>
      <c r="C190" s="10" t="str">
        <f>IF($A190="","",COUNTIFS(Evaluations!$G$3:$G$10000,$A190,Evaluations!$U$3:$U$10000,"&gt;=0",Evaluations!$U$3:$U$10000,"&lt;=100"))</f>
        <v/>
      </c>
      <c r="D190" s="10" t="str">
        <f>IF(OR($A190="",C190=0),"",ROUND(SUMIFS(Evaluations!$U$3:$U$10000,Evaluations!$G$3:$G$10000,$A190)/C190,2))</f>
        <v/>
      </c>
      <c r="E190" s="10" t="str">
        <f>IF($A190="","",COUNTIFS(Evaluations!$G$3:$G$10000,$A190,Evaluations!$M$3:$M$10000,"پاسخ داده شده"))</f>
        <v/>
      </c>
      <c r="F190" s="10" t="str">
        <f>IF($A190="","",IFERROR(COUNTIFS(Evaluations!$G$3:$G$10000,$A190,Evaluations!$O$3:$O$10000,"رعایت شده")/(COUNTIFS(Evaluations!$G$3:$G$10000,$A190,Evaluations!$O$3:$O$10000,"رعایت شده")+COUNTIFS(Evaluations!$G$3:$G$10000,$A190,Evaluations!$O$3:$O$10000,"رعایت نشده")),""))</f>
        <v/>
      </c>
      <c r="G190" s="10" t="str">
        <f>IF($A190="","",IFERROR(ROUND(100*COUNTIFS(Evaluations!$G$3:$G$10000,$A190,Evaluations!$Q$3:$Q$10000,1)/(COUNTIFS(Evaluations!$G$3:$G$10000,$A190,Evaluations!$Q$3:$Q$10000,1)+COUNTIFS(Evaluations!$G$3:$G$10000,$A190,Evaluations!$Q$3:$Q$10000,0)),2),""))</f>
        <v/>
      </c>
      <c r="H190" s="10" t="str">
        <f>IF($A190="","",IFERROR(ROUND(100*COUNTIFS(Evaluations!$G$3:$G$10000,$A190,Evaluations!$R$3:$R$10000,1)/(COUNTIFS(Evaluations!$G$3:$G$10000,$A190,Evaluations!$R$3:$R$10000,1)+COUNTIFS(Evaluations!$G$3:$G$10000,$A190,Evaluations!$R$3:$R$10000,0)),2),""))</f>
        <v/>
      </c>
      <c r="I190" s="10" t="str">
        <f>IF($A190="","",IFERROR(ROUND(100*COUNTIFS(Evaluations!$G$3:$G$10000,$A190,Evaluations!$S$3:$S$10000,1)/(COUNTIFS(Evaluations!$G$3:$G$10000,$A190,Evaluations!$S$3:$S$10000,1)+COUNTIFS(Evaluations!$G$3:$G$10000,$A190,Evaluations!$S$3:$S$10000,0)),2),""))</f>
        <v/>
      </c>
      <c r="J190" s="10" t="str">
        <f>IF($A190="","",IFERROR(ROUND(100*COUNTIFS(Evaluations!$G$3:$G$10000,$A190,Evaluations!$T$3:$T$10000,1)/(COUNTIFS(Evaluations!$G$3:$G$10000,$A190,Evaluations!$T$3:$T$10000,1)+COUNTIFS(Evaluations!$G$3:$G$10000,$A190,Evaluations!$T$3:$T$10000,0)),2),""))</f>
        <v/>
      </c>
      <c r="K190" s="10" t="str">
        <f>IF($A190="","",COUNTIFS(Evaluations!$G$3:$G$10000,$A190,Evaluations!$M$3:$M$10000,"عدم پاسخ"))</f>
        <v/>
      </c>
      <c r="L190" s="10" t="str">
        <f>IF($A190="","",COUNTIFS(Evaluations!$G$3:$G$10000,$A190,Evaluations!$O$3:$O$10000,"رعایت نشده"))</f>
        <v/>
      </c>
    </row>
    <row r="191">
      <c r="A191" s="10"/>
      <c r="B191" s="10" t="str">
        <f t="array" ref="B191">_xlfn.XLOOKUP(A191,DATA!D:D,DATA!E:E,"")</f>
        <v/>
      </c>
      <c r="C191" s="10" t="str">
        <f>IF($A191="","",COUNTIFS(Evaluations!$G$3:$G$10000,$A191,Evaluations!$U$3:$U$10000,"&gt;=0",Evaluations!$U$3:$U$10000,"&lt;=100"))</f>
        <v/>
      </c>
      <c r="D191" s="10" t="str">
        <f>IF(OR($A191="",C191=0),"",ROUND(SUMIFS(Evaluations!$U$3:$U$10000,Evaluations!$G$3:$G$10000,$A191)/C191,2))</f>
        <v/>
      </c>
      <c r="E191" s="10" t="str">
        <f>IF($A191="","",COUNTIFS(Evaluations!$G$3:$G$10000,$A191,Evaluations!$M$3:$M$10000,"پاسخ داده شده"))</f>
        <v/>
      </c>
      <c r="F191" s="10" t="str">
        <f>IF($A191="","",IFERROR(COUNTIFS(Evaluations!$G$3:$G$10000,$A191,Evaluations!$O$3:$O$10000,"رعایت شده")/(COUNTIFS(Evaluations!$G$3:$G$10000,$A191,Evaluations!$O$3:$O$10000,"رعایت شده")+COUNTIFS(Evaluations!$G$3:$G$10000,$A191,Evaluations!$O$3:$O$10000,"رعایت نشده")),""))</f>
        <v/>
      </c>
      <c r="G191" s="10" t="str">
        <f>IF($A191="","",IFERROR(ROUND(100*COUNTIFS(Evaluations!$G$3:$G$10000,$A191,Evaluations!$Q$3:$Q$10000,1)/(COUNTIFS(Evaluations!$G$3:$G$10000,$A191,Evaluations!$Q$3:$Q$10000,1)+COUNTIFS(Evaluations!$G$3:$G$10000,$A191,Evaluations!$Q$3:$Q$10000,0)),2),""))</f>
        <v/>
      </c>
      <c r="H191" s="10" t="str">
        <f>IF($A191="","",IFERROR(ROUND(100*COUNTIFS(Evaluations!$G$3:$G$10000,$A191,Evaluations!$R$3:$R$10000,1)/(COUNTIFS(Evaluations!$G$3:$G$10000,$A191,Evaluations!$R$3:$R$10000,1)+COUNTIFS(Evaluations!$G$3:$G$10000,$A191,Evaluations!$R$3:$R$10000,0)),2),""))</f>
        <v/>
      </c>
      <c r="I191" s="10" t="str">
        <f>IF($A191="","",IFERROR(ROUND(100*COUNTIFS(Evaluations!$G$3:$G$10000,$A191,Evaluations!$S$3:$S$10000,1)/(COUNTIFS(Evaluations!$G$3:$G$10000,$A191,Evaluations!$S$3:$S$10000,1)+COUNTIFS(Evaluations!$G$3:$G$10000,$A191,Evaluations!$S$3:$S$10000,0)),2),""))</f>
        <v/>
      </c>
      <c r="J191" s="10" t="str">
        <f>IF($A191="","",IFERROR(ROUND(100*COUNTIFS(Evaluations!$G$3:$G$10000,$A191,Evaluations!$T$3:$T$10000,1)/(COUNTIFS(Evaluations!$G$3:$G$10000,$A191,Evaluations!$T$3:$T$10000,1)+COUNTIFS(Evaluations!$G$3:$G$10000,$A191,Evaluations!$T$3:$T$10000,0)),2),""))</f>
        <v/>
      </c>
      <c r="K191" s="10" t="str">
        <f>IF($A191="","",COUNTIFS(Evaluations!$G$3:$G$10000,$A191,Evaluations!$M$3:$M$10000,"عدم پاسخ"))</f>
        <v/>
      </c>
      <c r="L191" s="10" t="str">
        <f>IF($A191="","",COUNTIFS(Evaluations!$G$3:$G$10000,$A191,Evaluations!$O$3:$O$10000,"رعایت نشده"))</f>
        <v/>
      </c>
    </row>
    <row r="192">
      <c r="A192" s="10"/>
      <c r="B192" s="10" t="str">
        <f t="array" ref="B192">_xlfn.XLOOKUP(A192,DATA!D:D,DATA!E:E,"")</f>
        <v/>
      </c>
      <c r="C192" s="10" t="str">
        <f>IF($A192="","",COUNTIFS(Evaluations!$G$3:$G$10000,$A192,Evaluations!$U$3:$U$10000,"&gt;=0",Evaluations!$U$3:$U$10000,"&lt;=100"))</f>
        <v/>
      </c>
      <c r="D192" s="10" t="str">
        <f>IF(OR($A192="",C192=0),"",ROUND(SUMIFS(Evaluations!$U$3:$U$10000,Evaluations!$G$3:$G$10000,$A192)/C192,2))</f>
        <v/>
      </c>
      <c r="E192" s="10" t="str">
        <f>IF($A192="","",COUNTIFS(Evaluations!$G$3:$G$10000,$A192,Evaluations!$M$3:$M$10000,"پاسخ داده شده"))</f>
        <v/>
      </c>
      <c r="F192" s="10" t="str">
        <f>IF($A192="","",IFERROR(COUNTIFS(Evaluations!$G$3:$G$10000,$A192,Evaluations!$O$3:$O$10000,"رعایت شده")/(COUNTIFS(Evaluations!$G$3:$G$10000,$A192,Evaluations!$O$3:$O$10000,"رعایت شده")+COUNTIFS(Evaluations!$G$3:$G$10000,$A192,Evaluations!$O$3:$O$10000,"رعایت نشده")),""))</f>
        <v/>
      </c>
      <c r="G192" s="10" t="str">
        <f>IF($A192="","",IFERROR(ROUND(100*COUNTIFS(Evaluations!$G$3:$G$10000,$A192,Evaluations!$Q$3:$Q$10000,1)/(COUNTIFS(Evaluations!$G$3:$G$10000,$A192,Evaluations!$Q$3:$Q$10000,1)+COUNTIFS(Evaluations!$G$3:$G$10000,$A192,Evaluations!$Q$3:$Q$10000,0)),2),""))</f>
        <v/>
      </c>
      <c r="H192" s="10" t="str">
        <f>IF($A192="","",IFERROR(ROUND(100*COUNTIFS(Evaluations!$G$3:$G$10000,$A192,Evaluations!$R$3:$R$10000,1)/(COUNTIFS(Evaluations!$G$3:$G$10000,$A192,Evaluations!$R$3:$R$10000,1)+COUNTIFS(Evaluations!$G$3:$G$10000,$A192,Evaluations!$R$3:$R$10000,0)),2),""))</f>
        <v/>
      </c>
      <c r="I192" s="10" t="str">
        <f>IF($A192="","",IFERROR(ROUND(100*COUNTIFS(Evaluations!$G$3:$G$10000,$A192,Evaluations!$S$3:$S$10000,1)/(COUNTIFS(Evaluations!$G$3:$G$10000,$A192,Evaluations!$S$3:$S$10000,1)+COUNTIFS(Evaluations!$G$3:$G$10000,$A192,Evaluations!$S$3:$S$10000,0)),2),""))</f>
        <v/>
      </c>
      <c r="J192" s="10" t="str">
        <f>IF($A192="","",IFERROR(ROUND(100*COUNTIFS(Evaluations!$G$3:$G$10000,$A192,Evaluations!$T$3:$T$10000,1)/(COUNTIFS(Evaluations!$G$3:$G$10000,$A192,Evaluations!$T$3:$T$10000,1)+COUNTIFS(Evaluations!$G$3:$G$10000,$A192,Evaluations!$T$3:$T$10000,0)),2),""))</f>
        <v/>
      </c>
      <c r="K192" s="10" t="str">
        <f>IF($A192="","",COUNTIFS(Evaluations!$G$3:$G$10000,$A192,Evaluations!$M$3:$M$10000,"عدم پاسخ"))</f>
        <v/>
      </c>
      <c r="L192" s="10" t="str">
        <f>IF($A192="","",COUNTIFS(Evaluations!$G$3:$G$10000,$A192,Evaluations!$O$3:$O$10000,"رعایت نشده"))</f>
        <v/>
      </c>
    </row>
    <row r="193">
      <c r="A193" s="10"/>
      <c r="B193" s="10" t="str">
        <f t="array" ref="B193">_xlfn.XLOOKUP(A193,DATA!D:D,DATA!E:E,"")</f>
        <v/>
      </c>
      <c r="C193" s="10" t="str">
        <f>IF($A193="","",COUNTIFS(Evaluations!$G$3:$G$10000,$A193,Evaluations!$U$3:$U$10000,"&gt;=0",Evaluations!$U$3:$U$10000,"&lt;=100"))</f>
        <v/>
      </c>
      <c r="D193" s="10" t="str">
        <f>IF(OR($A193="",C193=0),"",ROUND(SUMIFS(Evaluations!$U$3:$U$10000,Evaluations!$G$3:$G$10000,$A193)/C193,2))</f>
        <v/>
      </c>
      <c r="E193" s="10" t="str">
        <f>IF($A193="","",COUNTIFS(Evaluations!$G$3:$G$10000,$A193,Evaluations!$M$3:$M$10000,"پاسخ داده شده"))</f>
        <v/>
      </c>
      <c r="F193" s="10" t="str">
        <f>IF($A193="","",IFERROR(COUNTIFS(Evaluations!$G$3:$G$10000,$A193,Evaluations!$O$3:$O$10000,"رعایت شده")/(COUNTIFS(Evaluations!$G$3:$G$10000,$A193,Evaluations!$O$3:$O$10000,"رعایت شده")+COUNTIFS(Evaluations!$G$3:$G$10000,$A193,Evaluations!$O$3:$O$10000,"رعایت نشده")),""))</f>
        <v/>
      </c>
      <c r="G193" s="10" t="str">
        <f>IF($A193="","",IFERROR(ROUND(100*COUNTIFS(Evaluations!$G$3:$G$10000,$A193,Evaluations!$Q$3:$Q$10000,1)/(COUNTIFS(Evaluations!$G$3:$G$10000,$A193,Evaluations!$Q$3:$Q$10000,1)+COUNTIFS(Evaluations!$G$3:$G$10000,$A193,Evaluations!$Q$3:$Q$10000,0)),2),""))</f>
        <v/>
      </c>
      <c r="H193" s="10" t="str">
        <f>IF($A193="","",IFERROR(ROUND(100*COUNTIFS(Evaluations!$G$3:$G$10000,$A193,Evaluations!$R$3:$R$10000,1)/(COUNTIFS(Evaluations!$G$3:$G$10000,$A193,Evaluations!$R$3:$R$10000,1)+COUNTIFS(Evaluations!$G$3:$G$10000,$A193,Evaluations!$R$3:$R$10000,0)),2),""))</f>
        <v/>
      </c>
      <c r="I193" s="10" t="str">
        <f>IF($A193="","",IFERROR(ROUND(100*COUNTIFS(Evaluations!$G$3:$G$10000,$A193,Evaluations!$S$3:$S$10000,1)/(COUNTIFS(Evaluations!$G$3:$G$10000,$A193,Evaluations!$S$3:$S$10000,1)+COUNTIFS(Evaluations!$G$3:$G$10000,$A193,Evaluations!$S$3:$S$10000,0)),2),""))</f>
        <v/>
      </c>
      <c r="J193" s="10" t="str">
        <f>IF($A193="","",IFERROR(ROUND(100*COUNTIFS(Evaluations!$G$3:$G$10000,$A193,Evaluations!$T$3:$T$10000,1)/(COUNTIFS(Evaluations!$G$3:$G$10000,$A193,Evaluations!$T$3:$T$10000,1)+COUNTIFS(Evaluations!$G$3:$G$10000,$A193,Evaluations!$T$3:$T$10000,0)),2),""))</f>
        <v/>
      </c>
      <c r="K193" s="10" t="str">
        <f>IF($A193="","",COUNTIFS(Evaluations!$G$3:$G$10000,$A193,Evaluations!$M$3:$M$10000,"عدم پاسخ"))</f>
        <v/>
      </c>
      <c r="L193" s="10" t="str">
        <f>IF($A193="","",COUNTIFS(Evaluations!$G$3:$G$10000,$A193,Evaluations!$O$3:$O$10000,"رعایت نشده"))</f>
        <v/>
      </c>
    </row>
    <row r="194">
      <c r="A194" s="10"/>
      <c r="B194" s="10" t="str">
        <f t="array" ref="B194">_xlfn.XLOOKUP(A194,DATA!D:D,DATA!E:E,"")</f>
        <v/>
      </c>
      <c r="C194" s="10" t="str">
        <f>IF($A194="","",COUNTIFS(Evaluations!$G$3:$G$10000,$A194,Evaluations!$U$3:$U$10000,"&gt;=0",Evaluations!$U$3:$U$10000,"&lt;=100"))</f>
        <v/>
      </c>
      <c r="D194" s="10" t="str">
        <f>IF(OR($A194="",C194=0),"",ROUND(SUMIFS(Evaluations!$U$3:$U$10000,Evaluations!$G$3:$G$10000,$A194)/C194,2))</f>
        <v/>
      </c>
      <c r="E194" s="10" t="str">
        <f>IF($A194="","",COUNTIFS(Evaluations!$G$3:$G$10000,$A194,Evaluations!$M$3:$M$10000,"پاسخ داده شده"))</f>
        <v/>
      </c>
      <c r="F194" s="10" t="str">
        <f>IF($A194="","",IFERROR(COUNTIFS(Evaluations!$G$3:$G$10000,$A194,Evaluations!$O$3:$O$10000,"رعایت شده")/(COUNTIFS(Evaluations!$G$3:$G$10000,$A194,Evaluations!$O$3:$O$10000,"رعایت شده")+COUNTIFS(Evaluations!$G$3:$G$10000,$A194,Evaluations!$O$3:$O$10000,"رعایت نشده")),""))</f>
        <v/>
      </c>
      <c r="G194" s="10" t="str">
        <f>IF($A194="","",IFERROR(ROUND(100*COUNTIFS(Evaluations!$G$3:$G$10000,$A194,Evaluations!$Q$3:$Q$10000,1)/(COUNTIFS(Evaluations!$G$3:$G$10000,$A194,Evaluations!$Q$3:$Q$10000,1)+COUNTIFS(Evaluations!$G$3:$G$10000,$A194,Evaluations!$Q$3:$Q$10000,0)),2),""))</f>
        <v/>
      </c>
      <c r="H194" s="10" t="str">
        <f>IF($A194="","",IFERROR(ROUND(100*COUNTIFS(Evaluations!$G$3:$G$10000,$A194,Evaluations!$R$3:$R$10000,1)/(COUNTIFS(Evaluations!$G$3:$G$10000,$A194,Evaluations!$R$3:$R$10000,1)+COUNTIFS(Evaluations!$G$3:$G$10000,$A194,Evaluations!$R$3:$R$10000,0)),2),""))</f>
        <v/>
      </c>
      <c r="I194" s="10" t="str">
        <f>IF($A194="","",IFERROR(ROUND(100*COUNTIFS(Evaluations!$G$3:$G$10000,$A194,Evaluations!$S$3:$S$10000,1)/(COUNTIFS(Evaluations!$G$3:$G$10000,$A194,Evaluations!$S$3:$S$10000,1)+COUNTIFS(Evaluations!$G$3:$G$10000,$A194,Evaluations!$S$3:$S$10000,0)),2),""))</f>
        <v/>
      </c>
      <c r="J194" s="10" t="str">
        <f>IF($A194="","",IFERROR(ROUND(100*COUNTIFS(Evaluations!$G$3:$G$10000,$A194,Evaluations!$T$3:$T$10000,1)/(COUNTIFS(Evaluations!$G$3:$G$10000,$A194,Evaluations!$T$3:$T$10000,1)+COUNTIFS(Evaluations!$G$3:$G$10000,$A194,Evaluations!$T$3:$T$10000,0)),2),""))</f>
        <v/>
      </c>
      <c r="K194" s="10" t="str">
        <f>IF($A194="","",COUNTIFS(Evaluations!$G$3:$G$10000,$A194,Evaluations!$M$3:$M$10000,"عدم پاسخ"))</f>
        <v/>
      </c>
      <c r="L194" s="10" t="str">
        <f>IF($A194="","",COUNTIFS(Evaluations!$G$3:$G$10000,$A194,Evaluations!$O$3:$O$10000,"رعایت نشده"))</f>
        <v/>
      </c>
    </row>
    <row r="195">
      <c r="A195" s="10"/>
      <c r="B195" s="10" t="str">
        <f t="array" ref="B195">_xlfn.XLOOKUP(A195,DATA!D:D,DATA!E:E,"")</f>
        <v/>
      </c>
      <c r="C195" s="10" t="str">
        <f>IF($A195="","",COUNTIFS(Evaluations!$G$3:$G$10000,$A195,Evaluations!$U$3:$U$10000,"&gt;=0",Evaluations!$U$3:$U$10000,"&lt;=100"))</f>
        <v/>
      </c>
      <c r="D195" s="10" t="str">
        <f>IF(OR($A195="",C195=0),"",ROUND(SUMIFS(Evaluations!$U$3:$U$10000,Evaluations!$G$3:$G$10000,$A195)/C195,2))</f>
        <v/>
      </c>
      <c r="E195" s="10" t="str">
        <f>IF($A195="","",COUNTIFS(Evaluations!$G$3:$G$10000,$A195,Evaluations!$M$3:$M$10000,"پاسخ داده شده"))</f>
        <v/>
      </c>
      <c r="F195" s="10" t="str">
        <f>IF($A195="","",IFERROR(COUNTIFS(Evaluations!$G$3:$G$10000,$A195,Evaluations!$O$3:$O$10000,"رعایت شده")/(COUNTIFS(Evaluations!$G$3:$G$10000,$A195,Evaluations!$O$3:$O$10000,"رعایت شده")+COUNTIFS(Evaluations!$G$3:$G$10000,$A195,Evaluations!$O$3:$O$10000,"رعایت نشده")),""))</f>
        <v/>
      </c>
      <c r="G195" s="10" t="str">
        <f>IF($A195="","",IFERROR(ROUND(100*COUNTIFS(Evaluations!$G$3:$G$10000,$A195,Evaluations!$Q$3:$Q$10000,1)/(COUNTIFS(Evaluations!$G$3:$G$10000,$A195,Evaluations!$Q$3:$Q$10000,1)+COUNTIFS(Evaluations!$G$3:$G$10000,$A195,Evaluations!$Q$3:$Q$10000,0)),2),""))</f>
        <v/>
      </c>
      <c r="H195" s="10" t="str">
        <f>IF($A195="","",IFERROR(ROUND(100*COUNTIFS(Evaluations!$G$3:$G$10000,$A195,Evaluations!$R$3:$R$10000,1)/(COUNTIFS(Evaluations!$G$3:$G$10000,$A195,Evaluations!$R$3:$R$10000,1)+COUNTIFS(Evaluations!$G$3:$G$10000,$A195,Evaluations!$R$3:$R$10000,0)),2),""))</f>
        <v/>
      </c>
      <c r="I195" s="10" t="str">
        <f>IF($A195="","",IFERROR(ROUND(100*COUNTIFS(Evaluations!$G$3:$G$10000,$A195,Evaluations!$S$3:$S$10000,1)/(COUNTIFS(Evaluations!$G$3:$G$10000,$A195,Evaluations!$S$3:$S$10000,1)+COUNTIFS(Evaluations!$G$3:$G$10000,$A195,Evaluations!$S$3:$S$10000,0)),2),""))</f>
        <v/>
      </c>
      <c r="J195" s="10" t="str">
        <f>IF($A195="","",IFERROR(ROUND(100*COUNTIFS(Evaluations!$G$3:$G$10000,$A195,Evaluations!$T$3:$T$10000,1)/(COUNTIFS(Evaluations!$G$3:$G$10000,$A195,Evaluations!$T$3:$T$10000,1)+COUNTIFS(Evaluations!$G$3:$G$10000,$A195,Evaluations!$T$3:$T$10000,0)),2),""))</f>
        <v/>
      </c>
      <c r="K195" s="10" t="str">
        <f>IF($A195="","",COUNTIFS(Evaluations!$G$3:$G$10000,$A195,Evaluations!$M$3:$M$10000,"عدم پاسخ"))</f>
        <v/>
      </c>
      <c r="L195" s="10" t="str">
        <f>IF($A195="","",COUNTIFS(Evaluations!$G$3:$G$10000,$A195,Evaluations!$O$3:$O$10000,"رعایت نشده"))</f>
        <v/>
      </c>
    </row>
    <row r="196">
      <c r="A196" s="10"/>
      <c r="B196" s="10" t="str">
        <f t="array" ref="B196">_xlfn.XLOOKUP(A196,DATA!D:D,DATA!E:E,"")</f>
        <v/>
      </c>
      <c r="C196" s="10" t="str">
        <f>IF($A196="","",COUNTIFS(Evaluations!$G$3:$G$10000,$A196,Evaluations!$U$3:$U$10000,"&gt;=0",Evaluations!$U$3:$U$10000,"&lt;=100"))</f>
        <v/>
      </c>
      <c r="D196" s="10" t="str">
        <f>IF(OR($A196="",C196=0),"",ROUND(SUMIFS(Evaluations!$U$3:$U$10000,Evaluations!$G$3:$G$10000,$A196)/C196,2))</f>
        <v/>
      </c>
      <c r="E196" s="10" t="str">
        <f>IF($A196="","",COUNTIFS(Evaluations!$G$3:$G$10000,$A196,Evaluations!$M$3:$M$10000,"پاسخ داده شده"))</f>
        <v/>
      </c>
      <c r="F196" s="10" t="str">
        <f>IF($A196="","",IFERROR(COUNTIFS(Evaluations!$G$3:$G$10000,$A196,Evaluations!$O$3:$O$10000,"رعایت شده")/(COUNTIFS(Evaluations!$G$3:$G$10000,$A196,Evaluations!$O$3:$O$10000,"رعایت شده")+COUNTIFS(Evaluations!$G$3:$G$10000,$A196,Evaluations!$O$3:$O$10000,"رعایت نشده")),""))</f>
        <v/>
      </c>
      <c r="G196" s="10" t="str">
        <f>IF($A196="","",IFERROR(ROUND(100*COUNTIFS(Evaluations!$G$3:$G$10000,$A196,Evaluations!$Q$3:$Q$10000,1)/(COUNTIFS(Evaluations!$G$3:$G$10000,$A196,Evaluations!$Q$3:$Q$10000,1)+COUNTIFS(Evaluations!$G$3:$G$10000,$A196,Evaluations!$Q$3:$Q$10000,0)),2),""))</f>
        <v/>
      </c>
      <c r="H196" s="10" t="str">
        <f>IF($A196="","",IFERROR(ROUND(100*COUNTIFS(Evaluations!$G$3:$G$10000,$A196,Evaluations!$R$3:$R$10000,1)/(COUNTIFS(Evaluations!$G$3:$G$10000,$A196,Evaluations!$R$3:$R$10000,1)+COUNTIFS(Evaluations!$G$3:$G$10000,$A196,Evaluations!$R$3:$R$10000,0)),2),""))</f>
        <v/>
      </c>
      <c r="I196" s="10" t="str">
        <f>IF($A196="","",IFERROR(ROUND(100*COUNTIFS(Evaluations!$G$3:$G$10000,$A196,Evaluations!$S$3:$S$10000,1)/(COUNTIFS(Evaluations!$G$3:$G$10000,$A196,Evaluations!$S$3:$S$10000,1)+COUNTIFS(Evaluations!$G$3:$G$10000,$A196,Evaluations!$S$3:$S$10000,0)),2),""))</f>
        <v/>
      </c>
      <c r="J196" s="10" t="str">
        <f>IF($A196="","",IFERROR(ROUND(100*COUNTIFS(Evaluations!$G$3:$G$10000,$A196,Evaluations!$T$3:$T$10000,1)/(COUNTIFS(Evaluations!$G$3:$G$10000,$A196,Evaluations!$T$3:$T$10000,1)+COUNTIFS(Evaluations!$G$3:$G$10000,$A196,Evaluations!$T$3:$T$10000,0)),2),""))</f>
        <v/>
      </c>
      <c r="K196" s="10" t="str">
        <f>IF($A196="","",COUNTIFS(Evaluations!$G$3:$G$10000,$A196,Evaluations!$M$3:$M$10000,"عدم پاسخ"))</f>
        <v/>
      </c>
      <c r="L196" s="10" t="str">
        <f>IF($A196="","",COUNTIFS(Evaluations!$G$3:$G$10000,$A196,Evaluations!$O$3:$O$10000,"رعایت نشده"))</f>
        <v/>
      </c>
    </row>
    <row r="197">
      <c r="A197" s="10"/>
      <c r="B197" s="10" t="str">
        <f t="array" ref="B197">_xlfn.XLOOKUP(A197,DATA!D:D,DATA!E:E,"")</f>
        <v/>
      </c>
      <c r="C197" s="10" t="str">
        <f>IF($A197="","",COUNTIFS(Evaluations!$G$3:$G$10000,$A197,Evaluations!$U$3:$U$10000,"&gt;=0",Evaluations!$U$3:$U$10000,"&lt;=100"))</f>
        <v/>
      </c>
      <c r="D197" s="10" t="str">
        <f>IF(OR($A197="",C197=0),"",ROUND(SUMIFS(Evaluations!$U$3:$U$10000,Evaluations!$G$3:$G$10000,$A197)/C197,2))</f>
        <v/>
      </c>
      <c r="E197" s="10" t="str">
        <f>IF($A197="","",COUNTIFS(Evaluations!$G$3:$G$10000,$A197,Evaluations!$M$3:$M$10000,"پاسخ داده شده"))</f>
        <v/>
      </c>
      <c r="F197" s="10" t="str">
        <f>IF($A197="","",IFERROR(COUNTIFS(Evaluations!$G$3:$G$10000,$A197,Evaluations!$O$3:$O$10000,"رعایت شده")/(COUNTIFS(Evaluations!$G$3:$G$10000,$A197,Evaluations!$O$3:$O$10000,"رعایت شده")+COUNTIFS(Evaluations!$G$3:$G$10000,$A197,Evaluations!$O$3:$O$10000,"رعایت نشده")),""))</f>
        <v/>
      </c>
      <c r="G197" s="10" t="str">
        <f>IF($A197="","",IFERROR(ROUND(100*COUNTIFS(Evaluations!$G$3:$G$10000,$A197,Evaluations!$Q$3:$Q$10000,1)/(COUNTIFS(Evaluations!$G$3:$G$10000,$A197,Evaluations!$Q$3:$Q$10000,1)+COUNTIFS(Evaluations!$G$3:$G$10000,$A197,Evaluations!$Q$3:$Q$10000,0)),2),""))</f>
        <v/>
      </c>
      <c r="H197" s="10" t="str">
        <f>IF($A197="","",IFERROR(ROUND(100*COUNTIFS(Evaluations!$G$3:$G$10000,$A197,Evaluations!$R$3:$R$10000,1)/(COUNTIFS(Evaluations!$G$3:$G$10000,$A197,Evaluations!$R$3:$R$10000,1)+COUNTIFS(Evaluations!$G$3:$G$10000,$A197,Evaluations!$R$3:$R$10000,0)),2),""))</f>
        <v/>
      </c>
      <c r="I197" s="10" t="str">
        <f>IF($A197="","",IFERROR(ROUND(100*COUNTIFS(Evaluations!$G$3:$G$10000,$A197,Evaluations!$S$3:$S$10000,1)/(COUNTIFS(Evaluations!$G$3:$G$10000,$A197,Evaluations!$S$3:$S$10000,1)+COUNTIFS(Evaluations!$G$3:$G$10000,$A197,Evaluations!$S$3:$S$10000,0)),2),""))</f>
        <v/>
      </c>
      <c r="J197" s="10" t="str">
        <f>IF($A197="","",IFERROR(ROUND(100*COUNTIFS(Evaluations!$G$3:$G$10000,$A197,Evaluations!$T$3:$T$10000,1)/(COUNTIFS(Evaluations!$G$3:$G$10000,$A197,Evaluations!$T$3:$T$10000,1)+COUNTIFS(Evaluations!$G$3:$G$10000,$A197,Evaluations!$T$3:$T$10000,0)),2),""))</f>
        <v/>
      </c>
      <c r="K197" s="10" t="str">
        <f>IF($A197="","",COUNTIFS(Evaluations!$G$3:$G$10000,$A197,Evaluations!$M$3:$M$10000,"عدم پاسخ"))</f>
        <v/>
      </c>
      <c r="L197" s="10" t="str">
        <f>IF($A197="","",COUNTIFS(Evaluations!$G$3:$G$10000,$A197,Evaluations!$O$3:$O$10000,"رعایت نشده"))</f>
        <v/>
      </c>
    </row>
    <row r="198">
      <c r="A198" s="10"/>
      <c r="B198" s="10" t="str">
        <f t="array" ref="B198">_xlfn.XLOOKUP(A198,DATA!D:D,DATA!E:E,"")</f>
        <v/>
      </c>
      <c r="C198" s="10" t="str">
        <f>IF($A198="","",COUNTIFS(Evaluations!$G$3:$G$10000,$A198,Evaluations!$U$3:$U$10000,"&gt;=0",Evaluations!$U$3:$U$10000,"&lt;=100"))</f>
        <v/>
      </c>
      <c r="D198" s="10" t="str">
        <f>IF(OR($A198="",C198=0),"",ROUND(SUMIFS(Evaluations!$U$3:$U$10000,Evaluations!$G$3:$G$10000,$A198)/C198,2))</f>
        <v/>
      </c>
      <c r="E198" s="10" t="str">
        <f>IF($A198="","",COUNTIFS(Evaluations!$G$3:$G$10000,$A198,Evaluations!$M$3:$M$10000,"پاسخ داده شده"))</f>
        <v/>
      </c>
      <c r="F198" s="10" t="str">
        <f>IF($A198="","",IFERROR(COUNTIFS(Evaluations!$G$3:$G$10000,$A198,Evaluations!$O$3:$O$10000,"رعایت شده")/(COUNTIFS(Evaluations!$G$3:$G$10000,$A198,Evaluations!$O$3:$O$10000,"رعایت شده")+COUNTIFS(Evaluations!$G$3:$G$10000,$A198,Evaluations!$O$3:$O$10000,"رعایت نشده")),""))</f>
        <v/>
      </c>
      <c r="G198" s="10" t="str">
        <f>IF($A198="","",IFERROR(ROUND(100*COUNTIFS(Evaluations!$G$3:$G$10000,$A198,Evaluations!$Q$3:$Q$10000,1)/(COUNTIFS(Evaluations!$G$3:$G$10000,$A198,Evaluations!$Q$3:$Q$10000,1)+COUNTIFS(Evaluations!$G$3:$G$10000,$A198,Evaluations!$Q$3:$Q$10000,0)),2),""))</f>
        <v/>
      </c>
      <c r="H198" s="10" t="str">
        <f>IF($A198="","",IFERROR(ROUND(100*COUNTIFS(Evaluations!$G$3:$G$10000,$A198,Evaluations!$R$3:$R$10000,1)/(COUNTIFS(Evaluations!$G$3:$G$10000,$A198,Evaluations!$R$3:$R$10000,1)+COUNTIFS(Evaluations!$G$3:$G$10000,$A198,Evaluations!$R$3:$R$10000,0)),2),""))</f>
        <v/>
      </c>
      <c r="I198" s="10" t="str">
        <f>IF($A198="","",IFERROR(ROUND(100*COUNTIFS(Evaluations!$G$3:$G$10000,$A198,Evaluations!$S$3:$S$10000,1)/(COUNTIFS(Evaluations!$G$3:$G$10000,$A198,Evaluations!$S$3:$S$10000,1)+COUNTIFS(Evaluations!$G$3:$G$10000,$A198,Evaluations!$S$3:$S$10000,0)),2),""))</f>
        <v/>
      </c>
      <c r="J198" s="10" t="str">
        <f>IF($A198="","",IFERROR(ROUND(100*COUNTIFS(Evaluations!$G$3:$G$10000,$A198,Evaluations!$T$3:$T$10000,1)/(COUNTIFS(Evaluations!$G$3:$G$10000,$A198,Evaluations!$T$3:$T$10000,1)+COUNTIFS(Evaluations!$G$3:$G$10000,$A198,Evaluations!$T$3:$T$10000,0)),2),""))</f>
        <v/>
      </c>
      <c r="K198" s="10" t="str">
        <f>IF($A198="","",COUNTIFS(Evaluations!$G$3:$G$10000,$A198,Evaluations!$M$3:$M$10000,"عدم پاسخ"))</f>
        <v/>
      </c>
      <c r="L198" s="10" t="str">
        <f>IF($A198="","",COUNTIFS(Evaluations!$G$3:$G$10000,$A198,Evaluations!$O$3:$O$10000,"رعایت نشده"))</f>
        <v/>
      </c>
    </row>
    <row r="199">
      <c r="A199" s="10"/>
      <c r="B199" s="10" t="str">
        <f t="array" ref="B199">_xlfn.XLOOKUP(A199,DATA!D:D,DATA!E:E,"")</f>
        <v/>
      </c>
      <c r="C199" s="10" t="str">
        <f>IF($A199="","",COUNTIFS(Evaluations!$G$3:$G$10000,$A199,Evaluations!$U$3:$U$10000,"&gt;=0",Evaluations!$U$3:$U$10000,"&lt;=100"))</f>
        <v/>
      </c>
      <c r="D199" s="10" t="str">
        <f>IF(OR($A199="",C199=0),"",ROUND(SUMIFS(Evaluations!$U$3:$U$10000,Evaluations!$G$3:$G$10000,$A199)/C199,2))</f>
        <v/>
      </c>
      <c r="E199" s="10" t="str">
        <f>IF($A199="","",COUNTIFS(Evaluations!$G$3:$G$10000,$A199,Evaluations!$M$3:$M$10000,"پاسخ داده شده"))</f>
        <v/>
      </c>
      <c r="F199" s="10" t="str">
        <f>IF($A199="","",IFERROR(COUNTIFS(Evaluations!$G$3:$G$10000,$A199,Evaluations!$O$3:$O$10000,"رعایت شده")/(COUNTIFS(Evaluations!$G$3:$G$10000,$A199,Evaluations!$O$3:$O$10000,"رعایت شده")+COUNTIFS(Evaluations!$G$3:$G$10000,$A199,Evaluations!$O$3:$O$10000,"رعایت نشده")),""))</f>
        <v/>
      </c>
      <c r="G199" s="10" t="str">
        <f>IF($A199="","",IFERROR(ROUND(100*COUNTIFS(Evaluations!$G$3:$G$10000,$A199,Evaluations!$Q$3:$Q$10000,1)/(COUNTIFS(Evaluations!$G$3:$G$10000,$A199,Evaluations!$Q$3:$Q$10000,1)+COUNTIFS(Evaluations!$G$3:$G$10000,$A199,Evaluations!$Q$3:$Q$10000,0)),2),""))</f>
        <v/>
      </c>
      <c r="H199" s="10" t="str">
        <f>IF($A199="","",IFERROR(ROUND(100*COUNTIFS(Evaluations!$G$3:$G$10000,$A199,Evaluations!$R$3:$R$10000,1)/(COUNTIFS(Evaluations!$G$3:$G$10000,$A199,Evaluations!$R$3:$R$10000,1)+COUNTIFS(Evaluations!$G$3:$G$10000,$A199,Evaluations!$R$3:$R$10000,0)),2),""))</f>
        <v/>
      </c>
      <c r="I199" s="10" t="str">
        <f>IF($A199="","",IFERROR(ROUND(100*COUNTIFS(Evaluations!$G$3:$G$10000,$A199,Evaluations!$S$3:$S$10000,1)/(COUNTIFS(Evaluations!$G$3:$G$10000,$A199,Evaluations!$S$3:$S$10000,1)+COUNTIFS(Evaluations!$G$3:$G$10000,$A199,Evaluations!$S$3:$S$10000,0)),2),""))</f>
        <v/>
      </c>
      <c r="J199" s="10" t="str">
        <f>IF($A199="","",IFERROR(ROUND(100*COUNTIFS(Evaluations!$G$3:$G$10000,$A199,Evaluations!$T$3:$T$10000,1)/(COUNTIFS(Evaluations!$G$3:$G$10000,$A199,Evaluations!$T$3:$T$10000,1)+COUNTIFS(Evaluations!$G$3:$G$10000,$A199,Evaluations!$T$3:$T$10000,0)),2),""))</f>
        <v/>
      </c>
      <c r="K199" s="10" t="str">
        <f>IF($A199="","",COUNTIFS(Evaluations!$G$3:$G$10000,$A199,Evaluations!$M$3:$M$10000,"عدم پاسخ"))</f>
        <v/>
      </c>
      <c r="L199" s="10" t="str">
        <f>IF($A199="","",COUNTIFS(Evaluations!$G$3:$G$10000,$A199,Evaluations!$O$3:$O$10000,"رعایت نشده"))</f>
        <v/>
      </c>
    </row>
    <row r="200">
      <c r="A200" s="10"/>
      <c r="B200" s="10" t="str">
        <f t="array" ref="B200">_xlfn.XLOOKUP(A200,DATA!D:D,DATA!E:E,"")</f>
        <v/>
      </c>
      <c r="C200" s="10" t="str">
        <f>IF($A200="","",COUNTIFS(Evaluations!$G$3:$G$10000,$A200,Evaluations!$U$3:$U$10000,"&gt;=0",Evaluations!$U$3:$U$10000,"&lt;=100"))</f>
        <v/>
      </c>
      <c r="D200" s="10" t="str">
        <f>IF(OR($A200="",C200=0),"",ROUND(SUMIFS(Evaluations!$U$3:$U$10000,Evaluations!$G$3:$G$10000,$A200)/C200,2))</f>
        <v/>
      </c>
      <c r="E200" s="10" t="str">
        <f>IF($A200="","",COUNTIFS(Evaluations!$G$3:$G$10000,$A200,Evaluations!$M$3:$M$10000,"پاسخ داده شده"))</f>
        <v/>
      </c>
      <c r="F200" s="10" t="str">
        <f>IF($A200="","",IFERROR(COUNTIFS(Evaluations!$G$3:$G$10000,$A200,Evaluations!$O$3:$O$10000,"رعایت شده")/(COUNTIFS(Evaluations!$G$3:$G$10000,$A200,Evaluations!$O$3:$O$10000,"رعایت شده")+COUNTIFS(Evaluations!$G$3:$G$10000,$A200,Evaluations!$O$3:$O$10000,"رعایت نشده")),""))</f>
        <v/>
      </c>
      <c r="G200" s="10" t="str">
        <f>IF($A200="","",IFERROR(ROUND(100*COUNTIFS(Evaluations!$G$3:$G$10000,$A200,Evaluations!$Q$3:$Q$10000,1)/(COUNTIFS(Evaluations!$G$3:$G$10000,$A200,Evaluations!$Q$3:$Q$10000,1)+COUNTIFS(Evaluations!$G$3:$G$10000,$A200,Evaluations!$Q$3:$Q$10000,0)),2),""))</f>
        <v/>
      </c>
      <c r="H200" s="10" t="str">
        <f>IF($A200="","",IFERROR(ROUND(100*COUNTIFS(Evaluations!$G$3:$G$10000,$A200,Evaluations!$R$3:$R$10000,1)/(COUNTIFS(Evaluations!$G$3:$G$10000,$A200,Evaluations!$R$3:$R$10000,1)+COUNTIFS(Evaluations!$G$3:$G$10000,$A200,Evaluations!$R$3:$R$10000,0)),2),""))</f>
        <v/>
      </c>
      <c r="I200" s="10" t="str">
        <f>IF($A200="","",IFERROR(ROUND(100*COUNTIFS(Evaluations!$G$3:$G$10000,$A200,Evaluations!$S$3:$S$10000,1)/(COUNTIFS(Evaluations!$G$3:$G$10000,$A200,Evaluations!$S$3:$S$10000,1)+COUNTIFS(Evaluations!$G$3:$G$10000,$A200,Evaluations!$S$3:$S$10000,0)),2),""))</f>
        <v/>
      </c>
      <c r="J200" s="10" t="str">
        <f>IF($A200="","",IFERROR(ROUND(100*COUNTIFS(Evaluations!$G$3:$G$10000,$A200,Evaluations!$T$3:$T$10000,1)/(COUNTIFS(Evaluations!$G$3:$G$10000,$A200,Evaluations!$T$3:$T$10000,1)+COUNTIFS(Evaluations!$G$3:$G$10000,$A200,Evaluations!$T$3:$T$10000,0)),2),""))</f>
        <v/>
      </c>
      <c r="K200" s="10" t="str">
        <f>IF($A200="","",COUNTIFS(Evaluations!$G$3:$G$10000,$A200,Evaluations!$M$3:$M$10000,"عدم پاسخ"))</f>
        <v/>
      </c>
      <c r="L200" s="10" t="str">
        <f>IF($A200="","",COUNTIFS(Evaluations!$G$3:$G$10000,$A200,Evaluations!$O$3:$O$10000,"رعایت نشده"))</f>
        <v/>
      </c>
    </row>
    <row r="201">
      <c r="A201" s="10"/>
      <c r="B201" s="10" t="str">
        <f t="array" ref="B201">_xlfn.XLOOKUP(A201,DATA!D:D,DATA!E:E,"")</f>
        <v/>
      </c>
      <c r="C201" s="10" t="str">
        <f>IF($A201="","",COUNTIFS(Evaluations!$G$3:$G$10000,$A201,Evaluations!$U$3:$U$10000,"&gt;=0",Evaluations!$U$3:$U$10000,"&lt;=100"))</f>
        <v/>
      </c>
      <c r="D201" s="10" t="str">
        <f>IF(OR($A201="",C201=0),"",ROUND(SUMIFS(Evaluations!$U$3:$U$10000,Evaluations!$G$3:$G$10000,$A201)/C201,2))</f>
        <v/>
      </c>
      <c r="E201" s="10" t="str">
        <f>IF($A201="","",COUNTIFS(Evaluations!$G$3:$G$10000,$A201,Evaluations!$M$3:$M$10000,"پاسخ داده شده"))</f>
        <v/>
      </c>
      <c r="F201" s="10" t="str">
        <f>IF($A201="","",IFERROR(COUNTIFS(Evaluations!$G$3:$G$10000,$A201,Evaluations!$O$3:$O$10000,"رعایت شده")/(COUNTIFS(Evaluations!$G$3:$G$10000,$A201,Evaluations!$O$3:$O$10000,"رعایت شده")+COUNTIFS(Evaluations!$G$3:$G$10000,$A201,Evaluations!$O$3:$O$10000,"رعایت نشده")),""))</f>
        <v/>
      </c>
      <c r="G201" s="10" t="str">
        <f>IF($A201="","",IFERROR(ROUND(100*COUNTIFS(Evaluations!$G$3:$G$10000,$A201,Evaluations!$Q$3:$Q$10000,1)/(COUNTIFS(Evaluations!$G$3:$G$10000,$A201,Evaluations!$Q$3:$Q$10000,1)+COUNTIFS(Evaluations!$G$3:$G$10000,$A201,Evaluations!$Q$3:$Q$10000,0)),2),""))</f>
        <v/>
      </c>
      <c r="H201" s="10" t="str">
        <f>IF($A201="","",IFERROR(ROUND(100*COUNTIFS(Evaluations!$G$3:$G$10000,$A201,Evaluations!$R$3:$R$10000,1)/(COUNTIFS(Evaluations!$G$3:$G$10000,$A201,Evaluations!$R$3:$R$10000,1)+COUNTIFS(Evaluations!$G$3:$G$10000,$A201,Evaluations!$R$3:$R$10000,0)),2),""))</f>
        <v/>
      </c>
      <c r="I201" s="10" t="str">
        <f>IF($A201="","",IFERROR(ROUND(100*COUNTIFS(Evaluations!$G$3:$G$10000,$A201,Evaluations!$S$3:$S$10000,1)/(COUNTIFS(Evaluations!$G$3:$G$10000,$A201,Evaluations!$S$3:$S$10000,1)+COUNTIFS(Evaluations!$G$3:$G$10000,$A201,Evaluations!$S$3:$S$10000,0)),2),""))</f>
        <v/>
      </c>
      <c r="J201" s="10" t="str">
        <f>IF($A201="","",IFERROR(ROUND(100*COUNTIFS(Evaluations!$G$3:$G$10000,$A201,Evaluations!$T$3:$T$10000,1)/(COUNTIFS(Evaluations!$G$3:$G$10000,$A201,Evaluations!$T$3:$T$10000,1)+COUNTIFS(Evaluations!$G$3:$G$10000,$A201,Evaluations!$T$3:$T$10000,0)),2),""))</f>
        <v/>
      </c>
      <c r="K201" s="10" t="str">
        <f>IF($A201="","",COUNTIFS(Evaluations!$G$3:$G$10000,$A201,Evaluations!$M$3:$M$10000,"عدم پاسخ"))</f>
        <v/>
      </c>
      <c r="L201" s="10" t="str">
        <f>IF($A201="","",COUNTIFS(Evaluations!$G$3:$G$10000,$A201,Evaluations!$O$3:$O$10000,"رعایت نشده"))</f>
        <v/>
      </c>
    </row>
    <row r="202">
      <c r="A202" s="10"/>
      <c r="B202" s="10" t="str">
        <f t="array" ref="B202">_xlfn.XLOOKUP(A202,DATA!D:D,DATA!E:E,"")</f>
        <v/>
      </c>
      <c r="C202" s="10" t="str">
        <f>IF($A202="","",COUNTIFS(Evaluations!$G$3:$G$10000,$A202,Evaluations!$U$3:$U$10000,"&gt;=0",Evaluations!$U$3:$U$10000,"&lt;=100"))</f>
        <v/>
      </c>
      <c r="D202" s="10" t="str">
        <f>IF(OR($A202="",C202=0),"",ROUND(SUMIFS(Evaluations!$U$3:$U$10000,Evaluations!$G$3:$G$10000,$A202)/C202,2))</f>
        <v/>
      </c>
      <c r="E202" s="10" t="str">
        <f>IF($A202="","",COUNTIFS(Evaluations!$G$3:$G$10000,$A202,Evaluations!$M$3:$M$10000,"پاسخ داده شده"))</f>
        <v/>
      </c>
      <c r="F202" s="10" t="str">
        <f>IF($A202="","",IFERROR(COUNTIFS(Evaluations!$G$3:$G$10000,$A202,Evaluations!$O$3:$O$10000,"رعایت شده")/(COUNTIFS(Evaluations!$G$3:$G$10000,$A202,Evaluations!$O$3:$O$10000,"رعایت شده")+COUNTIFS(Evaluations!$G$3:$G$10000,$A202,Evaluations!$O$3:$O$10000,"رعایت نشده")),""))</f>
        <v/>
      </c>
      <c r="G202" s="10" t="str">
        <f>IF($A202="","",IFERROR(ROUND(100*COUNTIFS(Evaluations!$G$3:$G$10000,$A202,Evaluations!$Q$3:$Q$10000,1)/(COUNTIFS(Evaluations!$G$3:$G$10000,$A202,Evaluations!$Q$3:$Q$10000,1)+COUNTIFS(Evaluations!$G$3:$G$10000,$A202,Evaluations!$Q$3:$Q$10000,0)),2),""))</f>
        <v/>
      </c>
      <c r="H202" s="10" t="str">
        <f>IF($A202="","",IFERROR(ROUND(100*COUNTIFS(Evaluations!$G$3:$G$10000,$A202,Evaluations!$R$3:$R$10000,1)/(COUNTIFS(Evaluations!$G$3:$G$10000,$A202,Evaluations!$R$3:$R$10000,1)+COUNTIFS(Evaluations!$G$3:$G$10000,$A202,Evaluations!$R$3:$R$10000,0)),2),""))</f>
        <v/>
      </c>
      <c r="I202" s="10" t="str">
        <f>IF($A202="","",IFERROR(ROUND(100*COUNTIFS(Evaluations!$G$3:$G$10000,$A202,Evaluations!$S$3:$S$10000,1)/(COUNTIFS(Evaluations!$G$3:$G$10000,$A202,Evaluations!$S$3:$S$10000,1)+COUNTIFS(Evaluations!$G$3:$G$10000,$A202,Evaluations!$S$3:$S$10000,0)),2),""))</f>
        <v/>
      </c>
      <c r="J202" s="10" t="str">
        <f>IF($A202="","",IFERROR(ROUND(100*COUNTIFS(Evaluations!$G$3:$G$10000,$A202,Evaluations!$T$3:$T$10000,1)/(COUNTIFS(Evaluations!$G$3:$G$10000,$A202,Evaluations!$T$3:$T$10000,1)+COUNTIFS(Evaluations!$G$3:$G$10000,$A202,Evaluations!$T$3:$T$10000,0)),2),""))</f>
        <v/>
      </c>
      <c r="K202" s="10" t="str">
        <f>IF($A202="","",COUNTIFS(Evaluations!$G$3:$G$10000,$A202,Evaluations!$M$3:$M$10000,"عدم پاسخ"))</f>
        <v/>
      </c>
      <c r="L202" s="10" t="str">
        <f>IF($A202="","",COUNTIFS(Evaluations!$G$3:$G$10000,$A202,Evaluations!$O$3:$O$10000,"رعایت نشده"))</f>
        <v/>
      </c>
    </row>
    <row r="203">
      <c r="A203" s="10"/>
      <c r="B203" s="10" t="str">
        <f t="array" ref="B203">_xlfn.XLOOKUP(A203,DATA!D:D,DATA!E:E,"")</f>
        <v/>
      </c>
      <c r="C203" s="10" t="str">
        <f>IF($A203="","",COUNTIFS(Evaluations!$G$3:$G$10000,$A203,Evaluations!$U$3:$U$10000,"&gt;=0",Evaluations!$U$3:$U$10000,"&lt;=100"))</f>
        <v/>
      </c>
      <c r="D203" s="10" t="str">
        <f>IF(OR($A203="",C203=0),"",ROUND(SUMIFS(Evaluations!$U$3:$U$10000,Evaluations!$G$3:$G$10000,$A203)/C203,2))</f>
        <v/>
      </c>
      <c r="E203" s="10" t="str">
        <f>IF($A203="","",COUNTIFS(Evaluations!$G$3:$G$10000,$A203,Evaluations!$M$3:$M$10000,"پاسخ داده شده"))</f>
        <v/>
      </c>
      <c r="F203" s="10" t="str">
        <f>IF($A203="","",IFERROR(COUNTIFS(Evaluations!$G$3:$G$10000,$A203,Evaluations!$O$3:$O$10000,"رعایت شده")/(COUNTIFS(Evaluations!$G$3:$G$10000,$A203,Evaluations!$O$3:$O$10000,"رعایت شده")+COUNTIFS(Evaluations!$G$3:$G$10000,$A203,Evaluations!$O$3:$O$10000,"رعایت نشده")),""))</f>
        <v/>
      </c>
      <c r="G203" s="10" t="str">
        <f>IF($A203="","",IFERROR(ROUND(100*COUNTIFS(Evaluations!$G$3:$G$10000,$A203,Evaluations!$Q$3:$Q$10000,1)/(COUNTIFS(Evaluations!$G$3:$G$10000,$A203,Evaluations!$Q$3:$Q$10000,1)+COUNTIFS(Evaluations!$G$3:$G$10000,$A203,Evaluations!$Q$3:$Q$10000,0)),2),""))</f>
        <v/>
      </c>
      <c r="H203" s="10" t="str">
        <f>IF($A203="","",IFERROR(ROUND(100*COUNTIFS(Evaluations!$G$3:$G$10000,$A203,Evaluations!$R$3:$R$10000,1)/(COUNTIFS(Evaluations!$G$3:$G$10000,$A203,Evaluations!$R$3:$R$10000,1)+COUNTIFS(Evaluations!$G$3:$G$10000,$A203,Evaluations!$R$3:$R$10000,0)),2),""))</f>
        <v/>
      </c>
      <c r="I203" s="10" t="str">
        <f>IF($A203="","",IFERROR(ROUND(100*COUNTIFS(Evaluations!$G$3:$G$10000,$A203,Evaluations!$S$3:$S$10000,1)/(COUNTIFS(Evaluations!$G$3:$G$10000,$A203,Evaluations!$S$3:$S$10000,1)+COUNTIFS(Evaluations!$G$3:$G$10000,$A203,Evaluations!$S$3:$S$10000,0)),2),""))</f>
        <v/>
      </c>
      <c r="J203" s="10" t="str">
        <f>IF($A203="","",IFERROR(ROUND(100*COUNTIFS(Evaluations!$G$3:$G$10000,$A203,Evaluations!$T$3:$T$10000,1)/(COUNTIFS(Evaluations!$G$3:$G$10000,$A203,Evaluations!$T$3:$T$10000,1)+COUNTIFS(Evaluations!$G$3:$G$10000,$A203,Evaluations!$T$3:$T$10000,0)),2),""))</f>
        <v/>
      </c>
      <c r="K203" s="10" t="str">
        <f>IF($A203="","",COUNTIFS(Evaluations!$G$3:$G$10000,$A203,Evaluations!$M$3:$M$10000,"عدم پاسخ"))</f>
        <v/>
      </c>
      <c r="L203" s="10" t="str">
        <f>IF($A203="","",COUNTIFS(Evaluations!$G$3:$G$10000,$A203,Evaluations!$O$3:$O$10000,"رعایت نشده"))</f>
        <v/>
      </c>
    </row>
    <row r="204">
      <c r="A204" s="10"/>
      <c r="B204" s="10" t="str">
        <f t="array" ref="B204">_xlfn.XLOOKUP(A204,DATA!D:D,DATA!E:E,"")</f>
        <v/>
      </c>
      <c r="C204" s="10" t="str">
        <f>IF($A204="","",COUNTIFS(Evaluations!$G$3:$G$10000,$A204,Evaluations!$U$3:$U$10000,"&gt;=0",Evaluations!$U$3:$U$10000,"&lt;=100"))</f>
        <v/>
      </c>
      <c r="D204" s="10" t="str">
        <f>IF(OR($A204="",C204=0),"",ROUND(SUMIFS(Evaluations!$U$3:$U$10000,Evaluations!$G$3:$G$10000,$A204)/C204,2))</f>
        <v/>
      </c>
      <c r="E204" s="10" t="str">
        <f>IF($A204="","",COUNTIFS(Evaluations!$G$3:$G$10000,$A204,Evaluations!$M$3:$M$10000,"پاسخ داده شده"))</f>
        <v/>
      </c>
      <c r="F204" s="10" t="str">
        <f>IF($A204="","",IFERROR(COUNTIFS(Evaluations!$G$3:$G$10000,$A204,Evaluations!$O$3:$O$10000,"رعایت شده")/(COUNTIFS(Evaluations!$G$3:$G$10000,$A204,Evaluations!$O$3:$O$10000,"رعایت شده")+COUNTIFS(Evaluations!$G$3:$G$10000,$A204,Evaluations!$O$3:$O$10000,"رعایت نشده")),""))</f>
        <v/>
      </c>
      <c r="G204" s="10" t="str">
        <f>IF($A204="","",IFERROR(ROUND(100*COUNTIFS(Evaluations!$G$3:$G$10000,$A204,Evaluations!$Q$3:$Q$10000,1)/(COUNTIFS(Evaluations!$G$3:$G$10000,$A204,Evaluations!$Q$3:$Q$10000,1)+COUNTIFS(Evaluations!$G$3:$G$10000,$A204,Evaluations!$Q$3:$Q$10000,0)),2),""))</f>
        <v/>
      </c>
      <c r="H204" s="10" t="str">
        <f>IF($A204="","",IFERROR(ROUND(100*COUNTIFS(Evaluations!$G$3:$G$10000,$A204,Evaluations!$R$3:$R$10000,1)/(COUNTIFS(Evaluations!$G$3:$G$10000,$A204,Evaluations!$R$3:$R$10000,1)+COUNTIFS(Evaluations!$G$3:$G$10000,$A204,Evaluations!$R$3:$R$10000,0)),2),""))</f>
        <v/>
      </c>
      <c r="I204" s="10" t="str">
        <f>IF($A204="","",IFERROR(ROUND(100*COUNTIFS(Evaluations!$G$3:$G$10000,$A204,Evaluations!$S$3:$S$10000,1)/(COUNTIFS(Evaluations!$G$3:$G$10000,$A204,Evaluations!$S$3:$S$10000,1)+COUNTIFS(Evaluations!$G$3:$G$10000,$A204,Evaluations!$S$3:$S$10000,0)),2),""))</f>
        <v/>
      </c>
      <c r="J204" s="10" t="str">
        <f>IF($A204="","",IFERROR(ROUND(100*COUNTIFS(Evaluations!$G$3:$G$10000,$A204,Evaluations!$T$3:$T$10000,1)/(COUNTIFS(Evaluations!$G$3:$G$10000,$A204,Evaluations!$T$3:$T$10000,1)+COUNTIFS(Evaluations!$G$3:$G$10000,$A204,Evaluations!$T$3:$T$10000,0)),2),""))</f>
        <v/>
      </c>
      <c r="K204" s="10" t="str">
        <f>IF($A204="","",COUNTIFS(Evaluations!$G$3:$G$10000,$A204,Evaluations!$M$3:$M$10000,"عدم پاسخ"))</f>
        <v/>
      </c>
      <c r="L204" s="10" t="str">
        <f>IF($A204="","",COUNTIFS(Evaluations!$G$3:$G$10000,$A204,Evaluations!$O$3:$O$10000,"رعایت نشده"))</f>
        <v/>
      </c>
    </row>
    <row r="205">
      <c r="A205" s="10"/>
      <c r="B205" s="10" t="str">
        <f t="array" ref="B205">_xlfn.XLOOKUP(A205,DATA!D:D,DATA!E:E,"")</f>
        <v/>
      </c>
      <c r="C205" s="10" t="str">
        <f>IF($A205="","",COUNTIFS(Evaluations!$G$3:$G$10000,$A205,Evaluations!$U$3:$U$10000,"&gt;=0",Evaluations!$U$3:$U$10000,"&lt;=100"))</f>
        <v/>
      </c>
      <c r="D205" s="10" t="str">
        <f>IF(OR($A205="",C205=0),"",ROUND(SUMIFS(Evaluations!$U$3:$U$10000,Evaluations!$G$3:$G$10000,$A205)/C205,2))</f>
        <v/>
      </c>
      <c r="E205" s="10" t="str">
        <f>IF($A205="","",COUNTIFS(Evaluations!$G$3:$G$10000,$A205,Evaluations!$M$3:$M$10000,"پاسخ داده شده"))</f>
        <v/>
      </c>
      <c r="F205" s="10" t="str">
        <f>IF($A205="","",IFERROR(COUNTIFS(Evaluations!$G$3:$G$10000,$A205,Evaluations!$O$3:$O$10000,"رعایت شده")/(COUNTIFS(Evaluations!$G$3:$G$10000,$A205,Evaluations!$O$3:$O$10000,"رعایت شده")+COUNTIFS(Evaluations!$G$3:$G$10000,$A205,Evaluations!$O$3:$O$10000,"رعایت نشده")),""))</f>
        <v/>
      </c>
      <c r="G205" s="10" t="str">
        <f>IF($A205="","",IFERROR(ROUND(100*COUNTIFS(Evaluations!$G$3:$G$10000,$A205,Evaluations!$Q$3:$Q$10000,1)/(COUNTIFS(Evaluations!$G$3:$G$10000,$A205,Evaluations!$Q$3:$Q$10000,1)+COUNTIFS(Evaluations!$G$3:$G$10000,$A205,Evaluations!$Q$3:$Q$10000,0)),2),""))</f>
        <v/>
      </c>
      <c r="H205" s="10" t="str">
        <f>IF($A205="","",IFERROR(ROUND(100*COUNTIFS(Evaluations!$G$3:$G$10000,$A205,Evaluations!$R$3:$R$10000,1)/(COUNTIFS(Evaluations!$G$3:$G$10000,$A205,Evaluations!$R$3:$R$10000,1)+COUNTIFS(Evaluations!$G$3:$G$10000,$A205,Evaluations!$R$3:$R$10000,0)),2),""))</f>
        <v/>
      </c>
      <c r="I205" s="10" t="str">
        <f>IF($A205="","",IFERROR(ROUND(100*COUNTIFS(Evaluations!$G$3:$G$10000,$A205,Evaluations!$S$3:$S$10000,1)/(COUNTIFS(Evaluations!$G$3:$G$10000,$A205,Evaluations!$S$3:$S$10000,1)+COUNTIFS(Evaluations!$G$3:$G$10000,$A205,Evaluations!$S$3:$S$10000,0)),2),""))</f>
        <v/>
      </c>
      <c r="J205" s="10" t="str">
        <f>IF($A205="","",IFERROR(ROUND(100*COUNTIFS(Evaluations!$G$3:$G$10000,$A205,Evaluations!$T$3:$T$10000,1)/(COUNTIFS(Evaluations!$G$3:$G$10000,$A205,Evaluations!$T$3:$T$10000,1)+COUNTIFS(Evaluations!$G$3:$G$10000,$A205,Evaluations!$T$3:$T$10000,0)),2),""))</f>
        <v/>
      </c>
      <c r="K205" s="10" t="str">
        <f>IF($A205="","",COUNTIFS(Evaluations!$G$3:$G$10000,$A205,Evaluations!$M$3:$M$10000,"عدم پاسخ"))</f>
        <v/>
      </c>
      <c r="L205" s="10" t="str">
        <f>IF($A205="","",COUNTIFS(Evaluations!$G$3:$G$10000,$A205,Evaluations!$O$3:$O$10000,"رعایت نشده"))</f>
        <v/>
      </c>
    </row>
    <row r="206">
      <c r="A206" s="10"/>
      <c r="B206" s="10" t="str">
        <f t="array" ref="B206">_xlfn.XLOOKUP(A206,DATA!D:D,DATA!E:E,"")</f>
        <v/>
      </c>
      <c r="C206" s="10" t="str">
        <f>IF($A206="","",COUNTIFS(Evaluations!$G$3:$G$10000,$A206,Evaluations!$U$3:$U$10000,"&gt;=0",Evaluations!$U$3:$U$10000,"&lt;=100"))</f>
        <v/>
      </c>
      <c r="D206" s="10" t="str">
        <f>IF(OR($A206="",C206=0),"",ROUND(SUMIFS(Evaluations!$U$3:$U$10000,Evaluations!$G$3:$G$10000,$A206)/C206,2))</f>
        <v/>
      </c>
      <c r="E206" s="10" t="str">
        <f>IF($A206="","",COUNTIFS(Evaluations!$G$3:$G$10000,$A206,Evaluations!$M$3:$M$10000,"پاسخ داده شده"))</f>
        <v/>
      </c>
      <c r="F206" s="10" t="str">
        <f>IF($A206="","",IFERROR(COUNTIFS(Evaluations!$G$3:$G$10000,$A206,Evaluations!$O$3:$O$10000,"رعایت شده")/(COUNTIFS(Evaluations!$G$3:$G$10000,$A206,Evaluations!$O$3:$O$10000,"رعایت شده")+COUNTIFS(Evaluations!$G$3:$G$10000,$A206,Evaluations!$O$3:$O$10000,"رعایت نشده")),""))</f>
        <v/>
      </c>
      <c r="G206" s="10" t="str">
        <f>IF($A206="","",IFERROR(ROUND(100*COUNTIFS(Evaluations!$G$3:$G$10000,$A206,Evaluations!$Q$3:$Q$10000,1)/(COUNTIFS(Evaluations!$G$3:$G$10000,$A206,Evaluations!$Q$3:$Q$10000,1)+COUNTIFS(Evaluations!$G$3:$G$10000,$A206,Evaluations!$Q$3:$Q$10000,0)),2),""))</f>
        <v/>
      </c>
      <c r="H206" s="10" t="str">
        <f>IF($A206="","",IFERROR(ROUND(100*COUNTIFS(Evaluations!$G$3:$G$10000,$A206,Evaluations!$R$3:$R$10000,1)/(COUNTIFS(Evaluations!$G$3:$G$10000,$A206,Evaluations!$R$3:$R$10000,1)+COUNTIFS(Evaluations!$G$3:$G$10000,$A206,Evaluations!$R$3:$R$10000,0)),2),""))</f>
        <v/>
      </c>
      <c r="I206" s="10" t="str">
        <f>IF($A206="","",IFERROR(ROUND(100*COUNTIFS(Evaluations!$G$3:$G$10000,$A206,Evaluations!$S$3:$S$10000,1)/(COUNTIFS(Evaluations!$G$3:$G$10000,$A206,Evaluations!$S$3:$S$10000,1)+COUNTIFS(Evaluations!$G$3:$G$10000,$A206,Evaluations!$S$3:$S$10000,0)),2),""))</f>
        <v/>
      </c>
      <c r="J206" s="10" t="str">
        <f>IF($A206="","",IFERROR(ROUND(100*COUNTIFS(Evaluations!$G$3:$G$10000,$A206,Evaluations!$T$3:$T$10000,1)/(COUNTIFS(Evaluations!$G$3:$G$10000,$A206,Evaluations!$T$3:$T$10000,1)+COUNTIFS(Evaluations!$G$3:$G$10000,$A206,Evaluations!$T$3:$T$10000,0)),2),""))</f>
        <v/>
      </c>
      <c r="K206" s="10" t="str">
        <f>IF($A206="","",COUNTIFS(Evaluations!$G$3:$G$10000,$A206,Evaluations!$M$3:$M$10000,"عدم پاسخ"))</f>
        <v/>
      </c>
      <c r="L206" s="10" t="str">
        <f>IF($A206="","",COUNTIFS(Evaluations!$G$3:$G$10000,$A206,Evaluations!$O$3:$O$10000,"رعایت نشده"))</f>
        <v/>
      </c>
    </row>
    <row r="207">
      <c r="A207" s="10"/>
      <c r="B207" s="10" t="str">
        <f t="array" ref="B207">_xlfn.XLOOKUP(A207,DATA!D:D,DATA!E:E,"")</f>
        <v/>
      </c>
      <c r="C207" s="10" t="str">
        <f>IF($A207="","",COUNTIFS(Evaluations!$G$3:$G$10000,$A207,Evaluations!$U$3:$U$10000,"&gt;=0",Evaluations!$U$3:$U$10000,"&lt;=100"))</f>
        <v/>
      </c>
      <c r="D207" s="10" t="str">
        <f>IF(OR($A207="",C207=0),"",ROUND(SUMIFS(Evaluations!$U$3:$U$10000,Evaluations!$G$3:$G$10000,$A207)/C207,2))</f>
        <v/>
      </c>
      <c r="E207" s="10" t="str">
        <f>IF($A207="","",COUNTIFS(Evaluations!$G$3:$G$10000,$A207,Evaluations!$M$3:$M$10000,"پاسخ داده شده"))</f>
        <v/>
      </c>
      <c r="F207" s="10" t="str">
        <f>IF($A207="","",IFERROR(COUNTIFS(Evaluations!$G$3:$G$10000,$A207,Evaluations!$O$3:$O$10000,"رعایت شده")/(COUNTIFS(Evaluations!$G$3:$G$10000,$A207,Evaluations!$O$3:$O$10000,"رعایت شده")+COUNTIFS(Evaluations!$G$3:$G$10000,$A207,Evaluations!$O$3:$O$10000,"رعایت نشده")),""))</f>
        <v/>
      </c>
      <c r="G207" s="10" t="str">
        <f>IF($A207="","",IFERROR(ROUND(100*COUNTIFS(Evaluations!$G$3:$G$10000,$A207,Evaluations!$Q$3:$Q$10000,1)/(COUNTIFS(Evaluations!$G$3:$G$10000,$A207,Evaluations!$Q$3:$Q$10000,1)+COUNTIFS(Evaluations!$G$3:$G$10000,$A207,Evaluations!$Q$3:$Q$10000,0)),2),""))</f>
        <v/>
      </c>
      <c r="H207" s="10" t="str">
        <f>IF($A207="","",IFERROR(ROUND(100*COUNTIFS(Evaluations!$G$3:$G$10000,$A207,Evaluations!$R$3:$R$10000,1)/(COUNTIFS(Evaluations!$G$3:$G$10000,$A207,Evaluations!$R$3:$R$10000,1)+COUNTIFS(Evaluations!$G$3:$G$10000,$A207,Evaluations!$R$3:$R$10000,0)),2),""))</f>
        <v/>
      </c>
      <c r="I207" s="10" t="str">
        <f>IF($A207="","",IFERROR(ROUND(100*COUNTIFS(Evaluations!$G$3:$G$10000,$A207,Evaluations!$S$3:$S$10000,1)/(COUNTIFS(Evaluations!$G$3:$G$10000,$A207,Evaluations!$S$3:$S$10000,1)+COUNTIFS(Evaluations!$G$3:$G$10000,$A207,Evaluations!$S$3:$S$10000,0)),2),""))</f>
        <v/>
      </c>
      <c r="J207" s="10" t="str">
        <f>IF($A207="","",IFERROR(ROUND(100*COUNTIFS(Evaluations!$G$3:$G$10000,$A207,Evaluations!$T$3:$T$10000,1)/(COUNTIFS(Evaluations!$G$3:$G$10000,$A207,Evaluations!$T$3:$T$10000,1)+COUNTIFS(Evaluations!$G$3:$G$10000,$A207,Evaluations!$T$3:$T$10000,0)),2),""))</f>
        <v/>
      </c>
      <c r="K207" s="10" t="str">
        <f>IF($A207="","",COUNTIFS(Evaluations!$G$3:$G$10000,$A207,Evaluations!$M$3:$M$10000,"عدم پاسخ"))</f>
        <v/>
      </c>
      <c r="L207" s="10" t="str">
        <f>IF($A207="","",COUNTIFS(Evaluations!$G$3:$G$10000,$A207,Evaluations!$O$3:$O$10000,"رعایت نشده"))</f>
        <v/>
      </c>
    </row>
    <row r="208">
      <c r="A208" s="10"/>
      <c r="B208" s="10" t="str">
        <f t="array" ref="B208">_xlfn.XLOOKUP(A208,DATA!D:D,DATA!E:E,"")</f>
        <v/>
      </c>
      <c r="C208" s="10" t="str">
        <f>IF($A208="","",COUNTIFS(Evaluations!$G$3:$G$10000,$A208,Evaluations!$U$3:$U$10000,"&gt;=0",Evaluations!$U$3:$U$10000,"&lt;=100"))</f>
        <v/>
      </c>
      <c r="D208" s="10" t="str">
        <f>IF(OR($A208="",C208=0),"",ROUND(SUMIFS(Evaluations!$U$3:$U$10000,Evaluations!$G$3:$G$10000,$A208)/C208,2))</f>
        <v/>
      </c>
      <c r="E208" s="10" t="str">
        <f>IF($A208="","",COUNTIFS(Evaluations!$G$3:$G$10000,$A208,Evaluations!$M$3:$M$10000,"پاسخ داده شده"))</f>
        <v/>
      </c>
      <c r="F208" s="10" t="str">
        <f>IF($A208="","",IFERROR(COUNTIFS(Evaluations!$G$3:$G$10000,$A208,Evaluations!$O$3:$O$10000,"رعایت شده")/(COUNTIFS(Evaluations!$G$3:$G$10000,$A208,Evaluations!$O$3:$O$10000,"رعایت شده")+COUNTIFS(Evaluations!$G$3:$G$10000,$A208,Evaluations!$O$3:$O$10000,"رعایت نشده")),""))</f>
        <v/>
      </c>
      <c r="G208" s="10" t="str">
        <f>IF($A208="","",IFERROR(ROUND(100*COUNTIFS(Evaluations!$G$3:$G$10000,$A208,Evaluations!$Q$3:$Q$10000,1)/(COUNTIFS(Evaluations!$G$3:$G$10000,$A208,Evaluations!$Q$3:$Q$10000,1)+COUNTIFS(Evaluations!$G$3:$G$10000,$A208,Evaluations!$Q$3:$Q$10000,0)),2),""))</f>
        <v/>
      </c>
      <c r="H208" s="10" t="str">
        <f>IF($A208="","",IFERROR(ROUND(100*COUNTIFS(Evaluations!$G$3:$G$10000,$A208,Evaluations!$R$3:$R$10000,1)/(COUNTIFS(Evaluations!$G$3:$G$10000,$A208,Evaluations!$R$3:$R$10000,1)+COUNTIFS(Evaluations!$G$3:$G$10000,$A208,Evaluations!$R$3:$R$10000,0)),2),""))</f>
        <v/>
      </c>
      <c r="I208" s="10" t="str">
        <f>IF($A208="","",IFERROR(ROUND(100*COUNTIFS(Evaluations!$G$3:$G$10000,$A208,Evaluations!$S$3:$S$10000,1)/(COUNTIFS(Evaluations!$G$3:$G$10000,$A208,Evaluations!$S$3:$S$10000,1)+COUNTIFS(Evaluations!$G$3:$G$10000,$A208,Evaluations!$S$3:$S$10000,0)),2),""))</f>
        <v/>
      </c>
      <c r="J208" s="10" t="str">
        <f>IF($A208="","",IFERROR(ROUND(100*COUNTIFS(Evaluations!$G$3:$G$10000,$A208,Evaluations!$T$3:$T$10000,1)/(COUNTIFS(Evaluations!$G$3:$G$10000,$A208,Evaluations!$T$3:$T$10000,1)+COUNTIFS(Evaluations!$G$3:$G$10000,$A208,Evaluations!$T$3:$T$10000,0)),2),""))</f>
        <v/>
      </c>
      <c r="K208" s="10" t="str">
        <f>IF($A208="","",COUNTIFS(Evaluations!$G$3:$G$10000,$A208,Evaluations!$M$3:$M$10000,"عدم پاسخ"))</f>
        <v/>
      </c>
      <c r="L208" s="10" t="str">
        <f>IF($A208="","",COUNTIFS(Evaluations!$G$3:$G$10000,$A208,Evaluations!$O$3:$O$10000,"رعایت نشده"))</f>
        <v/>
      </c>
    </row>
    <row r="209">
      <c r="A209" s="10"/>
      <c r="B209" s="10" t="str">
        <f t="array" ref="B209">_xlfn.XLOOKUP(A209,DATA!D:D,DATA!E:E,"")</f>
        <v/>
      </c>
      <c r="C209" s="10" t="str">
        <f>IF($A209="","",COUNTIFS(Evaluations!$G$3:$G$10000,$A209,Evaluations!$U$3:$U$10000,"&gt;=0",Evaluations!$U$3:$U$10000,"&lt;=100"))</f>
        <v/>
      </c>
      <c r="D209" s="10" t="str">
        <f>IF(OR($A209="",C209=0),"",ROUND(SUMIFS(Evaluations!$U$3:$U$10000,Evaluations!$G$3:$G$10000,$A209)/C209,2))</f>
        <v/>
      </c>
      <c r="E209" s="10" t="str">
        <f>IF($A209="","",COUNTIFS(Evaluations!$G$3:$G$10000,$A209,Evaluations!$M$3:$M$10000,"پاسخ داده شده"))</f>
        <v/>
      </c>
      <c r="F209" s="10" t="str">
        <f>IF($A209="","",IFERROR(COUNTIFS(Evaluations!$G$3:$G$10000,$A209,Evaluations!$O$3:$O$10000,"رعایت شده")/(COUNTIFS(Evaluations!$G$3:$G$10000,$A209,Evaluations!$O$3:$O$10000,"رعایت شده")+COUNTIFS(Evaluations!$G$3:$G$10000,$A209,Evaluations!$O$3:$O$10000,"رعایت نشده")),""))</f>
        <v/>
      </c>
      <c r="G209" s="10" t="str">
        <f>IF($A209="","",IFERROR(ROUND(100*COUNTIFS(Evaluations!$G$3:$G$10000,$A209,Evaluations!$Q$3:$Q$10000,1)/(COUNTIFS(Evaluations!$G$3:$G$10000,$A209,Evaluations!$Q$3:$Q$10000,1)+COUNTIFS(Evaluations!$G$3:$G$10000,$A209,Evaluations!$Q$3:$Q$10000,0)),2),""))</f>
        <v/>
      </c>
      <c r="H209" s="10" t="str">
        <f>IF($A209="","",IFERROR(ROUND(100*COUNTIFS(Evaluations!$G$3:$G$10000,$A209,Evaluations!$R$3:$R$10000,1)/(COUNTIFS(Evaluations!$G$3:$G$10000,$A209,Evaluations!$R$3:$R$10000,1)+COUNTIFS(Evaluations!$G$3:$G$10000,$A209,Evaluations!$R$3:$R$10000,0)),2),""))</f>
        <v/>
      </c>
      <c r="I209" s="10" t="str">
        <f>IF($A209="","",IFERROR(ROUND(100*COUNTIFS(Evaluations!$G$3:$G$10000,$A209,Evaluations!$S$3:$S$10000,1)/(COUNTIFS(Evaluations!$G$3:$G$10000,$A209,Evaluations!$S$3:$S$10000,1)+COUNTIFS(Evaluations!$G$3:$G$10000,$A209,Evaluations!$S$3:$S$10000,0)),2),""))</f>
        <v/>
      </c>
      <c r="J209" s="10" t="str">
        <f>IF($A209="","",IFERROR(ROUND(100*COUNTIFS(Evaluations!$G$3:$G$10000,$A209,Evaluations!$T$3:$T$10000,1)/(COUNTIFS(Evaluations!$G$3:$G$10000,$A209,Evaluations!$T$3:$T$10000,1)+COUNTIFS(Evaluations!$G$3:$G$10000,$A209,Evaluations!$T$3:$T$10000,0)),2),""))</f>
        <v/>
      </c>
      <c r="K209" s="10" t="str">
        <f>IF($A209="","",COUNTIFS(Evaluations!$G$3:$G$10000,$A209,Evaluations!$M$3:$M$10000,"عدم پاسخ"))</f>
        <v/>
      </c>
      <c r="L209" s="10" t="str">
        <f>IF($A209="","",COUNTIFS(Evaluations!$G$3:$G$10000,$A209,Evaluations!$O$3:$O$10000,"رعایت نشده"))</f>
        <v/>
      </c>
    </row>
    <row r="210">
      <c r="A210" s="10"/>
      <c r="B210" s="10" t="str">
        <f t="array" ref="B210">_xlfn.XLOOKUP(A210,DATA!D:D,DATA!E:E,"")</f>
        <v/>
      </c>
      <c r="C210" s="10" t="str">
        <f>IF($A210="","",COUNTIFS(Evaluations!$G$3:$G$10000,$A210,Evaluations!$U$3:$U$10000,"&gt;=0",Evaluations!$U$3:$U$10000,"&lt;=100"))</f>
        <v/>
      </c>
      <c r="D210" s="10" t="str">
        <f>IF(OR($A210="",C210=0),"",ROUND(SUMIFS(Evaluations!$U$3:$U$10000,Evaluations!$G$3:$G$10000,$A210)/C210,2))</f>
        <v/>
      </c>
      <c r="E210" s="10" t="str">
        <f>IF($A210="","",COUNTIFS(Evaluations!$G$3:$G$10000,$A210,Evaluations!$M$3:$M$10000,"پاسخ داده شده"))</f>
        <v/>
      </c>
      <c r="F210" s="10" t="str">
        <f>IF($A210="","",IFERROR(COUNTIFS(Evaluations!$G$3:$G$10000,$A210,Evaluations!$O$3:$O$10000,"رعایت شده")/(COUNTIFS(Evaluations!$G$3:$G$10000,$A210,Evaluations!$O$3:$O$10000,"رعایت شده")+COUNTIFS(Evaluations!$G$3:$G$10000,$A210,Evaluations!$O$3:$O$10000,"رعایت نشده")),""))</f>
        <v/>
      </c>
      <c r="G210" s="10" t="str">
        <f>IF($A210="","",IFERROR(ROUND(100*COUNTIFS(Evaluations!$G$3:$G$10000,$A210,Evaluations!$Q$3:$Q$10000,1)/(COUNTIFS(Evaluations!$G$3:$G$10000,$A210,Evaluations!$Q$3:$Q$10000,1)+COUNTIFS(Evaluations!$G$3:$G$10000,$A210,Evaluations!$Q$3:$Q$10000,0)),2),""))</f>
        <v/>
      </c>
      <c r="H210" s="10" t="str">
        <f>IF($A210="","",IFERROR(ROUND(100*COUNTIFS(Evaluations!$G$3:$G$10000,$A210,Evaluations!$R$3:$R$10000,1)/(COUNTIFS(Evaluations!$G$3:$G$10000,$A210,Evaluations!$R$3:$R$10000,1)+COUNTIFS(Evaluations!$G$3:$G$10000,$A210,Evaluations!$R$3:$R$10000,0)),2),""))</f>
        <v/>
      </c>
      <c r="I210" s="10" t="str">
        <f>IF($A210="","",IFERROR(ROUND(100*COUNTIFS(Evaluations!$G$3:$G$10000,$A210,Evaluations!$S$3:$S$10000,1)/(COUNTIFS(Evaluations!$G$3:$G$10000,$A210,Evaluations!$S$3:$S$10000,1)+COUNTIFS(Evaluations!$G$3:$G$10000,$A210,Evaluations!$S$3:$S$10000,0)),2),""))</f>
        <v/>
      </c>
      <c r="J210" s="10" t="str">
        <f>IF($A210="","",IFERROR(ROUND(100*COUNTIFS(Evaluations!$G$3:$G$10000,$A210,Evaluations!$T$3:$T$10000,1)/(COUNTIFS(Evaluations!$G$3:$G$10000,$A210,Evaluations!$T$3:$T$10000,1)+COUNTIFS(Evaluations!$G$3:$G$10000,$A210,Evaluations!$T$3:$T$10000,0)),2),""))</f>
        <v/>
      </c>
      <c r="K210" s="10" t="str">
        <f>IF($A210="","",COUNTIFS(Evaluations!$G$3:$G$10000,$A210,Evaluations!$M$3:$M$10000,"عدم پاسخ"))</f>
        <v/>
      </c>
      <c r="L210" s="10" t="str">
        <f>IF($A210="","",COUNTIFS(Evaluations!$G$3:$G$10000,$A210,Evaluations!$O$3:$O$10000,"رعایت نشده"))</f>
        <v/>
      </c>
    </row>
    <row r="211">
      <c r="A211" s="10"/>
      <c r="B211" s="10" t="str">
        <f t="array" ref="B211">_xlfn.XLOOKUP(A211,DATA!D:D,DATA!E:E,"")</f>
        <v/>
      </c>
      <c r="C211" s="10" t="str">
        <f>IF($A211="","",COUNTIFS(Evaluations!$G$3:$G$10000,$A211,Evaluations!$U$3:$U$10000,"&gt;=0",Evaluations!$U$3:$U$10000,"&lt;=100"))</f>
        <v/>
      </c>
      <c r="D211" s="10" t="str">
        <f>IF(OR($A211="",C211=0),"",ROUND(SUMIFS(Evaluations!$U$3:$U$10000,Evaluations!$G$3:$G$10000,$A211)/C211,2))</f>
        <v/>
      </c>
      <c r="E211" s="10" t="str">
        <f>IF($A211="","",COUNTIFS(Evaluations!$G$3:$G$10000,$A211,Evaluations!$M$3:$M$10000,"پاسخ داده شده"))</f>
        <v/>
      </c>
      <c r="F211" s="10" t="str">
        <f>IF($A211="","",IFERROR(COUNTIFS(Evaluations!$G$3:$G$10000,$A211,Evaluations!$O$3:$O$10000,"رعایت شده")/(COUNTIFS(Evaluations!$G$3:$G$10000,$A211,Evaluations!$O$3:$O$10000,"رعایت شده")+COUNTIFS(Evaluations!$G$3:$G$10000,$A211,Evaluations!$O$3:$O$10000,"رعایت نشده")),""))</f>
        <v/>
      </c>
      <c r="G211" s="10" t="str">
        <f>IF($A211="","",IFERROR(ROUND(100*COUNTIFS(Evaluations!$G$3:$G$10000,$A211,Evaluations!$Q$3:$Q$10000,1)/(COUNTIFS(Evaluations!$G$3:$G$10000,$A211,Evaluations!$Q$3:$Q$10000,1)+COUNTIFS(Evaluations!$G$3:$G$10000,$A211,Evaluations!$Q$3:$Q$10000,0)),2),""))</f>
        <v/>
      </c>
      <c r="H211" s="10" t="str">
        <f>IF($A211="","",IFERROR(ROUND(100*COUNTIFS(Evaluations!$G$3:$G$10000,$A211,Evaluations!$R$3:$R$10000,1)/(COUNTIFS(Evaluations!$G$3:$G$10000,$A211,Evaluations!$R$3:$R$10000,1)+COUNTIFS(Evaluations!$G$3:$G$10000,$A211,Evaluations!$R$3:$R$10000,0)),2),""))</f>
        <v/>
      </c>
      <c r="I211" s="10" t="str">
        <f>IF($A211="","",IFERROR(ROUND(100*COUNTIFS(Evaluations!$G$3:$G$10000,$A211,Evaluations!$S$3:$S$10000,1)/(COUNTIFS(Evaluations!$G$3:$G$10000,$A211,Evaluations!$S$3:$S$10000,1)+COUNTIFS(Evaluations!$G$3:$G$10000,$A211,Evaluations!$S$3:$S$10000,0)),2),""))</f>
        <v/>
      </c>
      <c r="J211" s="10" t="str">
        <f>IF($A211="","",IFERROR(ROUND(100*COUNTIFS(Evaluations!$G$3:$G$10000,$A211,Evaluations!$T$3:$T$10000,1)/(COUNTIFS(Evaluations!$G$3:$G$10000,$A211,Evaluations!$T$3:$T$10000,1)+COUNTIFS(Evaluations!$G$3:$G$10000,$A211,Evaluations!$T$3:$T$10000,0)),2),""))</f>
        <v/>
      </c>
      <c r="K211" s="10" t="str">
        <f>IF($A211="","",COUNTIFS(Evaluations!$G$3:$G$10000,$A211,Evaluations!$M$3:$M$10000,"عدم پاسخ"))</f>
        <v/>
      </c>
      <c r="L211" s="10" t="str">
        <f>IF($A211="","",COUNTIFS(Evaluations!$G$3:$G$10000,$A211,Evaluations!$O$3:$O$10000,"رعایت نشده"))</f>
        <v/>
      </c>
    </row>
    <row r="212">
      <c r="A212" s="10"/>
      <c r="B212" s="10" t="str">
        <f t="array" ref="B212">_xlfn.XLOOKUP(A212,DATA!D:D,DATA!E:E,"")</f>
        <v/>
      </c>
      <c r="C212" s="10" t="str">
        <f>IF($A212="","",COUNTIFS(Evaluations!$G$3:$G$10000,$A212,Evaluations!$U$3:$U$10000,"&gt;=0",Evaluations!$U$3:$U$10000,"&lt;=100"))</f>
        <v/>
      </c>
      <c r="D212" s="10" t="str">
        <f>IF(OR($A212="",C212=0),"",ROUND(SUMIFS(Evaluations!$U$3:$U$10000,Evaluations!$G$3:$G$10000,$A212)/C212,2))</f>
        <v/>
      </c>
      <c r="E212" s="10" t="str">
        <f>IF($A212="","",COUNTIFS(Evaluations!$G$3:$G$10000,$A212,Evaluations!$M$3:$M$10000,"پاسخ داده شده"))</f>
        <v/>
      </c>
      <c r="F212" s="10" t="str">
        <f>IF($A212="","",IFERROR(COUNTIFS(Evaluations!$G$3:$G$10000,$A212,Evaluations!$O$3:$O$10000,"رعایت شده")/(COUNTIFS(Evaluations!$G$3:$G$10000,$A212,Evaluations!$O$3:$O$10000,"رعایت شده")+COUNTIFS(Evaluations!$G$3:$G$10000,$A212,Evaluations!$O$3:$O$10000,"رعایت نشده")),""))</f>
        <v/>
      </c>
      <c r="G212" s="10" t="str">
        <f>IF($A212="","",IFERROR(ROUND(100*COUNTIFS(Evaluations!$G$3:$G$10000,$A212,Evaluations!$Q$3:$Q$10000,1)/(COUNTIFS(Evaluations!$G$3:$G$10000,$A212,Evaluations!$Q$3:$Q$10000,1)+COUNTIFS(Evaluations!$G$3:$G$10000,$A212,Evaluations!$Q$3:$Q$10000,0)),2),""))</f>
        <v/>
      </c>
      <c r="H212" s="10" t="str">
        <f>IF($A212="","",IFERROR(ROUND(100*COUNTIFS(Evaluations!$G$3:$G$10000,$A212,Evaluations!$R$3:$R$10000,1)/(COUNTIFS(Evaluations!$G$3:$G$10000,$A212,Evaluations!$R$3:$R$10000,1)+COUNTIFS(Evaluations!$G$3:$G$10000,$A212,Evaluations!$R$3:$R$10000,0)),2),""))</f>
        <v/>
      </c>
      <c r="I212" s="10" t="str">
        <f>IF($A212="","",IFERROR(ROUND(100*COUNTIFS(Evaluations!$G$3:$G$10000,$A212,Evaluations!$S$3:$S$10000,1)/(COUNTIFS(Evaluations!$G$3:$G$10000,$A212,Evaluations!$S$3:$S$10000,1)+COUNTIFS(Evaluations!$G$3:$G$10000,$A212,Evaluations!$S$3:$S$10000,0)),2),""))</f>
        <v/>
      </c>
      <c r="J212" s="10" t="str">
        <f>IF($A212="","",IFERROR(ROUND(100*COUNTIFS(Evaluations!$G$3:$G$10000,$A212,Evaluations!$T$3:$T$10000,1)/(COUNTIFS(Evaluations!$G$3:$G$10000,$A212,Evaluations!$T$3:$T$10000,1)+COUNTIFS(Evaluations!$G$3:$G$10000,$A212,Evaluations!$T$3:$T$10000,0)),2),""))</f>
        <v/>
      </c>
      <c r="K212" s="10" t="str">
        <f>IF($A212="","",COUNTIFS(Evaluations!$G$3:$G$10000,$A212,Evaluations!$M$3:$M$10000,"عدم پاسخ"))</f>
        <v/>
      </c>
      <c r="L212" s="10" t="str">
        <f>IF($A212="","",COUNTIFS(Evaluations!$G$3:$G$10000,$A212,Evaluations!$O$3:$O$10000,"رعایت نشده"))</f>
        <v/>
      </c>
    </row>
    <row r="213">
      <c r="A213" s="10"/>
      <c r="B213" s="10" t="str">
        <f t="array" ref="B213">_xlfn.XLOOKUP(A213,DATA!D:D,DATA!E:E,"")</f>
        <v/>
      </c>
      <c r="C213" s="10" t="str">
        <f>IF($A213="","",COUNTIFS(Evaluations!$G$3:$G$10000,$A213,Evaluations!$U$3:$U$10000,"&gt;=0",Evaluations!$U$3:$U$10000,"&lt;=100"))</f>
        <v/>
      </c>
      <c r="D213" s="10" t="str">
        <f>IF(OR($A213="",C213=0),"",ROUND(SUMIFS(Evaluations!$U$3:$U$10000,Evaluations!$G$3:$G$10000,$A213)/C213,2))</f>
        <v/>
      </c>
      <c r="E213" s="10" t="str">
        <f>IF($A213="","",COUNTIFS(Evaluations!$G$3:$G$10000,$A213,Evaluations!$M$3:$M$10000,"پاسخ داده شده"))</f>
        <v/>
      </c>
      <c r="F213" s="10" t="str">
        <f>IF($A213="","",IFERROR(COUNTIFS(Evaluations!$G$3:$G$10000,$A213,Evaluations!$O$3:$O$10000,"رعایت شده")/(COUNTIFS(Evaluations!$G$3:$G$10000,$A213,Evaluations!$O$3:$O$10000,"رعایت شده")+COUNTIFS(Evaluations!$G$3:$G$10000,$A213,Evaluations!$O$3:$O$10000,"رعایت نشده")),""))</f>
        <v/>
      </c>
      <c r="G213" s="10" t="str">
        <f>IF($A213="","",IFERROR(ROUND(100*COUNTIFS(Evaluations!$G$3:$G$10000,$A213,Evaluations!$Q$3:$Q$10000,1)/(COUNTIFS(Evaluations!$G$3:$G$10000,$A213,Evaluations!$Q$3:$Q$10000,1)+COUNTIFS(Evaluations!$G$3:$G$10000,$A213,Evaluations!$Q$3:$Q$10000,0)),2),""))</f>
        <v/>
      </c>
      <c r="H213" s="10" t="str">
        <f>IF($A213="","",IFERROR(ROUND(100*COUNTIFS(Evaluations!$G$3:$G$10000,$A213,Evaluations!$R$3:$R$10000,1)/(COUNTIFS(Evaluations!$G$3:$G$10000,$A213,Evaluations!$R$3:$R$10000,1)+COUNTIFS(Evaluations!$G$3:$G$10000,$A213,Evaluations!$R$3:$R$10000,0)),2),""))</f>
        <v/>
      </c>
      <c r="I213" s="10" t="str">
        <f>IF($A213="","",IFERROR(ROUND(100*COUNTIFS(Evaluations!$G$3:$G$10000,$A213,Evaluations!$S$3:$S$10000,1)/(COUNTIFS(Evaluations!$G$3:$G$10000,$A213,Evaluations!$S$3:$S$10000,1)+COUNTIFS(Evaluations!$G$3:$G$10000,$A213,Evaluations!$S$3:$S$10000,0)),2),""))</f>
        <v/>
      </c>
      <c r="J213" s="10" t="str">
        <f>IF($A213="","",IFERROR(ROUND(100*COUNTIFS(Evaluations!$G$3:$G$10000,$A213,Evaluations!$T$3:$T$10000,1)/(COUNTIFS(Evaluations!$G$3:$G$10000,$A213,Evaluations!$T$3:$T$10000,1)+COUNTIFS(Evaluations!$G$3:$G$10000,$A213,Evaluations!$T$3:$T$10000,0)),2),""))</f>
        <v/>
      </c>
      <c r="K213" s="10" t="str">
        <f>IF($A213="","",COUNTIFS(Evaluations!$G$3:$G$10000,$A213,Evaluations!$M$3:$M$10000,"عدم پاسخ"))</f>
        <v/>
      </c>
      <c r="L213" s="10" t="str">
        <f>IF($A213="","",COUNTIFS(Evaluations!$G$3:$G$10000,$A213,Evaluations!$O$3:$O$10000,"رعایت نشده"))</f>
        <v/>
      </c>
    </row>
    <row r="214">
      <c r="A214" s="10"/>
      <c r="B214" s="10" t="str">
        <f t="array" ref="B214">_xlfn.XLOOKUP(A214,DATA!D:D,DATA!E:E,"")</f>
        <v/>
      </c>
      <c r="C214" s="10" t="str">
        <f>IF($A214="","",COUNTIFS(Evaluations!$G$3:$G$10000,$A214,Evaluations!$U$3:$U$10000,"&gt;=0",Evaluations!$U$3:$U$10000,"&lt;=100"))</f>
        <v/>
      </c>
      <c r="D214" s="10" t="str">
        <f>IF(OR($A214="",C214=0),"",ROUND(SUMIFS(Evaluations!$U$3:$U$10000,Evaluations!$G$3:$G$10000,$A214)/C214,2))</f>
        <v/>
      </c>
      <c r="E214" s="10" t="str">
        <f>IF($A214="","",COUNTIFS(Evaluations!$G$3:$G$10000,$A214,Evaluations!$M$3:$M$10000,"پاسخ داده شده"))</f>
        <v/>
      </c>
      <c r="F214" s="10" t="str">
        <f>IF($A214="","",IFERROR(COUNTIFS(Evaluations!$G$3:$G$10000,$A214,Evaluations!$O$3:$O$10000,"رعایت شده")/(COUNTIFS(Evaluations!$G$3:$G$10000,$A214,Evaluations!$O$3:$O$10000,"رعایت شده")+COUNTIFS(Evaluations!$G$3:$G$10000,$A214,Evaluations!$O$3:$O$10000,"رعایت نشده")),""))</f>
        <v/>
      </c>
      <c r="G214" s="10" t="str">
        <f>IF($A214="","",IFERROR(ROUND(100*COUNTIFS(Evaluations!$G$3:$G$10000,$A214,Evaluations!$Q$3:$Q$10000,1)/(COUNTIFS(Evaluations!$G$3:$G$10000,$A214,Evaluations!$Q$3:$Q$10000,1)+COUNTIFS(Evaluations!$G$3:$G$10000,$A214,Evaluations!$Q$3:$Q$10000,0)),2),""))</f>
        <v/>
      </c>
      <c r="H214" s="10" t="str">
        <f>IF($A214="","",IFERROR(ROUND(100*COUNTIFS(Evaluations!$G$3:$G$10000,$A214,Evaluations!$R$3:$R$10000,1)/(COUNTIFS(Evaluations!$G$3:$G$10000,$A214,Evaluations!$R$3:$R$10000,1)+COUNTIFS(Evaluations!$G$3:$G$10000,$A214,Evaluations!$R$3:$R$10000,0)),2),""))</f>
        <v/>
      </c>
      <c r="I214" s="10" t="str">
        <f>IF($A214="","",IFERROR(ROUND(100*COUNTIFS(Evaluations!$G$3:$G$10000,$A214,Evaluations!$S$3:$S$10000,1)/(COUNTIFS(Evaluations!$G$3:$G$10000,$A214,Evaluations!$S$3:$S$10000,1)+COUNTIFS(Evaluations!$G$3:$G$10000,$A214,Evaluations!$S$3:$S$10000,0)),2),""))</f>
        <v/>
      </c>
      <c r="J214" s="10" t="str">
        <f>IF($A214="","",IFERROR(ROUND(100*COUNTIFS(Evaluations!$G$3:$G$10000,$A214,Evaluations!$T$3:$T$10000,1)/(COUNTIFS(Evaluations!$G$3:$G$10000,$A214,Evaluations!$T$3:$T$10000,1)+COUNTIFS(Evaluations!$G$3:$G$10000,$A214,Evaluations!$T$3:$T$10000,0)),2),""))</f>
        <v/>
      </c>
      <c r="K214" s="10" t="str">
        <f>IF($A214="","",COUNTIFS(Evaluations!$G$3:$G$10000,$A214,Evaluations!$M$3:$M$10000,"عدم پاسخ"))</f>
        <v/>
      </c>
      <c r="L214" s="10" t="str">
        <f>IF($A214="","",COUNTIFS(Evaluations!$G$3:$G$10000,$A214,Evaluations!$O$3:$O$10000,"رعایت نشده"))</f>
        <v/>
      </c>
    </row>
    <row r="215">
      <c r="A215" s="10"/>
      <c r="B215" s="10" t="str">
        <f t="array" ref="B215">_xlfn.XLOOKUP(A215,DATA!D:D,DATA!E:E,"")</f>
        <v/>
      </c>
      <c r="C215" s="10" t="str">
        <f>IF($A215="","",COUNTIFS(Evaluations!$G$3:$G$10000,$A215,Evaluations!$U$3:$U$10000,"&gt;=0",Evaluations!$U$3:$U$10000,"&lt;=100"))</f>
        <v/>
      </c>
      <c r="D215" s="10" t="str">
        <f>IF(OR($A215="",C215=0),"",ROUND(SUMIFS(Evaluations!$U$3:$U$10000,Evaluations!$G$3:$G$10000,$A215)/C215,2))</f>
        <v/>
      </c>
      <c r="E215" s="10" t="str">
        <f>IF($A215="","",COUNTIFS(Evaluations!$G$3:$G$10000,$A215,Evaluations!$M$3:$M$10000,"پاسخ داده شده"))</f>
        <v/>
      </c>
      <c r="F215" s="10" t="str">
        <f>IF($A215="","",IFERROR(COUNTIFS(Evaluations!$G$3:$G$10000,$A215,Evaluations!$O$3:$O$10000,"رعایت شده")/(COUNTIFS(Evaluations!$G$3:$G$10000,$A215,Evaluations!$O$3:$O$10000,"رعایت شده")+COUNTIFS(Evaluations!$G$3:$G$10000,$A215,Evaluations!$O$3:$O$10000,"رعایت نشده")),""))</f>
        <v/>
      </c>
      <c r="G215" s="10" t="str">
        <f>IF($A215="","",IFERROR(ROUND(100*COUNTIFS(Evaluations!$G$3:$G$10000,$A215,Evaluations!$Q$3:$Q$10000,1)/(COUNTIFS(Evaluations!$G$3:$G$10000,$A215,Evaluations!$Q$3:$Q$10000,1)+COUNTIFS(Evaluations!$G$3:$G$10000,$A215,Evaluations!$Q$3:$Q$10000,0)),2),""))</f>
        <v/>
      </c>
      <c r="H215" s="10" t="str">
        <f>IF($A215="","",IFERROR(ROUND(100*COUNTIFS(Evaluations!$G$3:$G$10000,$A215,Evaluations!$R$3:$R$10000,1)/(COUNTIFS(Evaluations!$G$3:$G$10000,$A215,Evaluations!$R$3:$R$10000,1)+COUNTIFS(Evaluations!$G$3:$G$10000,$A215,Evaluations!$R$3:$R$10000,0)),2),""))</f>
        <v/>
      </c>
      <c r="I215" s="10" t="str">
        <f>IF($A215="","",IFERROR(ROUND(100*COUNTIFS(Evaluations!$G$3:$G$10000,$A215,Evaluations!$S$3:$S$10000,1)/(COUNTIFS(Evaluations!$G$3:$G$10000,$A215,Evaluations!$S$3:$S$10000,1)+COUNTIFS(Evaluations!$G$3:$G$10000,$A215,Evaluations!$S$3:$S$10000,0)),2),""))</f>
        <v/>
      </c>
      <c r="J215" s="10" t="str">
        <f>IF($A215="","",IFERROR(ROUND(100*COUNTIFS(Evaluations!$G$3:$G$10000,$A215,Evaluations!$T$3:$T$10000,1)/(COUNTIFS(Evaluations!$G$3:$G$10000,$A215,Evaluations!$T$3:$T$10000,1)+COUNTIFS(Evaluations!$G$3:$G$10000,$A215,Evaluations!$T$3:$T$10000,0)),2),""))</f>
        <v/>
      </c>
      <c r="K215" s="10" t="str">
        <f>IF($A215="","",COUNTIFS(Evaluations!$G$3:$G$10000,$A215,Evaluations!$M$3:$M$10000,"عدم پاسخ"))</f>
        <v/>
      </c>
      <c r="L215" s="10" t="str">
        <f>IF($A215="","",COUNTIFS(Evaluations!$G$3:$G$10000,$A215,Evaluations!$O$3:$O$10000,"رعایت نشده"))</f>
        <v/>
      </c>
    </row>
    <row r="216">
      <c r="A216" s="10"/>
      <c r="B216" s="10" t="str">
        <f t="array" ref="B216">_xlfn.XLOOKUP(A216,DATA!D:D,DATA!E:E,"")</f>
        <v/>
      </c>
      <c r="C216" s="10" t="str">
        <f>IF($A216="","",COUNTIFS(Evaluations!$G$3:$G$10000,$A216,Evaluations!$U$3:$U$10000,"&gt;=0",Evaluations!$U$3:$U$10000,"&lt;=100"))</f>
        <v/>
      </c>
      <c r="D216" s="10" t="str">
        <f>IF(OR($A216="",C216=0),"",ROUND(SUMIFS(Evaluations!$U$3:$U$10000,Evaluations!$G$3:$G$10000,$A216)/C216,2))</f>
        <v/>
      </c>
      <c r="E216" s="10" t="str">
        <f>IF($A216="","",COUNTIFS(Evaluations!$G$3:$G$10000,$A216,Evaluations!$M$3:$M$10000,"پاسخ داده شده"))</f>
        <v/>
      </c>
      <c r="F216" s="10" t="str">
        <f>IF($A216="","",IFERROR(COUNTIFS(Evaluations!$G$3:$G$10000,$A216,Evaluations!$O$3:$O$10000,"رعایت شده")/(COUNTIFS(Evaluations!$G$3:$G$10000,$A216,Evaluations!$O$3:$O$10000,"رعایت شده")+COUNTIFS(Evaluations!$G$3:$G$10000,$A216,Evaluations!$O$3:$O$10000,"رعایت نشده")),""))</f>
        <v/>
      </c>
      <c r="G216" s="10" t="str">
        <f>IF($A216="","",IFERROR(ROUND(100*COUNTIFS(Evaluations!$G$3:$G$10000,$A216,Evaluations!$Q$3:$Q$10000,1)/(COUNTIFS(Evaluations!$G$3:$G$10000,$A216,Evaluations!$Q$3:$Q$10000,1)+COUNTIFS(Evaluations!$G$3:$G$10000,$A216,Evaluations!$Q$3:$Q$10000,0)),2),""))</f>
        <v/>
      </c>
      <c r="H216" s="10" t="str">
        <f>IF($A216="","",IFERROR(ROUND(100*COUNTIFS(Evaluations!$G$3:$G$10000,$A216,Evaluations!$R$3:$R$10000,1)/(COUNTIFS(Evaluations!$G$3:$G$10000,$A216,Evaluations!$R$3:$R$10000,1)+COUNTIFS(Evaluations!$G$3:$G$10000,$A216,Evaluations!$R$3:$R$10000,0)),2),""))</f>
        <v/>
      </c>
      <c r="I216" s="10" t="str">
        <f>IF($A216="","",IFERROR(ROUND(100*COUNTIFS(Evaluations!$G$3:$G$10000,$A216,Evaluations!$S$3:$S$10000,1)/(COUNTIFS(Evaluations!$G$3:$G$10000,$A216,Evaluations!$S$3:$S$10000,1)+COUNTIFS(Evaluations!$G$3:$G$10000,$A216,Evaluations!$S$3:$S$10000,0)),2),""))</f>
        <v/>
      </c>
      <c r="J216" s="10" t="str">
        <f>IF($A216="","",IFERROR(ROUND(100*COUNTIFS(Evaluations!$G$3:$G$10000,$A216,Evaluations!$T$3:$T$10000,1)/(COUNTIFS(Evaluations!$G$3:$G$10000,$A216,Evaluations!$T$3:$T$10000,1)+COUNTIFS(Evaluations!$G$3:$G$10000,$A216,Evaluations!$T$3:$T$10000,0)),2),""))</f>
        <v/>
      </c>
      <c r="K216" s="10" t="str">
        <f>IF($A216="","",COUNTIFS(Evaluations!$G$3:$G$10000,$A216,Evaluations!$M$3:$M$10000,"عدم پاسخ"))</f>
        <v/>
      </c>
      <c r="L216" s="10" t="str">
        <f>IF($A216="","",COUNTIFS(Evaluations!$G$3:$G$10000,$A216,Evaluations!$O$3:$O$10000,"رعایت نشده"))</f>
        <v/>
      </c>
    </row>
    <row r="217">
      <c r="A217" s="10"/>
      <c r="B217" s="10" t="str">
        <f t="array" ref="B217">_xlfn.XLOOKUP(A217,DATA!D:D,DATA!E:E,"")</f>
        <v/>
      </c>
      <c r="C217" s="10" t="str">
        <f>IF($A217="","",COUNTIFS(Evaluations!$G$3:$G$10000,$A217,Evaluations!$U$3:$U$10000,"&gt;=0",Evaluations!$U$3:$U$10000,"&lt;=100"))</f>
        <v/>
      </c>
      <c r="D217" s="10" t="str">
        <f>IF(OR($A217="",C217=0),"",ROUND(SUMIFS(Evaluations!$U$3:$U$10000,Evaluations!$G$3:$G$10000,$A217)/C217,2))</f>
        <v/>
      </c>
      <c r="E217" s="10" t="str">
        <f>IF($A217="","",COUNTIFS(Evaluations!$G$3:$G$10000,$A217,Evaluations!$M$3:$M$10000,"پاسخ داده شده"))</f>
        <v/>
      </c>
      <c r="F217" s="10" t="str">
        <f>IF($A217="","",IFERROR(COUNTIFS(Evaluations!$G$3:$G$10000,$A217,Evaluations!$O$3:$O$10000,"رعایت شده")/(COUNTIFS(Evaluations!$G$3:$G$10000,$A217,Evaluations!$O$3:$O$10000,"رعایت شده")+COUNTIFS(Evaluations!$G$3:$G$10000,$A217,Evaluations!$O$3:$O$10000,"رعایت نشده")),""))</f>
        <v/>
      </c>
      <c r="G217" s="10" t="str">
        <f>IF($A217="","",IFERROR(ROUND(100*COUNTIFS(Evaluations!$G$3:$G$10000,$A217,Evaluations!$Q$3:$Q$10000,1)/(COUNTIFS(Evaluations!$G$3:$G$10000,$A217,Evaluations!$Q$3:$Q$10000,1)+COUNTIFS(Evaluations!$G$3:$G$10000,$A217,Evaluations!$Q$3:$Q$10000,0)),2),""))</f>
        <v/>
      </c>
      <c r="H217" s="10" t="str">
        <f>IF($A217="","",IFERROR(ROUND(100*COUNTIFS(Evaluations!$G$3:$G$10000,$A217,Evaluations!$R$3:$R$10000,1)/(COUNTIFS(Evaluations!$G$3:$G$10000,$A217,Evaluations!$R$3:$R$10000,1)+COUNTIFS(Evaluations!$G$3:$G$10000,$A217,Evaluations!$R$3:$R$10000,0)),2),""))</f>
        <v/>
      </c>
      <c r="I217" s="10" t="str">
        <f>IF($A217="","",IFERROR(ROUND(100*COUNTIFS(Evaluations!$G$3:$G$10000,$A217,Evaluations!$S$3:$S$10000,1)/(COUNTIFS(Evaluations!$G$3:$G$10000,$A217,Evaluations!$S$3:$S$10000,1)+COUNTIFS(Evaluations!$G$3:$G$10000,$A217,Evaluations!$S$3:$S$10000,0)),2),""))</f>
        <v/>
      </c>
      <c r="J217" s="10" t="str">
        <f>IF($A217="","",IFERROR(ROUND(100*COUNTIFS(Evaluations!$G$3:$G$10000,$A217,Evaluations!$T$3:$T$10000,1)/(COUNTIFS(Evaluations!$G$3:$G$10000,$A217,Evaluations!$T$3:$T$10000,1)+COUNTIFS(Evaluations!$G$3:$G$10000,$A217,Evaluations!$T$3:$T$10000,0)),2),""))</f>
        <v/>
      </c>
      <c r="K217" s="10" t="str">
        <f>IF($A217="","",COUNTIFS(Evaluations!$G$3:$G$10000,$A217,Evaluations!$M$3:$M$10000,"عدم پاسخ"))</f>
        <v/>
      </c>
      <c r="L217" s="10" t="str">
        <f>IF($A217="","",COUNTIFS(Evaluations!$G$3:$G$10000,$A217,Evaluations!$O$3:$O$10000,"رعایت نشده"))</f>
        <v/>
      </c>
    </row>
    <row r="218">
      <c r="A218" s="10"/>
      <c r="B218" s="10" t="str">
        <f t="array" ref="B218">_xlfn.XLOOKUP(A218,DATA!D:D,DATA!E:E,"")</f>
        <v/>
      </c>
      <c r="C218" s="10" t="str">
        <f>IF($A218="","",COUNTIFS(Evaluations!$G$3:$G$10000,$A218,Evaluations!$U$3:$U$10000,"&gt;=0",Evaluations!$U$3:$U$10000,"&lt;=100"))</f>
        <v/>
      </c>
      <c r="D218" s="10" t="str">
        <f>IF(OR($A218="",C218=0),"",ROUND(SUMIFS(Evaluations!$U$3:$U$10000,Evaluations!$G$3:$G$10000,$A218)/C218,2))</f>
        <v/>
      </c>
      <c r="E218" s="10" t="str">
        <f>IF($A218="","",COUNTIFS(Evaluations!$G$3:$G$10000,$A218,Evaluations!$M$3:$M$10000,"پاسخ داده شده"))</f>
        <v/>
      </c>
      <c r="F218" s="10" t="str">
        <f>IF($A218="","",IFERROR(COUNTIFS(Evaluations!$G$3:$G$10000,$A218,Evaluations!$O$3:$O$10000,"رعایت شده")/(COUNTIFS(Evaluations!$G$3:$G$10000,$A218,Evaluations!$O$3:$O$10000,"رعایت شده")+COUNTIFS(Evaluations!$G$3:$G$10000,$A218,Evaluations!$O$3:$O$10000,"رعایت نشده")),""))</f>
        <v/>
      </c>
      <c r="G218" s="10" t="str">
        <f>IF($A218="","",IFERROR(ROUND(100*COUNTIFS(Evaluations!$G$3:$G$10000,$A218,Evaluations!$Q$3:$Q$10000,1)/(COUNTIFS(Evaluations!$G$3:$G$10000,$A218,Evaluations!$Q$3:$Q$10000,1)+COUNTIFS(Evaluations!$G$3:$G$10000,$A218,Evaluations!$Q$3:$Q$10000,0)),2),""))</f>
        <v/>
      </c>
      <c r="H218" s="10" t="str">
        <f>IF($A218="","",IFERROR(ROUND(100*COUNTIFS(Evaluations!$G$3:$G$10000,$A218,Evaluations!$R$3:$R$10000,1)/(COUNTIFS(Evaluations!$G$3:$G$10000,$A218,Evaluations!$R$3:$R$10000,1)+COUNTIFS(Evaluations!$G$3:$G$10000,$A218,Evaluations!$R$3:$R$10000,0)),2),""))</f>
        <v/>
      </c>
      <c r="I218" s="10" t="str">
        <f>IF($A218="","",IFERROR(ROUND(100*COUNTIFS(Evaluations!$G$3:$G$10000,$A218,Evaluations!$S$3:$S$10000,1)/(COUNTIFS(Evaluations!$G$3:$G$10000,$A218,Evaluations!$S$3:$S$10000,1)+COUNTIFS(Evaluations!$G$3:$G$10000,$A218,Evaluations!$S$3:$S$10000,0)),2),""))</f>
        <v/>
      </c>
      <c r="J218" s="10" t="str">
        <f>IF($A218="","",IFERROR(ROUND(100*COUNTIFS(Evaluations!$G$3:$G$10000,$A218,Evaluations!$T$3:$T$10000,1)/(COUNTIFS(Evaluations!$G$3:$G$10000,$A218,Evaluations!$T$3:$T$10000,1)+COUNTIFS(Evaluations!$G$3:$G$10000,$A218,Evaluations!$T$3:$T$10000,0)),2),""))</f>
        <v/>
      </c>
      <c r="K218" s="10" t="str">
        <f>IF($A218="","",COUNTIFS(Evaluations!$G$3:$G$10000,$A218,Evaluations!$M$3:$M$10000,"عدم پاسخ"))</f>
        <v/>
      </c>
      <c r="L218" s="10" t="str">
        <f>IF($A218="","",COUNTIFS(Evaluations!$G$3:$G$10000,$A218,Evaluations!$O$3:$O$10000,"رعایت نشده"))</f>
        <v/>
      </c>
    </row>
    <row r="219">
      <c r="A219" s="10"/>
      <c r="B219" s="10" t="str">
        <f t="array" ref="B219">_xlfn.XLOOKUP(A219,DATA!D:D,DATA!E:E,"")</f>
        <v/>
      </c>
      <c r="C219" s="10" t="str">
        <f>IF($A219="","",COUNTIFS(Evaluations!$G$3:$G$10000,$A219,Evaluations!$U$3:$U$10000,"&gt;=0",Evaluations!$U$3:$U$10000,"&lt;=100"))</f>
        <v/>
      </c>
      <c r="D219" s="10" t="str">
        <f>IF(OR($A219="",C219=0),"",ROUND(SUMIFS(Evaluations!$U$3:$U$10000,Evaluations!$G$3:$G$10000,$A219)/C219,2))</f>
        <v/>
      </c>
      <c r="E219" s="10" t="str">
        <f>IF($A219="","",COUNTIFS(Evaluations!$G$3:$G$10000,$A219,Evaluations!$M$3:$M$10000,"پاسخ داده شده"))</f>
        <v/>
      </c>
      <c r="F219" s="10" t="str">
        <f>IF($A219="","",IFERROR(COUNTIFS(Evaluations!$G$3:$G$10000,$A219,Evaluations!$O$3:$O$10000,"رعایت شده")/(COUNTIFS(Evaluations!$G$3:$G$10000,$A219,Evaluations!$O$3:$O$10000,"رعایت شده")+COUNTIFS(Evaluations!$G$3:$G$10000,$A219,Evaluations!$O$3:$O$10000,"رعایت نشده")),""))</f>
        <v/>
      </c>
      <c r="G219" s="10" t="str">
        <f>IF($A219="","",IFERROR(ROUND(100*COUNTIFS(Evaluations!$G$3:$G$10000,$A219,Evaluations!$Q$3:$Q$10000,1)/(COUNTIFS(Evaluations!$G$3:$G$10000,$A219,Evaluations!$Q$3:$Q$10000,1)+COUNTIFS(Evaluations!$G$3:$G$10000,$A219,Evaluations!$Q$3:$Q$10000,0)),2),""))</f>
        <v/>
      </c>
      <c r="H219" s="10" t="str">
        <f>IF($A219="","",IFERROR(ROUND(100*COUNTIFS(Evaluations!$G$3:$G$10000,$A219,Evaluations!$R$3:$R$10000,1)/(COUNTIFS(Evaluations!$G$3:$G$10000,$A219,Evaluations!$R$3:$R$10000,1)+COUNTIFS(Evaluations!$G$3:$G$10000,$A219,Evaluations!$R$3:$R$10000,0)),2),""))</f>
        <v/>
      </c>
      <c r="I219" s="10" t="str">
        <f>IF($A219="","",IFERROR(ROUND(100*COUNTIFS(Evaluations!$G$3:$G$10000,$A219,Evaluations!$S$3:$S$10000,1)/(COUNTIFS(Evaluations!$G$3:$G$10000,$A219,Evaluations!$S$3:$S$10000,1)+COUNTIFS(Evaluations!$G$3:$G$10000,$A219,Evaluations!$S$3:$S$10000,0)),2),""))</f>
        <v/>
      </c>
      <c r="J219" s="10" t="str">
        <f>IF($A219="","",IFERROR(ROUND(100*COUNTIFS(Evaluations!$G$3:$G$10000,$A219,Evaluations!$T$3:$T$10000,1)/(COUNTIFS(Evaluations!$G$3:$G$10000,$A219,Evaluations!$T$3:$T$10000,1)+COUNTIFS(Evaluations!$G$3:$G$10000,$A219,Evaluations!$T$3:$T$10000,0)),2),""))</f>
        <v/>
      </c>
      <c r="K219" s="10" t="str">
        <f>IF($A219="","",COUNTIFS(Evaluations!$G$3:$G$10000,$A219,Evaluations!$M$3:$M$10000,"عدم پاسخ"))</f>
        <v/>
      </c>
      <c r="L219" s="10" t="str">
        <f>IF($A219="","",COUNTIFS(Evaluations!$G$3:$G$10000,$A219,Evaluations!$O$3:$O$10000,"رعایت نشده"))</f>
        <v/>
      </c>
    </row>
    <row r="220">
      <c r="A220" s="10"/>
      <c r="B220" s="10" t="str">
        <f t="array" ref="B220">_xlfn.XLOOKUP(A220,DATA!D:D,DATA!E:E,"")</f>
        <v/>
      </c>
      <c r="C220" s="10" t="str">
        <f>IF($A220="","",COUNTIFS(Evaluations!$G$3:$G$10000,$A220,Evaluations!$U$3:$U$10000,"&gt;=0",Evaluations!$U$3:$U$10000,"&lt;=100"))</f>
        <v/>
      </c>
      <c r="D220" s="10" t="str">
        <f>IF(OR($A220="",C220=0),"",ROUND(SUMIFS(Evaluations!$U$3:$U$10000,Evaluations!$G$3:$G$10000,$A220)/C220,2))</f>
        <v/>
      </c>
      <c r="E220" s="10" t="str">
        <f>IF($A220="","",COUNTIFS(Evaluations!$G$3:$G$10000,$A220,Evaluations!$M$3:$M$10000,"پاسخ داده شده"))</f>
        <v/>
      </c>
      <c r="F220" s="10" t="str">
        <f>IF($A220="","",IFERROR(COUNTIFS(Evaluations!$G$3:$G$10000,$A220,Evaluations!$O$3:$O$10000,"رعایت شده")/(COUNTIFS(Evaluations!$G$3:$G$10000,$A220,Evaluations!$O$3:$O$10000,"رعایت شده")+COUNTIFS(Evaluations!$G$3:$G$10000,$A220,Evaluations!$O$3:$O$10000,"رعایت نشده")),""))</f>
        <v/>
      </c>
      <c r="G220" s="10" t="str">
        <f>IF($A220="","",IFERROR(ROUND(100*COUNTIFS(Evaluations!$G$3:$G$10000,$A220,Evaluations!$Q$3:$Q$10000,1)/(COUNTIFS(Evaluations!$G$3:$G$10000,$A220,Evaluations!$Q$3:$Q$10000,1)+COUNTIFS(Evaluations!$G$3:$G$10000,$A220,Evaluations!$Q$3:$Q$10000,0)),2),""))</f>
        <v/>
      </c>
      <c r="H220" s="10" t="str">
        <f>IF($A220="","",IFERROR(ROUND(100*COUNTIFS(Evaluations!$G$3:$G$10000,$A220,Evaluations!$R$3:$R$10000,1)/(COUNTIFS(Evaluations!$G$3:$G$10000,$A220,Evaluations!$R$3:$R$10000,1)+COUNTIFS(Evaluations!$G$3:$G$10000,$A220,Evaluations!$R$3:$R$10000,0)),2),""))</f>
        <v/>
      </c>
      <c r="I220" s="10" t="str">
        <f>IF($A220="","",IFERROR(ROUND(100*COUNTIFS(Evaluations!$G$3:$G$10000,$A220,Evaluations!$S$3:$S$10000,1)/(COUNTIFS(Evaluations!$G$3:$G$10000,$A220,Evaluations!$S$3:$S$10000,1)+COUNTIFS(Evaluations!$G$3:$G$10000,$A220,Evaluations!$S$3:$S$10000,0)),2),""))</f>
        <v/>
      </c>
      <c r="J220" s="10" t="str">
        <f>IF($A220="","",IFERROR(ROUND(100*COUNTIFS(Evaluations!$G$3:$G$10000,$A220,Evaluations!$T$3:$T$10000,1)/(COUNTIFS(Evaluations!$G$3:$G$10000,$A220,Evaluations!$T$3:$T$10000,1)+COUNTIFS(Evaluations!$G$3:$G$10000,$A220,Evaluations!$T$3:$T$10000,0)),2),""))</f>
        <v/>
      </c>
      <c r="K220" s="10" t="str">
        <f>IF($A220="","",COUNTIFS(Evaluations!$G$3:$G$10000,$A220,Evaluations!$M$3:$M$10000,"عدم پاسخ"))</f>
        <v/>
      </c>
      <c r="L220" s="10" t="str">
        <f>IF($A220="","",COUNTIFS(Evaluations!$G$3:$G$10000,$A220,Evaluations!$O$3:$O$10000,"رعایت نشده"))</f>
        <v/>
      </c>
    </row>
    <row r="221">
      <c r="A221" s="10"/>
      <c r="B221" s="10" t="str">
        <f t="array" ref="B221">_xlfn.XLOOKUP(A221,DATA!D:D,DATA!E:E,"")</f>
        <v/>
      </c>
      <c r="C221" s="10" t="str">
        <f>IF($A221="","",COUNTIFS(Evaluations!$G$3:$G$10000,$A221,Evaluations!$U$3:$U$10000,"&gt;=0",Evaluations!$U$3:$U$10000,"&lt;=100"))</f>
        <v/>
      </c>
      <c r="D221" s="10" t="str">
        <f>IF(OR($A221="",C221=0),"",ROUND(SUMIFS(Evaluations!$U$3:$U$10000,Evaluations!$G$3:$G$10000,$A221)/C221,2))</f>
        <v/>
      </c>
      <c r="E221" s="10" t="str">
        <f>IF($A221="","",COUNTIFS(Evaluations!$G$3:$G$10000,$A221,Evaluations!$M$3:$M$10000,"پاسخ داده شده"))</f>
        <v/>
      </c>
      <c r="F221" s="10" t="str">
        <f>IF($A221="","",IFERROR(COUNTIFS(Evaluations!$G$3:$G$10000,$A221,Evaluations!$O$3:$O$10000,"رعایت شده")/(COUNTIFS(Evaluations!$G$3:$G$10000,$A221,Evaluations!$O$3:$O$10000,"رعایت شده")+COUNTIFS(Evaluations!$G$3:$G$10000,$A221,Evaluations!$O$3:$O$10000,"رعایت نشده")),""))</f>
        <v/>
      </c>
      <c r="G221" s="10" t="str">
        <f>IF($A221="","",IFERROR(ROUND(100*COUNTIFS(Evaluations!$G$3:$G$10000,$A221,Evaluations!$Q$3:$Q$10000,1)/(COUNTIFS(Evaluations!$G$3:$G$10000,$A221,Evaluations!$Q$3:$Q$10000,1)+COUNTIFS(Evaluations!$G$3:$G$10000,$A221,Evaluations!$Q$3:$Q$10000,0)),2),""))</f>
        <v/>
      </c>
      <c r="H221" s="10" t="str">
        <f>IF($A221="","",IFERROR(ROUND(100*COUNTIFS(Evaluations!$G$3:$G$10000,$A221,Evaluations!$R$3:$R$10000,1)/(COUNTIFS(Evaluations!$G$3:$G$10000,$A221,Evaluations!$R$3:$R$10000,1)+COUNTIFS(Evaluations!$G$3:$G$10000,$A221,Evaluations!$R$3:$R$10000,0)),2),""))</f>
        <v/>
      </c>
      <c r="I221" s="10" t="str">
        <f>IF($A221="","",IFERROR(ROUND(100*COUNTIFS(Evaluations!$G$3:$G$10000,$A221,Evaluations!$S$3:$S$10000,1)/(COUNTIFS(Evaluations!$G$3:$G$10000,$A221,Evaluations!$S$3:$S$10000,1)+COUNTIFS(Evaluations!$G$3:$G$10000,$A221,Evaluations!$S$3:$S$10000,0)),2),""))</f>
        <v/>
      </c>
      <c r="J221" s="10" t="str">
        <f>IF($A221="","",IFERROR(ROUND(100*COUNTIFS(Evaluations!$G$3:$G$10000,$A221,Evaluations!$T$3:$T$10000,1)/(COUNTIFS(Evaluations!$G$3:$G$10000,$A221,Evaluations!$T$3:$T$10000,1)+COUNTIFS(Evaluations!$G$3:$G$10000,$A221,Evaluations!$T$3:$T$10000,0)),2),""))</f>
        <v/>
      </c>
      <c r="K221" s="10" t="str">
        <f>IF($A221="","",COUNTIFS(Evaluations!$G$3:$G$10000,$A221,Evaluations!$M$3:$M$10000,"عدم پاسخ"))</f>
        <v/>
      </c>
      <c r="L221" s="10" t="str">
        <f>IF($A221="","",COUNTIFS(Evaluations!$G$3:$G$10000,$A221,Evaluations!$O$3:$O$10000,"رعایت نشده"))</f>
        <v/>
      </c>
    </row>
    <row r="222">
      <c r="A222" s="10"/>
      <c r="B222" s="10" t="str">
        <f t="array" ref="B222">_xlfn.XLOOKUP(A222,DATA!D:D,DATA!E:E,"")</f>
        <v/>
      </c>
      <c r="C222" s="10" t="str">
        <f>IF($A222="","",COUNTIFS(Evaluations!$G$3:$G$10000,$A222,Evaluations!$U$3:$U$10000,"&gt;=0",Evaluations!$U$3:$U$10000,"&lt;=100"))</f>
        <v/>
      </c>
      <c r="D222" s="10" t="str">
        <f>IF(OR($A222="",C222=0),"",ROUND(SUMIFS(Evaluations!$U$3:$U$10000,Evaluations!$G$3:$G$10000,$A222)/C222,2))</f>
        <v/>
      </c>
      <c r="E222" s="10" t="str">
        <f>IF($A222="","",COUNTIFS(Evaluations!$G$3:$G$10000,$A222,Evaluations!$M$3:$M$10000,"پاسخ داده شده"))</f>
        <v/>
      </c>
      <c r="F222" s="10" t="str">
        <f>IF($A222="","",IFERROR(COUNTIFS(Evaluations!$G$3:$G$10000,$A222,Evaluations!$O$3:$O$10000,"رعایت شده")/(COUNTIFS(Evaluations!$G$3:$G$10000,$A222,Evaluations!$O$3:$O$10000,"رعایت شده")+COUNTIFS(Evaluations!$G$3:$G$10000,$A222,Evaluations!$O$3:$O$10000,"رعایت نشده")),""))</f>
        <v/>
      </c>
      <c r="G222" s="10" t="str">
        <f>IF($A222="","",IFERROR(ROUND(100*COUNTIFS(Evaluations!$G$3:$G$10000,$A222,Evaluations!$Q$3:$Q$10000,1)/(COUNTIFS(Evaluations!$G$3:$G$10000,$A222,Evaluations!$Q$3:$Q$10000,1)+COUNTIFS(Evaluations!$G$3:$G$10000,$A222,Evaluations!$Q$3:$Q$10000,0)),2),""))</f>
        <v/>
      </c>
      <c r="H222" s="10" t="str">
        <f>IF($A222="","",IFERROR(ROUND(100*COUNTIFS(Evaluations!$G$3:$G$10000,$A222,Evaluations!$R$3:$R$10000,1)/(COUNTIFS(Evaluations!$G$3:$G$10000,$A222,Evaluations!$R$3:$R$10000,1)+COUNTIFS(Evaluations!$G$3:$G$10000,$A222,Evaluations!$R$3:$R$10000,0)),2),""))</f>
        <v/>
      </c>
      <c r="I222" s="10" t="str">
        <f>IF($A222="","",IFERROR(ROUND(100*COUNTIFS(Evaluations!$G$3:$G$10000,$A222,Evaluations!$S$3:$S$10000,1)/(COUNTIFS(Evaluations!$G$3:$G$10000,$A222,Evaluations!$S$3:$S$10000,1)+COUNTIFS(Evaluations!$G$3:$G$10000,$A222,Evaluations!$S$3:$S$10000,0)),2),""))</f>
        <v/>
      </c>
      <c r="J222" s="10" t="str">
        <f>IF($A222="","",IFERROR(ROUND(100*COUNTIFS(Evaluations!$G$3:$G$10000,$A222,Evaluations!$T$3:$T$10000,1)/(COUNTIFS(Evaluations!$G$3:$G$10000,$A222,Evaluations!$T$3:$T$10000,1)+COUNTIFS(Evaluations!$G$3:$G$10000,$A222,Evaluations!$T$3:$T$10000,0)),2),""))</f>
        <v/>
      </c>
      <c r="K222" s="10" t="str">
        <f>IF($A222="","",COUNTIFS(Evaluations!$G$3:$G$10000,$A222,Evaluations!$M$3:$M$10000,"عدم پاسخ"))</f>
        <v/>
      </c>
      <c r="L222" s="10" t="str">
        <f>IF($A222="","",COUNTIFS(Evaluations!$G$3:$G$10000,$A222,Evaluations!$O$3:$O$10000,"رعایت نشده"))</f>
        <v/>
      </c>
    </row>
    <row r="223">
      <c r="A223" s="10"/>
      <c r="B223" s="10" t="str">
        <f t="array" ref="B223">_xlfn.XLOOKUP(A223,DATA!D:D,DATA!E:E,"")</f>
        <v/>
      </c>
      <c r="C223" s="10" t="str">
        <f>IF($A223="","",COUNTIFS(Evaluations!$G$3:$G$10000,$A223,Evaluations!$U$3:$U$10000,"&gt;=0",Evaluations!$U$3:$U$10000,"&lt;=100"))</f>
        <v/>
      </c>
      <c r="D223" s="10" t="str">
        <f>IF(OR($A223="",C223=0),"",ROUND(SUMIFS(Evaluations!$U$3:$U$10000,Evaluations!$G$3:$G$10000,$A223)/C223,2))</f>
        <v/>
      </c>
      <c r="E223" s="10" t="str">
        <f>IF($A223="","",COUNTIFS(Evaluations!$G$3:$G$10000,$A223,Evaluations!$M$3:$M$10000,"پاسخ داده شده"))</f>
        <v/>
      </c>
      <c r="F223" s="10" t="str">
        <f>IF($A223="","",IFERROR(COUNTIFS(Evaluations!$G$3:$G$10000,$A223,Evaluations!$O$3:$O$10000,"رعایت شده")/(COUNTIFS(Evaluations!$G$3:$G$10000,$A223,Evaluations!$O$3:$O$10000,"رعایت شده")+COUNTIFS(Evaluations!$G$3:$G$10000,$A223,Evaluations!$O$3:$O$10000,"رعایت نشده")),""))</f>
        <v/>
      </c>
      <c r="G223" s="10" t="str">
        <f>IF($A223="","",IFERROR(ROUND(100*COUNTIFS(Evaluations!$G$3:$G$10000,$A223,Evaluations!$Q$3:$Q$10000,1)/(COUNTIFS(Evaluations!$G$3:$G$10000,$A223,Evaluations!$Q$3:$Q$10000,1)+COUNTIFS(Evaluations!$G$3:$G$10000,$A223,Evaluations!$Q$3:$Q$10000,0)),2),""))</f>
        <v/>
      </c>
      <c r="H223" s="10" t="str">
        <f>IF($A223="","",IFERROR(ROUND(100*COUNTIFS(Evaluations!$G$3:$G$10000,$A223,Evaluations!$R$3:$R$10000,1)/(COUNTIFS(Evaluations!$G$3:$G$10000,$A223,Evaluations!$R$3:$R$10000,1)+COUNTIFS(Evaluations!$G$3:$G$10000,$A223,Evaluations!$R$3:$R$10000,0)),2),""))</f>
        <v/>
      </c>
      <c r="I223" s="10" t="str">
        <f>IF($A223="","",IFERROR(ROUND(100*COUNTIFS(Evaluations!$G$3:$G$10000,$A223,Evaluations!$S$3:$S$10000,1)/(COUNTIFS(Evaluations!$G$3:$G$10000,$A223,Evaluations!$S$3:$S$10000,1)+COUNTIFS(Evaluations!$G$3:$G$10000,$A223,Evaluations!$S$3:$S$10000,0)),2),""))</f>
        <v/>
      </c>
      <c r="J223" s="10" t="str">
        <f>IF($A223="","",IFERROR(ROUND(100*COUNTIFS(Evaluations!$G$3:$G$10000,$A223,Evaluations!$T$3:$T$10000,1)/(COUNTIFS(Evaluations!$G$3:$G$10000,$A223,Evaluations!$T$3:$T$10000,1)+COUNTIFS(Evaluations!$G$3:$G$10000,$A223,Evaluations!$T$3:$T$10000,0)),2),""))</f>
        <v/>
      </c>
      <c r="K223" s="10" t="str">
        <f>IF($A223="","",COUNTIFS(Evaluations!$G$3:$G$10000,$A223,Evaluations!$M$3:$M$10000,"عدم پاسخ"))</f>
        <v/>
      </c>
      <c r="L223" s="10" t="str">
        <f>IF($A223="","",COUNTIFS(Evaluations!$G$3:$G$10000,$A223,Evaluations!$O$3:$O$10000,"رعایت نشده"))</f>
        <v/>
      </c>
    </row>
    <row r="224">
      <c r="A224" s="10"/>
      <c r="B224" s="10" t="str">
        <f t="array" ref="B224">_xlfn.XLOOKUP(A224,DATA!D:D,DATA!E:E,"")</f>
        <v/>
      </c>
      <c r="C224" s="10" t="str">
        <f>IF($A224="","",COUNTIFS(Evaluations!$G$3:$G$10000,$A224,Evaluations!$U$3:$U$10000,"&gt;=0",Evaluations!$U$3:$U$10000,"&lt;=100"))</f>
        <v/>
      </c>
      <c r="D224" s="10" t="str">
        <f>IF(OR($A224="",C224=0),"",ROUND(SUMIFS(Evaluations!$U$3:$U$10000,Evaluations!$G$3:$G$10000,$A224)/C224,2))</f>
        <v/>
      </c>
      <c r="E224" s="10" t="str">
        <f>IF($A224="","",COUNTIFS(Evaluations!$G$3:$G$10000,$A224,Evaluations!$M$3:$M$10000,"پاسخ داده شده"))</f>
        <v/>
      </c>
      <c r="F224" s="10" t="str">
        <f>IF($A224="","",IFERROR(COUNTIFS(Evaluations!$G$3:$G$10000,$A224,Evaluations!$O$3:$O$10000,"رعایت شده")/(COUNTIFS(Evaluations!$G$3:$G$10000,$A224,Evaluations!$O$3:$O$10000,"رعایت شده")+COUNTIFS(Evaluations!$G$3:$G$10000,$A224,Evaluations!$O$3:$O$10000,"رعایت نشده")),""))</f>
        <v/>
      </c>
      <c r="G224" s="10" t="str">
        <f>IF($A224="","",IFERROR(ROUND(100*COUNTIFS(Evaluations!$G$3:$G$10000,$A224,Evaluations!$Q$3:$Q$10000,1)/(COUNTIFS(Evaluations!$G$3:$G$10000,$A224,Evaluations!$Q$3:$Q$10000,1)+COUNTIFS(Evaluations!$G$3:$G$10000,$A224,Evaluations!$Q$3:$Q$10000,0)),2),""))</f>
        <v/>
      </c>
      <c r="H224" s="10" t="str">
        <f>IF($A224="","",IFERROR(ROUND(100*COUNTIFS(Evaluations!$G$3:$G$10000,$A224,Evaluations!$R$3:$R$10000,1)/(COUNTIFS(Evaluations!$G$3:$G$10000,$A224,Evaluations!$R$3:$R$10000,1)+COUNTIFS(Evaluations!$G$3:$G$10000,$A224,Evaluations!$R$3:$R$10000,0)),2),""))</f>
        <v/>
      </c>
      <c r="I224" s="10" t="str">
        <f>IF($A224="","",IFERROR(ROUND(100*COUNTIFS(Evaluations!$G$3:$G$10000,$A224,Evaluations!$S$3:$S$10000,1)/(COUNTIFS(Evaluations!$G$3:$G$10000,$A224,Evaluations!$S$3:$S$10000,1)+COUNTIFS(Evaluations!$G$3:$G$10000,$A224,Evaluations!$S$3:$S$10000,0)),2),""))</f>
        <v/>
      </c>
      <c r="J224" s="10" t="str">
        <f>IF($A224="","",IFERROR(ROUND(100*COUNTIFS(Evaluations!$G$3:$G$10000,$A224,Evaluations!$T$3:$T$10000,1)/(COUNTIFS(Evaluations!$G$3:$G$10000,$A224,Evaluations!$T$3:$T$10000,1)+COUNTIFS(Evaluations!$G$3:$G$10000,$A224,Evaluations!$T$3:$T$10000,0)),2),""))</f>
        <v/>
      </c>
      <c r="K224" s="10" t="str">
        <f>IF($A224="","",COUNTIFS(Evaluations!$G$3:$G$10000,$A224,Evaluations!$M$3:$M$10000,"عدم پاسخ"))</f>
        <v/>
      </c>
      <c r="L224" s="10" t="str">
        <f>IF($A224="","",COUNTIFS(Evaluations!$G$3:$G$10000,$A224,Evaluations!$O$3:$O$10000,"رعایت نشده"))</f>
        <v/>
      </c>
    </row>
    <row r="225">
      <c r="A225" s="10"/>
      <c r="B225" s="10" t="str">
        <f t="array" ref="B225">_xlfn.XLOOKUP(A225,DATA!D:D,DATA!E:E,"")</f>
        <v/>
      </c>
      <c r="C225" s="10" t="str">
        <f>IF($A225="","",COUNTIFS(Evaluations!$G$3:$G$10000,$A225,Evaluations!$U$3:$U$10000,"&gt;=0",Evaluations!$U$3:$U$10000,"&lt;=100"))</f>
        <v/>
      </c>
      <c r="D225" s="10" t="str">
        <f>IF(OR($A225="",C225=0),"",ROUND(SUMIFS(Evaluations!$U$3:$U$10000,Evaluations!$G$3:$G$10000,$A225)/C225,2))</f>
        <v/>
      </c>
      <c r="E225" s="10" t="str">
        <f>IF($A225="","",COUNTIFS(Evaluations!$G$3:$G$10000,$A225,Evaluations!$M$3:$M$10000,"پاسخ داده شده"))</f>
        <v/>
      </c>
      <c r="F225" s="10" t="str">
        <f>IF($A225="","",IFERROR(COUNTIFS(Evaluations!$G$3:$G$10000,$A225,Evaluations!$O$3:$O$10000,"رعایت شده")/(COUNTIFS(Evaluations!$G$3:$G$10000,$A225,Evaluations!$O$3:$O$10000,"رعایت شده")+COUNTIFS(Evaluations!$G$3:$G$10000,$A225,Evaluations!$O$3:$O$10000,"رعایت نشده")),""))</f>
        <v/>
      </c>
      <c r="G225" s="10" t="str">
        <f>IF($A225="","",IFERROR(ROUND(100*COUNTIFS(Evaluations!$G$3:$G$10000,$A225,Evaluations!$Q$3:$Q$10000,1)/(COUNTIFS(Evaluations!$G$3:$G$10000,$A225,Evaluations!$Q$3:$Q$10000,1)+COUNTIFS(Evaluations!$G$3:$G$10000,$A225,Evaluations!$Q$3:$Q$10000,0)),2),""))</f>
        <v/>
      </c>
      <c r="H225" s="10" t="str">
        <f>IF($A225="","",IFERROR(ROUND(100*COUNTIFS(Evaluations!$G$3:$G$10000,$A225,Evaluations!$R$3:$R$10000,1)/(COUNTIFS(Evaluations!$G$3:$G$10000,$A225,Evaluations!$R$3:$R$10000,1)+COUNTIFS(Evaluations!$G$3:$G$10000,$A225,Evaluations!$R$3:$R$10000,0)),2),""))</f>
        <v/>
      </c>
      <c r="I225" s="10" t="str">
        <f>IF($A225="","",IFERROR(ROUND(100*COUNTIFS(Evaluations!$G$3:$G$10000,$A225,Evaluations!$S$3:$S$10000,1)/(COUNTIFS(Evaluations!$G$3:$G$10000,$A225,Evaluations!$S$3:$S$10000,1)+COUNTIFS(Evaluations!$G$3:$G$10000,$A225,Evaluations!$S$3:$S$10000,0)),2),""))</f>
        <v/>
      </c>
      <c r="J225" s="10" t="str">
        <f>IF($A225="","",IFERROR(ROUND(100*COUNTIFS(Evaluations!$G$3:$G$10000,$A225,Evaluations!$T$3:$T$10000,1)/(COUNTIFS(Evaluations!$G$3:$G$10000,$A225,Evaluations!$T$3:$T$10000,1)+COUNTIFS(Evaluations!$G$3:$G$10000,$A225,Evaluations!$T$3:$T$10000,0)),2),""))</f>
        <v/>
      </c>
      <c r="K225" s="10" t="str">
        <f>IF($A225="","",COUNTIFS(Evaluations!$G$3:$G$10000,$A225,Evaluations!$M$3:$M$10000,"عدم پاسخ"))</f>
        <v/>
      </c>
      <c r="L225" s="10" t="str">
        <f>IF($A225="","",COUNTIFS(Evaluations!$G$3:$G$10000,$A225,Evaluations!$O$3:$O$10000,"رعایت نشده"))</f>
        <v/>
      </c>
    </row>
    <row r="226">
      <c r="A226" s="10"/>
      <c r="B226" s="10" t="str">
        <f t="array" ref="B226">_xlfn.XLOOKUP(A226,DATA!D:D,DATA!E:E,"")</f>
        <v/>
      </c>
      <c r="C226" s="10" t="str">
        <f>IF($A226="","",COUNTIFS(Evaluations!$G$3:$G$10000,$A226,Evaluations!$U$3:$U$10000,"&gt;=0",Evaluations!$U$3:$U$10000,"&lt;=100"))</f>
        <v/>
      </c>
      <c r="D226" s="10" t="str">
        <f>IF(OR($A226="",C226=0),"",ROUND(SUMIFS(Evaluations!$U$3:$U$10000,Evaluations!$G$3:$G$10000,$A226)/C226,2))</f>
        <v/>
      </c>
      <c r="E226" s="10" t="str">
        <f>IF($A226="","",COUNTIFS(Evaluations!$G$3:$G$10000,$A226,Evaluations!$M$3:$M$10000,"پاسخ داده شده"))</f>
        <v/>
      </c>
      <c r="F226" s="10" t="str">
        <f>IF($A226="","",IFERROR(COUNTIFS(Evaluations!$G$3:$G$10000,$A226,Evaluations!$O$3:$O$10000,"رعایت شده")/(COUNTIFS(Evaluations!$G$3:$G$10000,$A226,Evaluations!$O$3:$O$10000,"رعایت شده")+COUNTIFS(Evaluations!$G$3:$G$10000,$A226,Evaluations!$O$3:$O$10000,"رعایت نشده")),""))</f>
        <v/>
      </c>
      <c r="G226" s="10" t="str">
        <f>IF($A226="","",IFERROR(ROUND(100*COUNTIFS(Evaluations!$G$3:$G$10000,$A226,Evaluations!$Q$3:$Q$10000,1)/(COUNTIFS(Evaluations!$G$3:$G$10000,$A226,Evaluations!$Q$3:$Q$10000,1)+COUNTIFS(Evaluations!$G$3:$G$10000,$A226,Evaluations!$Q$3:$Q$10000,0)),2),""))</f>
        <v/>
      </c>
      <c r="H226" s="10" t="str">
        <f>IF($A226="","",IFERROR(ROUND(100*COUNTIFS(Evaluations!$G$3:$G$10000,$A226,Evaluations!$R$3:$R$10000,1)/(COUNTIFS(Evaluations!$G$3:$G$10000,$A226,Evaluations!$R$3:$R$10000,1)+COUNTIFS(Evaluations!$G$3:$G$10000,$A226,Evaluations!$R$3:$R$10000,0)),2),""))</f>
        <v/>
      </c>
      <c r="I226" s="10" t="str">
        <f>IF($A226="","",IFERROR(ROUND(100*COUNTIFS(Evaluations!$G$3:$G$10000,$A226,Evaluations!$S$3:$S$10000,1)/(COUNTIFS(Evaluations!$G$3:$G$10000,$A226,Evaluations!$S$3:$S$10000,1)+COUNTIFS(Evaluations!$G$3:$G$10000,$A226,Evaluations!$S$3:$S$10000,0)),2),""))</f>
        <v/>
      </c>
      <c r="J226" s="10" t="str">
        <f>IF($A226="","",IFERROR(ROUND(100*COUNTIFS(Evaluations!$G$3:$G$10000,$A226,Evaluations!$T$3:$T$10000,1)/(COUNTIFS(Evaluations!$G$3:$G$10000,$A226,Evaluations!$T$3:$T$10000,1)+COUNTIFS(Evaluations!$G$3:$G$10000,$A226,Evaluations!$T$3:$T$10000,0)),2),""))</f>
        <v/>
      </c>
      <c r="K226" s="10" t="str">
        <f>IF($A226="","",COUNTIFS(Evaluations!$G$3:$G$10000,$A226,Evaluations!$M$3:$M$10000,"عدم پاسخ"))</f>
        <v/>
      </c>
      <c r="L226" s="10" t="str">
        <f>IF($A226="","",COUNTIFS(Evaluations!$G$3:$G$10000,$A226,Evaluations!$O$3:$O$10000,"رعایت نشده"))</f>
        <v/>
      </c>
    </row>
    <row r="227">
      <c r="A227" s="10"/>
      <c r="B227" s="10" t="str">
        <f t="array" ref="B227">_xlfn.XLOOKUP(A227,DATA!D:D,DATA!E:E,"")</f>
        <v/>
      </c>
      <c r="C227" s="10" t="str">
        <f>IF($A227="","",COUNTIFS(Evaluations!$G$3:$G$10000,$A227,Evaluations!$U$3:$U$10000,"&gt;=0",Evaluations!$U$3:$U$10000,"&lt;=100"))</f>
        <v/>
      </c>
      <c r="D227" s="10" t="str">
        <f>IF(OR($A227="",C227=0),"",ROUND(SUMIFS(Evaluations!$U$3:$U$10000,Evaluations!$G$3:$G$10000,$A227)/C227,2))</f>
        <v/>
      </c>
      <c r="E227" s="10" t="str">
        <f>IF($A227="","",COUNTIFS(Evaluations!$G$3:$G$10000,$A227,Evaluations!$M$3:$M$10000,"پاسخ داده شده"))</f>
        <v/>
      </c>
      <c r="F227" s="10" t="str">
        <f>IF($A227="","",IFERROR(COUNTIFS(Evaluations!$G$3:$G$10000,$A227,Evaluations!$O$3:$O$10000,"رعایت شده")/(COUNTIFS(Evaluations!$G$3:$G$10000,$A227,Evaluations!$O$3:$O$10000,"رعایت شده")+COUNTIFS(Evaluations!$G$3:$G$10000,$A227,Evaluations!$O$3:$O$10000,"رعایت نشده")),""))</f>
        <v/>
      </c>
      <c r="G227" s="10" t="str">
        <f>IF($A227="","",IFERROR(ROUND(100*COUNTIFS(Evaluations!$G$3:$G$10000,$A227,Evaluations!$Q$3:$Q$10000,1)/(COUNTIFS(Evaluations!$G$3:$G$10000,$A227,Evaluations!$Q$3:$Q$10000,1)+COUNTIFS(Evaluations!$G$3:$G$10000,$A227,Evaluations!$Q$3:$Q$10000,0)),2),""))</f>
        <v/>
      </c>
      <c r="H227" s="10" t="str">
        <f>IF($A227="","",IFERROR(ROUND(100*COUNTIFS(Evaluations!$G$3:$G$10000,$A227,Evaluations!$R$3:$R$10000,1)/(COUNTIFS(Evaluations!$G$3:$G$10000,$A227,Evaluations!$R$3:$R$10000,1)+COUNTIFS(Evaluations!$G$3:$G$10000,$A227,Evaluations!$R$3:$R$10000,0)),2),""))</f>
        <v/>
      </c>
      <c r="I227" s="10" t="str">
        <f>IF($A227="","",IFERROR(ROUND(100*COUNTIFS(Evaluations!$G$3:$G$10000,$A227,Evaluations!$S$3:$S$10000,1)/(COUNTIFS(Evaluations!$G$3:$G$10000,$A227,Evaluations!$S$3:$S$10000,1)+COUNTIFS(Evaluations!$G$3:$G$10000,$A227,Evaluations!$S$3:$S$10000,0)),2),""))</f>
        <v/>
      </c>
      <c r="J227" s="10" t="str">
        <f>IF($A227="","",IFERROR(ROUND(100*COUNTIFS(Evaluations!$G$3:$G$10000,$A227,Evaluations!$T$3:$T$10000,1)/(COUNTIFS(Evaluations!$G$3:$G$10000,$A227,Evaluations!$T$3:$T$10000,1)+COUNTIFS(Evaluations!$G$3:$G$10000,$A227,Evaluations!$T$3:$T$10000,0)),2),""))</f>
        <v/>
      </c>
      <c r="K227" s="10" t="str">
        <f>IF($A227="","",COUNTIFS(Evaluations!$G$3:$G$10000,$A227,Evaluations!$M$3:$M$10000,"عدم پاسخ"))</f>
        <v/>
      </c>
      <c r="L227" s="10" t="str">
        <f>IF($A227="","",COUNTIFS(Evaluations!$G$3:$G$10000,$A227,Evaluations!$O$3:$O$10000,"رعایت نشده"))</f>
        <v/>
      </c>
    </row>
    <row r="228">
      <c r="A228" s="10"/>
      <c r="B228" s="10" t="str">
        <f t="array" ref="B228">_xlfn.XLOOKUP(A228,DATA!D:D,DATA!E:E,"")</f>
        <v/>
      </c>
      <c r="C228" s="10" t="str">
        <f>IF($A228="","",COUNTIFS(Evaluations!$G$3:$G$10000,$A228,Evaluations!$U$3:$U$10000,"&gt;=0",Evaluations!$U$3:$U$10000,"&lt;=100"))</f>
        <v/>
      </c>
      <c r="D228" s="10" t="str">
        <f>IF(OR($A228="",C228=0),"",ROUND(SUMIFS(Evaluations!$U$3:$U$10000,Evaluations!$G$3:$G$10000,$A228)/C228,2))</f>
        <v/>
      </c>
      <c r="E228" s="10" t="str">
        <f>IF($A228="","",COUNTIFS(Evaluations!$G$3:$G$10000,$A228,Evaluations!$M$3:$M$10000,"پاسخ داده شده"))</f>
        <v/>
      </c>
      <c r="F228" s="10" t="str">
        <f>IF($A228="","",IFERROR(COUNTIFS(Evaluations!$G$3:$G$10000,$A228,Evaluations!$O$3:$O$10000,"رعایت شده")/(COUNTIFS(Evaluations!$G$3:$G$10000,$A228,Evaluations!$O$3:$O$10000,"رعایت شده")+COUNTIFS(Evaluations!$G$3:$G$10000,$A228,Evaluations!$O$3:$O$10000,"رعایت نشده")),""))</f>
        <v/>
      </c>
      <c r="G228" s="10" t="str">
        <f>IF($A228="","",IFERROR(ROUND(100*COUNTIFS(Evaluations!$G$3:$G$10000,$A228,Evaluations!$Q$3:$Q$10000,1)/(COUNTIFS(Evaluations!$G$3:$G$10000,$A228,Evaluations!$Q$3:$Q$10000,1)+COUNTIFS(Evaluations!$G$3:$G$10000,$A228,Evaluations!$Q$3:$Q$10000,0)),2),""))</f>
        <v/>
      </c>
      <c r="H228" s="10" t="str">
        <f>IF($A228="","",IFERROR(ROUND(100*COUNTIFS(Evaluations!$G$3:$G$10000,$A228,Evaluations!$R$3:$R$10000,1)/(COUNTIFS(Evaluations!$G$3:$G$10000,$A228,Evaluations!$R$3:$R$10000,1)+COUNTIFS(Evaluations!$G$3:$G$10000,$A228,Evaluations!$R$3:$R$10000,0)),2),""))</f>
        <v/>
      </c>
      <c r="I228" s="10" t="str">
        <f>IF($A228="","",IFERROR(ROUND(100*COUNTIFS(Evaluations!$G$3:$G$10000,$A228,Evaluations!$S$3:$S$10000,1)/(COUNTIFS(Evaluations!$G$3:$G$10000,$A228,Evaluations!$S$3:$S$10000,1)+COUNTIFS(Evaluations!$G$3:$G$10000,$A228,Evaluations!$S$3:$S$10000,0)),2),""))</f>
        <v/>
      </c>
      <c r="J228" s="10" t="str">
        <f>IF($A228="","",IFERROR(ROUND(100*COUNTIFS(Evaluations!$G$3:$G$10000,$A228,Evaluations!$T$3:$T$10000,1)/(COUNTIFS(Evaluations!$G$3:$G$10000,$A228,Evaluations!$T$3:$T$10000,1)+COUNTIFS(Evaluations!$G$3:$G$10000,$A228,Evaluations!$T$3:$T$10000,0)),2),""))</f>
        <v/>
      </c>
      <c r="K228" s="10" t="str">
        <f>IF($A228="","",COUNTIFS(Evaluations!$G$3:$G$10000,$A228,Evaluations!$M$3:$M$10000,"عدم پاسخ"))</f>
        <v/>
      </c>
      <c r="L228" s="10" t="str">
        <f>IF($A228="","",COUNTIFS(Evaluations!$G$3:$G$10000,$A228,Evaluations!$O$3:$O$10000,"رعایت نشده"))</f>
        <v/>
      </c>
    </row>
    <row r="229">
      <c r="A229" s="10"/>
      <c r="B229" s="10" t="str">
        <f t="array" ref="B229">_xlfn.XLOOKUP(A229,DATA!D:D,DATA!E:E,"")</f>
        <v/>
      </c>
      <c r="C229" s="10" t="str">
        <f>IF($A229="","",COUNTIFS(Evaluations!$G$3:$G$10000,$A229,Evaluations!$U$3:$U$10000,"&gt;=0",Evaluations!$U$3:$U$10000,"&lt;=100"))</f>
        <v/>
      </c>
      <c r="D229" s="10" t="str">
        <f>IF(OR($A229="",C229=0),"",ROUND(SUMIFS(Evaluations!$U$3:$U$10000,Evaluations!$G$3:$G$10000,$A229)/C229,2))</f>
        <v/>
      </c>
      <c r="E229" s="10" t="str">
        <f>IF($A229="","",COUNTIFS(Evaluations!$G$3:$G$10000,$A229,Evaluations!$M$3:$M$10000,"پاسخ داده شده"))</f>
        <v/>
      </c>
      <c r="F229" s="10" t="str">
        <f>IF($A229="","",IFERROR(COUNTIFS(Evaluations!$G$3:$G$10000,$A229,Evaluations!$O$3:$O$10000,"رعایت شده")/(COUNTIFS(Evaluations!$G$3:$G$10000,$A229,Evaluations!$O$3:$O$10000,"رعایت شده")+COUNTIFS(Evaluations!$G$3:$G$10000,$A229,Evaluations!$O$3:$O$10000,"رعایت نشده")),""))</f>
        <v/>
      </c>
      <c r="G229" s="10" t="str">
        <f>IF($A229="","",IFERROR(ROUND(100*COUNTIFS(Evaluations!$G$3:$G$10000,$A229,Evaluations!$Q$3:$Q$10000,1)/(COUNTIFS(Evaluations!$G$3:$G$10000,$A229,Evaluations!$Q$3:$Q$10000,1)+COUNTIFS(Evaluations!$G$3:$G$10000,$A229,Evaluations!$Q$3:$Q$10000,0)),2),""))</f>
        <v/>
      </c>
      <c r="H229" s="10" t="str">
        <f>IF($A229="","",IFERROR(ROUND(100*COUNTIFS(Evaluations!$G$3:$G$10000,$A229,Evaluations!$R$3:$R$10000,1)/(COUNTIFS(Evaluations!$G$3:$G$10000,$A229,Evaluations!$R$3:$R$10000,1)+COUNTIFS(Evaluations!$G$3:$G$10000,$A229,Evaluations!$R$3:$R$10000,0)),2),""))</f>
        <v/>
      </c>
      <c r="I229" s="10" t="str">
        <f>IF($A229="","",IFERROR(ROUND(100*COUNTIFS(Evaluations!$G$3:$G$10000,$A229,Evaluations!$S$3:$S$10000,1)/(COUNTIFS(Evaluations!$G$3:$G$10000,$A229,Evaluations!$S$3:$S$10000,1)+COUNTIFS(Evaluations!$G$3:$G$10000,$A229,Evaluations!$S$3:$S$10000,0)),2),""))</f>
        <v/>
      </c>
      <c r="J229" s="10" t="str">
        <f>IF($A229="","",IFERROR(ROUND(100*COUNTIFS(Evaluations!$G$3:$G$10000,$A229,Evaluations!$T$3:$T$10000,1)/(COUNTIFS(Evaluations!$G$3:$G$10000,$A229,Evaluations!$T$3:$T$10000,1)+COUNTIFS(Evaluations!$G$3:$G$10000,$A229,Evaluations!$T$3:$T$10000,0)),2),""))</f>
        <v/>
      </c>
      <c r="K229" s="10" t="str">
        <f>IF($A229="","",COUNTIFS(Evaluations!$G$3:$G$10000,$A229,Evaluations!$M$3:$M$10000,"عدم پاسخ"))</f>
        <v/>
      </c>
      <c r="L229" s="10" t="str">
        <f>IF($A229="","",COUNTIFS(Evaluations!$G$3:$G$10000,$A229,Evaluations!$O$3:$O$10000,"رعایت نشده"))</f>
        <v/>
      </c>
    </row>
    <row r="230">
      <c r="A230" s="10"/>
      <c r="B230" s="10" t="str">
        <f t="array" ref="B230">_xlfn.XLOOKUP(A230,DATA!D:D,DATA!E:E,"")</f>
        <v/>
      </c>
      <c r="C230" s="10" t="str">
        <f>IF($A230="","",COUNTIFS(Evaluations!$G$3:$G$10000,$A230,Evaluations!$U$3:$U$10000,"&gt;=0",Evaluations!$U$3:$U$10000,"&lt;=100"))</f>
        <v/>
      </c>
      <c r="D230" s="10" t="str">
        <f>IF(OR($A230="",C230=0),"",ROUND(SUMIFS(Evaluations!$U$3:$U$10000,Evaluations!$G$3:$G$10000,$A230)/C230,2))</f>
        <v/>
      </c>
      <c r="E230" s="10" t="str">
        <f>IF($A230="","",COUNTIFS(Evaluations!$G$3:$G$10000,$A230,Evaluations!$M$3:$M$10000,"پاسخ داده شده"))</f>
        <v/>
      </c>
      <c r="F230" s="10" t="str">
        <f>IF($A230="","",IFERROR(COUNTIFS(Evaluations!$G$3:$G$10000,$A230,Evaluations!$O$3:$O$10000,"رعایت شده")/(COUNTIFS(Evaluations!$G$3:$G$10000,$A230,Evaluations!$O$3:$O$10000,"رعایت شده")+COUNTIFS(Evaluations!$G$3:$G$10000,$A230,Evaluations!$O$3:$O$10000,"رعایت نشده")),""))</f>
        <v/>
      </c>
      <c r="G230" s="10" t="str">
        <f>IF($A230="","",IFERROR(ROUND(100*COUNTIFS(Evaluations!$G$3:$G$10000,$A230,Evaluations!$Q$3:$Q$10000,1)/(COUNTIFS(Evaluations!$G$3:$G$10000,$A230,Evaluations!$Q$3:$Q$10000,1)+COUNTIFS(Evaluations!$G$3:$G$10000,$A230,Evaluations!$Q$3:$Q$10000,0)),2),""))</f>
        <v/>
      </c>
      <c r="H230" s="10" t="str">
        <f>IF($A230="","",IFERROR(ROUND(100*COUNTIFS(Evaluations!$G$3:$G$10000,$A230,Evaluations!$R$3:$R$10000,1)/(COUNTIFS(Evaluations!$G$3:$G$10000,$A230,Evaluations!$R$3:$R$10000,1)+COUNTIFS(Evaluations!$G$3:$G$10000,$A230,Evaluations!$R$3:$R$10000,0)),2),""))</f>
        <v/>
      </c>
      <c r="I230" s="10" t="str">
        <f>IF($A230="","",IFERROR(ROUND(100*COUNTIFS(Evaluations!$G$3:$G$10000,$A230,Evaluations!$S$3:$S$10000,1)/(COUNTIFS(Evaluations!$G$3:$G$10000,$A230,Evaluations!$S$3:$S$10000,1)+COUNTIFS(Evaluations!$G$3:$G$10000,$A230,Evaluations!$S$3:$S$10000,0)),2),""))</f>
        <v/>
      </c>
      <c r="J230" s="10" t="str">
        <f>IF($A230="","",IFERROR(ROUND(100*COUNTIFS(Evaluations!$G$3:$G$10000,$A230,Evaluations!$T$3:$T$10000,1)/(COUNTIFS(Evaluations!$G$3:$G$10000,$A230,Evaluations!$T$3:$T$10000,1)+COUNTIFS(Evaluations!$G$3:$G$10000,$A230,Evaluations!$T$3:$T$10000,0)),2),""))</f>
        <v/>
      </c>
      <c r="K230" s="10" t="str">
        <f>IF($A230="","",COUNTIFS(Evaluations!$G$3:$G$10000,$A230,Evaluations!$M$3:$M$10000,"عدم پاسخ"))</f>
        <v/>
      </c>
      <c r="L230" s="10" t="str">
        <f>IF($A230="","",COUNTIFS(Evaluations!$G$3:$G$10000,$A230,Evaluations!$O$3:$O$10000,"رعایت نشده"))</f>
        <v/>
      </c>
    </row>
    <row r="231">
      <c r="A231" s="10"/>
      <c r="B231" s="10" t="str">
        <f t="array" ref="B231">_xlfn.XLOOKUP(A231,DATA!D:D,DATA!E:E,"")</f>
        <v/>
      </c>
      <c r="C231" s="10" t="str">
        <f>IF($A231="","",COUNTIFS(Evaluations!$G$3:$G$10000,$A231,Evaluations!$U$3:$U$10000,"&gt;=0",Evaluations!$U$3:$U$10000,"&lt;=100"))</f>
        <v/>
      </c>
      <c r="D231" s="10" t="str">
        <f>IF(OR($A231="",C231=0),"",ROUND(SUMIFS(Evaluations!$U$3:$U$10000,Evaluations!$G$3:$G$10000,$A231)/C231,2))</f>
        <v/>
      </c>
      <c r="E231" s="10" t="str">
        <f>IF($A231="","",COUNTIFS(Evaluations!$G$3:$G$10000,$A231,Evaluations!$M$3:$M$10000,"پاسخ داده شده"))</f>
        <v/>
      </c>
      <c r="F231" s="10" t="str">
        <f>IF($A231="","",IFERROR(COUNTIFS(Evaluations!$G$3:$G$10000,$A231,Evaluations!$O$3:$O$10000,"رعایت شده")/(COUNTIFS(Evaluations!$G$3:$G$10000,$A231,Evaluations!$O$3:$O$10000,"رعایت شده")+COUNTIFS(Evaluations!$G$3:$G$10000,$A231,Evaluations!$O$3:$O$10000,"رعایت نشده")),""))</f>
        <v/>
      </c>
      <c r="G231" s="10" t="str">
        <f>IF($A231="","",IFERROR(ROUND(100*COUNTIFS(Evaluations!$G$3:$G$10000,$A231,Evaluations!$Q$3:$Q$10000,1)/(COUNTIFS(Evaluations!$G$3:$G$10000,$A231,Evaluations!$Q$3:$Q$10000,1)+COUNTIFS(Evaluations!$G$3:$G$10000,$A231,Evaluations!$Q$3:$Q$10000,0)),2),""))</f>
        <v/>
      </c>
      <c r="H231" s="10" t="str">
        <f>IF($A231="","",IFERROR(ROUND(100*COUNTIFS(Evaluations!$G$3:$G$10000,$A231,Evaluations!$R$3:$R$10000,1)/(COUNTIFS(Evaluations!$G$3:$G$10000,$A231,Evaluations!$R$3:$R$10000,1)+COUNTIFS(Evaluations!$G$3:$G$10000,$A231,Evaluations!$R$3:$R$10000,0)),2),""))</f>
        <v/>
      </c>
      <c r="I231" s="10" t="str">
        <f>IF($A231="","",IFERROR(ROUND(100*COUNTIFS(Evaluations!$G$3:$G$10000,$A231,Evaluations!$S$3:$S$10000,1)/(COUNTIFS(Evaluations!$G$3:$G$10000,$A231,Evaluations!$S$3:$S$10000,1)+COUNTIFS(Evaluations!$G$3:$G$10000,$A231,Evaluations!$S$3:$S$10000,0)),2),""))</f>
        <v/>
      </c>
      <c r="J231" s="10" t="str">
        <f>IF($A231="","",IFERROR(ROUND(100*COUNTIFS(Evaluations!$G$3:$G$10000,$A231,Evaluations!$T$3:$T$10000,1)/(COUNTIFS(Evaluations!$G$3:$G$10000,$A231,Evaluations!$T$3:$T$10000,1)+COUNTIFS(Evaluations!$G$3:$G$10000,$A231,Evaluations!$T$3:$T$10000,0)),2),""))</f>
        <v/>
      </c>
      <c r="K231" s="10" t="str">
        <f>IF($A231="","",COUNTIFS(Evaluations!$G$3:$G$10000,$A231,Evaluations!$M$3:$M$10000,"عدم پاسخ"))</f>
        <v/>
      </c>
      <c r="L231" s="10" t="str">
        <f>IF($A231="","",COUNTIFS(Evaluations!$G$3:$G$10000,$A231,Evaluations!$O$3:$O$10000,"رعایت نشده"))</f>
        <v/>
      </c>
    </row>
    <row r="232">
      <c r="A232" s="10"/>
      <c r="B232" s="10" t="str">
        <f t="array" ref="B232">_xlfn.XLOOKUP(A232,DATA!D:D,DATA!E:E,"")</f>
        <v/>
      </c>
      <c r="C232" s="10" t="str">
        <f>IF($A232="","",COUNTIFS(Evaluations!$G$3:$G$10000,$A232,Evaluations!$U$3:$U$10000,"&gt;=0",Evaluations!$U$3:$U$10000,"&lt;=100"))</f>
        <v/>
      </c>
      <c r="D232" s="10" t="str">
        <f>IF(OR($A232="",C232=0),"",ROUND(SUMIFS(Evaluations!$U$3:$U$10000,Evaluations!$G$3:$G$10000,$A232)/C232,2))</f>
        <v/>
      </c>
      <c r="E232" s="10" t="str">
        <f>IF($A232="","",COUNTIFS(Evaluations!$G$3:$G$10000,$A232,Evaluations!$M$3:$M$10000,"پاسخ داده شده"))</f>
        <v/>
      </c>
      <c r="F232" s="10" t="str">
        <f>IF($A232="","",IFERROR(COUNTIFS(Evaluations!$G$3:$G$10000,$A232,Evaluations!$O$3:$O$10000,"رعایت شده")/(COUNTIFS(Evaluations!$G$3:$G$10000,$A232,Evaluations!$O$3:$O$10000,"رعایت شده")+COUNTIFS(Evaluations!$G$3:$G$10000,$A232,Evaluations!$O$3:$O$10000,"رعایت نشده")),""))</f>
        <v/>
      </c>
      <c r="G232" s="10" t="str">
        <f>IF($A232="","",IFERROR(ROUND(100*COUNTIFS(Evaluations!$G$3:$G$10000,$A232,Evaluations!$Q$3:$Q$10000,1)/(COUNTIFS(Evaluations!$G$3:$G$10000,$A232,Evaluations!$Q$3:$Q$10000,1)+COUNTIFS(Evaluations!$G$3:$G$10000,$A232,Evaluations!$Q$3:$Q$10000,0)),2),""))</f>
        <v/>
      </c>
      <c r="H232" s="10" t="str">
        <f>IF($A232="","",IFERROR(ROUND(100*COUNTIFS(Evaluations!$G$3:$G$10000,$A232,Evaluations!$R$3:$R$10000,1)/(COUNTIFS(Evaluations!$G$3:$G$10000,$A232,Evaluations!$R$3:$R$10000,1)+COUNTIFS(Evaluations!$G$3:$G$10000,$A232,Evaluations!$R$3:$R$10000,0)),2),""))</f>
        <v/>
      </c>
      <c r="I232" s="10" t="str">
        <f>IF($A232="","",IFERROR(ROUND(100*COUNTIFS(Evaluations!$G$3:$G$10000,$A232,Evaluations!$S$3:$S$10000,1)/(COUNTIFS(Evaluations!$G$3:$G$10000,$A232,Evaluations!$S$3:$S$10000,1)+COUNTIFS(Evaluations!$G$3:$G$10000,$A232,Evaluations!$S$3:$S$10000,0)),2),""))</f>
        <v/>
      </c>
      <c r="J232" s="10" t="str">
        <f>IF($A232="","",IFERROR(ROUND(100*COUNTIFS(Evaluations!$G$3:$G$10000,$A232,Evaluations!$T$3:$T$10000,1)/(COUNTIFS(Evaluations!$G$3:$G$10000,$A232,Evaluations!$T$3:$T$10000,1)+COUNTIFS(Evaluations!$G$3:$G$10000,$A232,Evaluations!$T$3:$T$10000,0)),2),""))</f>
        <v/>
      </c>
      <c r="K232" s="10" t="str">
        <f>IF($A232="","",COUNTIFS(Evaluations!$G$3:$G$10000,$A232,Evaluations!$M$3:$M$10000,"عدم پاسخ"))</f>
        <v/>
      </c>
      <c r="L232" s="10" t="str">
        <f>IF($A232="","",COUNTIFS(Evaluations!$G$3:$G$10000,$A232,Evaluations!$O$3:$O$10000,"رعایت نشده"))</f>
        <v/>
      </c>
    </row>
    <row r="233">
      <c r="A233" s="10"/>
      <c r="B233" s="10" t="str">
        <f t="array" ref="B233">_xlfn.XLOOKUP(A233,DATA!D:D,DATA!E:E,"")</f>
        <v/>
      </c>
      <c r="C233" s="10" t="str">
        <f>IF($A233="","",COUNTIFS(Evaluations!$G$3:$G$10000,$A233,Evaluations!$U$3:$U$10000,"&gt;=0",Evaluations!$U$3:$U$10000,"&lt;=100"))</f>
        <v/>
      </c>
      <c r="D233" s="10" t="str">
        <f>IF(OR($A233="",C233=0),"",ROUND(SUMIFS(Evaluations!$U$3:$U$10000,Evaluations!$G$3:$G$10000,$A233)/C233,2))</f>
        <v/>
      </c>
      <c r="E233" s="10" t="str">
        <f>IF($A233="","",COUNTIFS(Evaluations!$G$3:$G$10000,$A233,Evaluations!$M$3:$M$10000,"پاسخ داده شده"))</f>
        <v/>
      </c>
      <c r="F233" s="10" t="str">
        <f>IF($A233="","",IFERROR(COUNTIFS(Evaluations!$G$3:$G$10000,$A233,Evaluations!$O$3:$O$10000,"رعایت شده")/(COUNTIFS(Evaluations!$G$3:$G$10000,$A233,Evaluations!$O$3:$O$10000,"رعایت شده")+COUNTIFS(Evaluations!$G$3:$G$10000,$A233,Evaluations!$O$3:$O$10000,"رعایت نشده")),""))</f>
        <v/>
      </c>
      <c r="G233" s="10" t="str">
        <f>IF($A233="","",IFERROR(ROUND(100*COUNTIFS(Evaluations!$G$3:$G$10000,$A233,Evaluations!$Q$3:$Q$10000,1)/(COUNTIFS(Evaluations!$G$3:$G$10000,$A233,Evaluations!$Q$3:$Q$10000,1)+COUNTIFS(Evaluations!$G$3:$G$10000,$A233,Evaluations!$Q$3:$Q$10000,0)),2),""))</f>
        <v/>
      </c>
      <c r="H233" s="10" t="str">
        <f>IF($A233="","",IFERROR(ROUND(100*COUNTIFS(Evaluations!$G$3:$G$10000,$A233,Evaluations!$R$3:$R$10000,1)/(COUNTIFS(Evaluations!$G$3:$G$10000,$A233,Evaluations!$R$3:$R$10000,1)+COUNTIFS(Evaluations!$G$3:$G$10000,$A233,Evaluations!$R$3:$R$10000,0)),2),""))</f>
        <v/>
      </c>
      <c r="I233" s="10" t="str">
        <f>IF($A233="","",IFERROR(ROUND(100*COUNTIFS(Evaluations!$G$3:$G$10000,$A233,Evaluations!$S$3:$S$10000,1)/(COUNTIFS(Evaluations!$G$3:$G$10000,$A233,Evaluations!$S$3:$S$10000,1)+COUNTIFS(Evaluations!$G$3:$G$10000,$A233,Evaluations!$S$3:$S$10000,0)),2),""))</f>
        <v/>
      </c>
      <c r="J233" s="10" t="str">
        <f>IF($A233="","",IFERROR(ROUND(100*COUNTIFS(Evaluations!$G$3:$G$10000,$A233,Evaluations!$T$3:$T$10000,1)/(COUNTIFS(Evaluations!$G$3:$G$10000,$A233,Evaluations!$T$3:$T$10000,1)+COUNTIFS(Evaluations!$G$3:$G$10000,$A233,Evaluations!$T$3:$T$10000,0)),2),""))</f>
        <v/>
      </c>
      <c r="K233" s="10" t="str">
        <f>IF($A233="","",COUNTIFS(Evaluations!$G$3:$G$10000,$A233,Evaluations!$M$3:$M$10000,"عدم پاسخ"))</f>
        <v/>
      </c>
      <c r="L233" s="10" t="str">
        <f>IF($A233="","",COUNTIFS(Evaluations!$G$3:$G$10000,$A233,Evaluations!$O$3:$O$10000,"رعایت نشده"))</f>
        <v/>
      </c>
    </row>
    <row r="234">
      <c r="A234" s="10"/>
      <c r="B234" s="10" t="str">
        <f t="array" ref="B234">_xlfn.XLOOKUP(A234,DATA!D:D,DATA!E:E,"")</f>
        <v/>
      </c>
      <c r="C234" s="10" t="str">
        <f>IF($A234="","",COUNTIFS(Evaluations!$G$3:$G$10000,$A234,Evaluations!$U$3:$U$10000,"&gt;=0",Evaluations!$U$3:$U$10000,"&lt;=100"))</f>
        <v/>
      </c>
      <c r="D234" s="10" t="str">
        <f>IF(OR($A234="",C234=0),"",ROUND(SUMIFS(Evaluations!$U$3:$U$10000,Evaluations!$G$3:$G$10000,$A234)/C234,2))</f>
        <v/>
      </c>
      <c r="E234" s="10" t="str">
        <f>IF($A234="","",COUNTIFS(Evaluations!$G$3:$G$10000,$A234,Evaluations!$M$3:$M$10000,"پاسخ داده شده"))</f>
        <v/>
      </c>
      <c r="F234" s="10" t="str">
        <f>IF($A234="","",IFERROR(COUNTIFS(Evaluations!$G$3:$G$10000,$A234,Evaluations!$O$3:$O$10000,"رعایت شده")/(COUNTIFS(Evaluations!$G$3:$G$10000,$A234,Evaluations!$O$3:$O$10000,"رعایت شده")+COUNTIFS(Evaluations!$G$3:$G$10000,$A234,Evaluations!$O$3:$O$10000,"رعایت نشده")),""))</f>
        <v/>
      </c>
      <c r="G234" s="10" t="str">
        <f>IF($A234="","",IFERROR(ROUND(100*COUNTIFS(Evaluations!$G$3:$G$10000,$A234,Evaluations!$Q$3:$Q$10000,1)/(COUNTIFS(Evaluations!$G$3:$G$10000,$A234,Evaluations!$Q$3:$Q$10000,1)+COUNTIFS(Evaluations!$G$3:$G$10000,$A234,Evaluations!$Q$3:$Q$10000,0)),2),""))</f>
        <v/>
      </c>
      <c r="H234" s="10" t="str">
        <f>IF($A234="","",IFERROR(ROUND(100*COUNTIFS(Evaluations!$G$3:$G$10000,$A234,Evaluations!$R$3:$R$10000,1)/(COUNTIFS(Evaluations!$G$3:$G$10000,$A234,Evaluations!$R$3:$R$10000,1)+COUNTIFS(Evaluations!$G$3:$G$10000,$A234,Evaluations!$R$3:$R$10000,0)),2),""))</f>
        <v/>
      </c>
      <c r="I234" s="10" t="str">
        <f>IF($A234="","",IFERROR(ROUND(100*COUNTIFS(Evaluations!$G$3:$G$10000,$A234,Evaluations!$S$3:$S$10000,1)/(COUNTIFS(Evaluations!$G$3:$G$10000,$A234,Evaluations!$S$3:$S$10000,1)+COUNTIFS(Evaluations!$G$3:$G$10000,$A234,Evaluations!$S$3:$S$10000,0)),2),""))</f>
        <v/>
      </c>
      <c r="J234" s="10" t="str">
        <f>IF($A234="","",IFERROR(ROUND(100*COUNTIFS(Evaluations!$G$3:$G$10000,$A234,Evaluations!$T$3:$T$10000,1)/(COUNTIFS(Evaluations!$G$3:$G$10000,$A234,Evaluations!$T$3:$T$10000,1)+COUNTIFS(Evaluations!$G$3:$G$10000,$A234,Evaluations!$T$3:$T$10000,0)),2),""))</f>
        <v/>
      </c>
      <c r="K234" s="10" t="str">
        <f>IF($A234="","",COUNTIFS(Evaluations!$G$3:$G$10000,$A234,Evaluations!$M$3:$M$10000,"عدم پاسخ"))</f>
        <v/>
      </c>
      <c r="L234" s="10" t="str">
        <f>IF($A234="","",COUNTIFS(Evaluations!$G$3:$G$10000,$A234,Evaluations!$O$3:$O$10000,"رعایت نشده"))</f>
        <v/>
      </c>
    </row>
    <row r="235">
      <c r="A235" s="10"/>
      <c r="B235" s="10" t="str">
        <f t="array" ref="B235">_xlfn.XLOOKUP(A235,DATA!D:D,DATA!E:E,"")</f>
        <v/>
      </c>
      <c r="C235" s="10" t="str">
        <f>IF($A235="","",COUNTIFS(Evaluations!$G$3:$G$10000,$A235,Evaluations!$U$3:$U$10000,"&gt;=0",Evaluations!$U$3:$U$10000,"&lt;=100"))</f>
        <v/>
      </c>
      <c r="D235" s="10" t="str">
        <f>IF(OR($A235="",C235=0),"",ROUND(SUMIFS(Evaluations!$U$3:$U$10000,Evaluations!$G$3:$G$10000,$A235)/C235,2))</f>
        <v/>
      </c>
      <c r="E235" s="10" t="str">
        <f>IF($A235="","",COUNTIFS(Evaluations!$G$3:$G$10000,$A235,Evaluations!$M$3:$M$10000,"پاسخ داده شده"))</f>
        <v/>
      </c>
      <c r="F235" s="10" t="str">
        <f>IF($A235="","",IFERROR(COUNTIFS(Evaluations!$G$3:$G$10000,$A235,Evaluations!$O$3:$O$10000,"رعایت شده")/(COUNTIFS(Evaluations!$G$3:$G$10000,$A235,Evaluations!$O$3:$O$10000,"رعایت شده")+COUNTIFS(Evaluations!$G$3:$G$10000,$A235,Evaluations!$O$3:$O$10000,"رعایت نشده")),""))</f>
        <v/>
      </c>
      <c r="G235" s="10" t="str">
        <f>IF($A235="","",IFERROR(ROUND(100*COUNTIFS(Evaluations!$G$3:$G$10000,$A235,Evaluations!$Q$3:$Q$10000,1)/(COUNTIFS(Evaluations!$G$3:$G$10000,$A235,Evaluations!$Q$3:$Q$10000,1)+COUNTIFS(Evaluations!$G$3:$G$10000,$A235,Evaluations!$Q$3:$Q$10000,0)),2),""))</f>
        <v/>
      </c>
      <c r="H235" s="10" t="str">
        <f>IF($A235="","",IFERROR(ROUND(100*COUNTIFS(Evaluations!$G$3:$G$10000,$A235,Evaluations!$R$3:$R$10000,1)/(COUNTIFS(Evaluations!$G$3:$G$10000,$A235,Evaluations!$R$3:$R$10000,1)+COUNTIFS(Evaluations!$G$3:$G$10000,$A235,Evaluations!$R$3:$R$10000,0)),2),""))</f>
        <v/>
      </c>
      <c r="I235" s="10" t="str">
        <f>IF($A235="","",IFERROR(ROUND(100*COUNTIFS(Evaluations!$G$3:$G$10000,$A235,Evaluations!$S$3:$S$10000,1)/(COUNTIFS(Evaluations!$G$3:$G$10000,$A235,Evaluations!$S$3:$S$10000,1)+COUNTIFS(Evaluations!$G$3:$G$10000,$A235,Evaluations!$S$3:$S$10000,0)),2),""))</f>
        <v/>
      </c>
      <c r="J235" s="10" t="str">
        <f>IF($A235="","",IFERROR(ROUND(100*COUNTIFS(Evaluations!$G$3:$G$10000,$A235,Evaluations!$T$3:$T$10000,1)/(COUNTIFS(Evaluations!$G$3:$G$10000,$A235,Evaluations!$T$3:$T$10000,1)+COUNTIFS(Evaluations!$G$3:$G$10000,$A235,Evaluations!$T$3:$T$10000,0)),2),""))</f>
        <v/>
      </c>
      <c r="K235" s="10" t="str">
        <f>IF($A235="","",COUNTIFS(Evaluations!$G$3:$G$10000,$A235,Evaluations!$M$3:$M$10000,"عدم پاسخ"))</f>
        <v/>
      </c>
      <c r="L235" s="10" t="str">
        <f>IF($A235="","",COUNTIFS(Evaluations!$G$3:$G$10000,$A235,Evaluations!$O$3:$O$10000,"رعایت نشده"))</f>
        <v/>
      </c>
    </row>
    <row r="236">
      <c r="A236" s="10"/>
      <c r="B236" s="10" t="str">
        <f t="array" ref="B236">_xlfn.XLOOKUP(A236,DATA!D:D,DATA!E:E,"")</f>
        <v/>
      </c>
      <c r="C236" s="10" t="str">
        <f>IF($A236="","",COUNTIFS(Evaluations!$G$3:$G$10000,$A236,Evaluations!$U$3:$U$10000,"&gt;=0",Evaluations!$U$3:$U$10000,"&lt;=100"))</f>
        <v/>
      </c>
      <c r="D236" s="10" t="str">
        <f>IF(OR($A236="",C236=0),"",ROUND(SUMIFS(Evaluations!$U$3:$U$10000,Evaluations!$G$3:$G$10000,$A236)/C236,2))</f>
        <v/>
      </c>
      <c r="E236" s="10" t="str">
        <f>IF($A236="","",COUNTIFS(Evaluations!$G$3:$G$10000,$A236,Evaluations!$M$3:$M$10000,"پاسخ داده شده"))</f>
        <v/>
      </c>
      <c r="F236" s="10" t="str">
        <f>IF($A236="","",IFERROR(COUNTIFS(Evaluations!$G$3:$G$10000,$A236,Evaluations!$O$3:$O$10000,"رعایت شده")/(COUNTIFS(Evaluations!$G$3:$G$10000,$A236,Evaluations!$O$3:$O$10000,"رعایت شده")+COUNTIFS(Evaluations!$G$3:$G$10000,$A236,Evaluations!$O$3:$O$10000,"رعایت نشده")),""))</f>
        <v/>
      </c>
      <c r="G236" s="10" t="str">
        <f>IF($A236="","",IFERROR(ROUND(100*COUNTIFS(Evaluations!$G$3:$G$10000,$A236,Evaluations!$Q$3:$Q$10000,1)/(COUNTIFS(Evaluations!$G$3:$G$10000,$A236,Evaluations!$Q$3:$Q$10000,1)+COUNTIFS(Evaluations!$G$3:$G$10000,$A236,Evaluations!$Q$3:$Q$10000,0)),2),""))</f>
        <v/>
      </c>
      <c r="H236" s="10" t="str">
        <f>IF($A236="","",IFERROR(ROUND(100*COUNTIFS(Evaluations!$G$3:$G$10000,$A236,Evaluations!$R$3:$R$10000,1)/(COUNTIFS(Evaluations!$G$3:$G$10000,$A236,Evaluations!$R$3:$R$10000,1)+COUNTIFS(Evaluations!$G$3:$G$10000,$A236,Evaluations!$R$3:$R$10000,0)),2),""))</f>
        <v/>
      </c>
      <c r="I236" s="10" t="str">
        <f>IF($A236="","",IFERROR(ROUND(100*COUNTIFS(Evaluations!$G$3:$G$10000,$A236,Evaluations!$S$3:$S$10000,1)/(COUNTIFS(Evaluations!$G$3:$G$10000,$A236,Evaluations!$S$3:$S$10000,1)+COUNTIFS(Evaluations!$G$3:$G$10000,$A236,Evaluations!$S$3:$S$10000,0)),2),""))</f>
        <v/>
      </c>
      <c r="J236" s="10" t="str">
        <f>IF($A236="","",IFERROR(ROUND(100*COUNTIFS(Evaluations!$G$3:$G$10000,$A236,Evaluations!$T$3:$T$10000,1)/(COUNTIFS(Evaluations!$G$3:$G$10000,$A236,Evaluations!$T$3:$T$10000,1)+COUNTIFS(Evaluations!$G$3:$G$10000,$A236,Evaluations!$T$3:$T$10000,0)),2),""))</f>
        <v/>
      </c>
      <c r="K236" s="10" t="str">
        <f>IF($A236="","",COUNTIFS(Evaluations!$G$3:$G$10000,$A236,Evaluations!$M$3:$M$10000,"عدم پاسخ"))</f>
        <v/>
      </c>
      <c r="L236" s="10" t="str">
        <f>IF($A236="","",COUNTIFS(Evaluations!$G$3:$G$10000,$A236,Evaluations!$O$3:$O$10000,"رعایت نشده"))</f>
        <v/>
      </c>
    </row>
    <row r="237">
      <c r="A237" s="10"/>
      <c r="B237" s="10" t="str">
        <f t="array" ref="B237">_xlfn.XLOOKUP(A237,DATA!D:D,DATA!E:E,"")</f>
        <v/>
      </c>
      <c r="C237" s="10" t="str">
        <f>IF($A237="","",COUNTIFS(Evaluations!$G$3:$G$10000,$A237,Evaluations!$U$3:$U$10000,"&gt;=0",Evaluations!$U$3:$U$10000,"&lt;=100"))</f>
        <v/>
      </c>
      <c r="D237" s="10" t="str">
        <f>IF(OR($A237="",C237=0),"",ROUND(SUMIFS(Evaluations!$U$3:$U$10000,Evaluations!$G$3:$G$10000,$A237)/C237,2))</f>
        <v/>
      </c>
      <c r="E237" s="10" t="str">
        <f>IF($A237="","",COUNTIFS(Evaluations!$G$3:$G$10000,$A237,Evaluations!$M$3:$M$10000,"پاسخ داده شده"))</f>
        <v/>
      </c>
      <c r="F237" s="10" t="str">
        <f>IF($A237="","",IFERROR(COUNTIFS(Evaluations!$G$3:$G$10000,$A237,Evaluations!$O$3:$O$10000,"رعایت شده")/(COUNTIFS(Evaluations!$G$3:$G$10000,$A237,Evaluations!$O$3:$O$10000,"رعایت شده")+COUNTIFS(Evaluations!$G$3:$G$10000,$A237,Evaluations!$O$3:$O$10000,"رعایت نشده")),""))</f>
        <v/>
      </c>
      <c r="G237" s="10" t="str">
        <f>IF($A237="","",IFERROR(ROUND(100*COUNTIFS(Evaluations!$G$3:$G$10000,$A237,Evaluations!$Q$3:$Q$10000,1)/(COUNTIFS(Evaluations!$G$3:$G$10000,$A237,Evaluations!$Q$3:$Q$10000,1)+COUNTIFS(Evaluations!$G$3:$G$10000,$A237,Evaluations!$Q$3:$Q$10000,0)),2),""))</f>
        <v/>
      </c>
      <c r="H237" s="10" t="str">
        <f>IF($A237="","",IFERROR(ROUND(100*COUNTIFS(Evaluations!$G$3:$G$10000,$A237,Evaluations!$R$3:$R$10000,1)/(COUNTIFS(Evaluations!$G$3:$G$10000,$A237,Evaluations!$R$3:$R$10000,1)+COUNTIFS(Evaluations!$G$3:$G$10000,$A237,Evaluations!$R$3:$R$10000,0)),2),""))</f>
        <v/>
      </c>
      <c r="I237" s="10" t="str">
        <f>IF($A237="","",IFERROR(ROUND(100*COUNTIFS(Evaluations!$G$3:$G$10000,$A237,Evaluations!$S$3:$S$10000,1)/(COUNTIFS(Evaluations!$G$3:$G$10000,$A237,Evaluations!$S$3:$S$10000,1)+COUNTIFS(Evaluations!$G$3:$G$10000,$A237,Evaluations!$S$3:$S$10000,0)),2),""))</f>
        <v/>
      </c>
      <c r="J237" s="10" t="str">
        <f>IF($A237="","",IFERROR(ROUND(100*COUNTIFS(Evaluations!$G$3:$G$10000,$A237,Evaluations!$T$3:$T$10000,1)/(COUNTIFS(Evaluations!$G$3:$G$10000,$A237,Evaluations!$T$3:$T$10000,1)+COUNTIFS(Evaluations!$G$3:$G$10000,$A237,Evaluations!$T$3:$T$10000,0)),2),""))</f>
        <v/>
      </c>
      <c r="K237" s="10" t="str">
        <f>IF($A237="","",COUNTIFS(Evaluations!$G$3:$G$10000,$A237,Evaluations!$M$3:$M$10000,"عدم پاسخ"))</f>
        <v/>
      </c>
      <c r="L237" s="10" t="str">
        <f>IF($A237="","",COUNTIFS(Evaluations!$G$3:$G$10000,$A237,Evaluations!$O$3:$O$10000,"رعایت نشده"))</f>
        <v/>
      </c>
    </row>
    <row r="238">
      <c r="A238" s="10"/>
      <c r="B238" s="10" t="str">
        <f t="array" ref="B238">_xlfn.XLOOKUP(A238,DATA!D:D,DATA!E:E,"")</f>
        <v/>
      </c>
      <c r="C238" s="10" t="str">
        <f>IF($A238="","",COUNTIFS(Evaluations!$G$3:$G$10000,$A238,Evaluations!$U$3:$U$10000,"&gt;=0",Evaluations!$U$3:$U$10000,"&lt;=100"))</f>
        <v/>
      </c>
      <c r="D238" s="10" t="str">
        <f>IF(OR($A238="",C238=0),"",ROUND(SUMIFS(Evaluations!$U$3:$U$10000,Evaluations!$G$3:$G$10000,$A238)/C238,2))</f>
        <v/>
      </c>
      <c r="E238" s="10" t="str">
        <f>IF($A238="","",COUNTIFS(Evaluations!$G$3:$G$10000,$A238,Evaluations!$M$3:$M$10000,"پاسخ داده شده"))</f>
        <v/>
      </c>
      <c r="F238" s="10" t="str">
        <f>IF($A238="","",IFERROR(COUNTIFS(Evaluations!$G$3:$G$10000,$A238,Evaluations!$O$3:$O$10000,"رعایت شده")/(COUNTIFS(Evaluations!$G$3:$G$10000,$A238,Evaluations!$O$3:$O$10000,"رعایت شده")+COUNTIFS(Evaluations!$G$3:$G$10000,$A238,Evaluations!$O$3:$O$10000,"رعایت نشده")),""))</f>
        <v/>
      </c>
      <c r="G238" s="10" t="str">
        <f>IF($A238="","",IFERROR(ROUND(100*COUNTIFS(Evaluations!$G$3:$G$10000,$A238,Evaluations!$Q$3:$Q$10000,1)/(COUNTIFS(Evaluations!$G$3:$G$10000,$A238,Evaluations!$Q$3:$Q$10000,1)+COUNTIFS(Evaluations!$G$3:$G$10000,$A238,Evaluations!$Q$3:$Q$10000,0)),2),""))</f>
        <v/>
      </c>
      <c r="H238" s="10" t="str">
        <f>IF($A238="","",IFERROR(ROUND(100*COUNTIFS(Evaluations!$G$3:$G$10000,$A238,Evaluations!$R$3:$R$10000,1)/(COUNTIFS(Evaluations!$G$3:$G$10000,$A238,Evaluations!$R$3:$R$10000,1)+COUNTIFS(Evaluations!$G$3:$G$10000,$A238,Evaluations!$R$3:$R$10000,0)),2),""))</f>
        <v/>
      </c>
      <c r="I238" s="10" t="str">
        <f>IF($A238="","",IFERROR(ROUND(100*COUNTIFS(Evaluations!$G$3:$G$10000,$A238,Evaluations!$S$3:$S$10000,1)/(COUNTIFS(Evaluations!$G$3:$G$10000,$A238,Evaluations!$S$3:$S$10000,1)+COUNTIFS(Evaluations!$G$3:$G$10000,$A238,Evaluations!$S$3:$S$10000,0)),2),""))</f>
        <v/>
      </c>
      <c r="J238" s="10" t="str">
        <f>IF($A238="","",IFERROR(ROUND(100*COUNTIFS(Evaluations!$G$3:$G$10000,$A238,Evaluations!$T$3:$T$10000,1)/(COUNTIFS(Evaluations!$G$3:$G$10000,$A238,Evaluations!$T$3:$T$10000,1)+COUNTIFS(Evaluations!$G$3:$G$10000,$A238,Evaluations!$T$3:$T$10000,0)),2),""))</f>
        <v/>
      </c>
      <c r="K238" s="10" t="str">
        <f>IF($A238="","",COUNTIFS(Evaluations!$G$3:$G$10000,$A238,Evaluations!$M$3:$M$10000,"عدم پاسخ"))</f>
        <v/>
      </c>
      <c r="L238" s="10" t="str">
        <f>IF($A238="","",COUNTIFS(Evaluations!$G$3:$G$10000,$A238,Evaluations!$O$3:$O$10000,"رعایت نشده"))</f>
        <v/>
      </c>
    </row>
    <row r="239">
      <c r="A239" s="10"/>
      <c r="B239" s="10" t="str">
        <f t="array" ref="B239">_xlfn.XLOOKUP(A239,DATA!D:D,DATA!E:E,"")</f>
        <v/>
      </c>
      <c r="C239" s="10" t="str">
        <f>IF($A239="","",COUNTIFS(Evaluations!$G$3:$G$10000,$A239,Evaluations!$U$3:$U$10000,"&gt;=0",Evaluations!$U$3:$U$10000,"&lt;=100"))</f>
        <v/>
      </c>
      <c r="D239" s="10" t="str">
        <f>IF(OR($A239="",C239=0),"",ROUND(SUMIFS(Evaluations!$U$3:$U$10000,Evaluations!$G$3:$G$10000,$A239)/C239,2))</f>
        <v/>
      </c>
      <c r="E239" s="10" t="str">
        <f>IF($A239="","",COUNTIFS(Evaluations!$G$3:$G$10000,$A239,Evaluations!$M$3:$M$10000,"پاسخ داده شده"))</f>
        <v/>
      </c>
      <c r="F239" s="10" t="str">
        <f>IF($A239="","",IFERROR(COUNTIFS(Evaluations!$G$3:$G$10000,$A239,Evaluations!$O$3:$O$10000,"رعایت شده")/(COUNTIFS(Evaluations!$G$3:$G$10000,$A239,Evaluations!$O$3:$O$10000,"رعایت شده")+COUNTIFS(Evaluations!$G$3:$G$10000,$A239,Evaluations!$O$3:$O$10000,"رعایت نشده")),""))</f>
        <v/>
      </c>
      <c r="G239" s="10" t="str">
        <f>IF($A239="","",IFERROR(ROUND(100*COUNTIFS(Evaluations!$G$3:$G$10000,$A239,Evaluations!$Q$3:$Q$10000,1)/(COUNTIFS(Evaluations!$G$3:$G$10000,$A239,Evaluations!$Q$3:$Q$10000,1)+COUNTIFS(Evaluations!$G$3:$G$10000,$A239,Evaluations!$Q$3:$Q$10000,0)),2),""))</f>
        <v/>
      </c>
      <c r="H239" s="10" t="str">
        <f>IF($A239="","",IFERROR(ROUND(100*COUNTIFS(Evaluations!$G$3:$G$10000,$A239,Evaluations!$R$3:$R$10000,1)/(COUNTIFS(Evaluations!$G$3:$G$10000,$A239,Evaluations!$R$3:$R$10000,1)+COUNTIFS(Evaluations!$G$3:$G$10000,$A239,Evaluations!$R$3:$R$10000,0)),2),""))</f>
        <v/>
      </c>
      <c r="I239" s="10" t="str">
        <f>IF($A239="","",IFERROR(ROUND(100*COUNTIFS(Evaluations!$G$3:$G$10000,$A239,Evaluations!$S$3:$S$10000,1)/(COUNTIFS(Evaluations!$G$3:$G$10000,$A239,Evaluations!$S$3:$S$10000,1)+COUNTIFS(Evaluations!$G$3:$G$10000,$A239,Evaluations!$S$3:$S$10000,0)),2),""))</f>
        <v/>
      </c>
      <c r="J239" s="10" t="str">
        <f>IF($A239="","",IFERROR(ROUND(100*COUNTIFS(Evaluations!$G$3:$G$10000,$A239,Evaluations!$T$3:$T$10000,1)/(COUNTIFS(Evaluations!$G$3:$G$10000,$A239,Evaluations!$T$3:$T$10000,1)+COUNTIFS(Evaluations!$G$3:$G$10000,$A239,Evaluations!$T$3:$T$10000,0)),2),""))</f>
        <v/>
      </c>
      <c r="K239" s="10" t="str">
        <f>IF($A239="","",COUNTIFS(Evaluations!$G$3:$G$10000,$A239,Evaluations!$M$3:$M$10000,"عدم پاسخ"))</f>
        <v/>
      </c>
      <c r="L239" s="10" t="str">
        <f>IF($A239="","",COUNTIFS(Evaluations!$G$3:$G$10000,$A239,Evaluations!$O$3:$O$10000,"رعایت نشده"))</f>
        <v/>
      </c>
    </row>
    <row r="240">
      <c r="A240" s="10"/>
      <c r="B240" s="10" t="str">
        <f t="array" ref="B240">_xlfn.XLOOKUP(A240,DATA!D:D,DATA!E:E,"")</f>
        <v/>
      </c>
      <c r="C240" s="10" t="str">
        <f>IF($A240="","",COUNTIFS(Evaluations!$G$3:$G$10000,$A240,Evaluations!$U$3:$U$10000,"&gt;=0",Evaluations!$U$3:$U$10000,"&lt;=100"))</f>
        <v/>
      </c>
      <c r="D240" s="10" t="str">
        <f>IF(OR($A240="",C240=0),"",ROUND(SUMIFS(Evaluations!$U$3:$U$10000,Evaluations!$G$3:$G$10000,$A240)/C240,2))</f>
        <v/>
      </c>
      <c r="E240" s="10" t="str">
        <f>IF($A240="","",COUNTIFS(Evaluations!$G$3:$G$10000,$A240,Evaluations!$M$3:$M$10000,"پاسخ داده شده"))</f>
        <v/>
      </c>
      <c r="F240" s="10" t="str">
        <f>IF($A240="","",IFERROR(COUNTIFS(Evaluations!$G$3:$G$10000,$A240,Evaluations!$O$3:$O$10000,"رعایت شده")/(COUNTIFS(Evaluations!$G$3:$G$10000,$A240,Evaluations!$O$3:$O$10000,"رعایت شده")+COUNTIFS(Evaluations!$G$3:$G$10000,$A240,Evaluations!$O$3:$O$10000,"رعایت نشده")),""))</f>
        <v/>
      </c>
      <c r="G240" s="10" t="str">
        <f>IF($A240="","",IFERROR(ROUND(100*COUNTIFS(Evaluations!$G$3:$G$10000,$A240,Evaluations!$Q$3:$Q$10000,1)/(COUNTIFS(Evaluations!$G$3:$G$10000,$A240,Evaluations!$Q$3:$Q$10000,1)+COUNTIFS(Evaluations!$G$3:$G$10000,$A240,Evaluations!$Q$3:$Q$10000,0)),2),""))</f>
        <v/>
      </c>
      <c r="H240" s="10" t="str">
        <f>IF($A240="","",IFERROR(ROUND(100*COUNTIFS(Evaluations!$G$3:$G$10000,$A240,Evaluations!$R$3:$R$10000,1)/(COUNTIFS(Evaluations!$G$3:$G$10000,$A240,Evaluations!$R$3:$R$10000,1)+COUNTIFS(Evaluations!$G$3:$G$10000,$A240,Evaluations!$R$3:$R$10000,0)),2),""))</f>
        <v/>
      </c>
      <c r="I240" s="10" t="str">
        <f>IF($A240="","",IFERROR(ROUND(100*COUNTIFS(Evaluations!$G$3:$G$10000,$A240,Evaluations!$S$3:$S$10000,1)/(COUNTIFS(Evaluations!$G$3:$G$10000,$A240,Evaluations!$S$3:$S$10000,1)+COUNTIFS(Evaluations!$G$3:$G$10000,$A240,Evaluations!$S$3:$S$10000,0)),2),""))</f>
        <v/>
      </c>
      <c r="J240" s="10" t="str">
        <f>IF($A240="","",IFERROR(ROUND(100*COUNTIFS(Evaluations!$G$3:$G$10000,$A240,Evaluations!$T$3:$T$10000,1)/(COUNTIFS(Evaluations!$G$3:$G$10000,$A240,Evaluations!$T$3:$T$10000,1)+COUNTIFS(Evaluations!$G$3:$G$10000,$A240,Evaluations!$T$3:$T$10000,0)),2),""))</f>
        <v/>
      </c>
      <c r="K240" s="10" t="str">
        <f>IF($A240="","",COUNTIFS(Evaluations!$G$3:$G$10000,$A240,Evaluations!$M$3:$M$10000,"عدم پاسخ"))</f>
        <v/>
      </c>
      <c r="L240" s="10" t="str">
        <f>IF($A240="","",COUNTIFS(Evaluations!$G$3:$G$10000,$A240,Evaluations!$O$3:$O$10000,"رعایت نشده"))</f>
        <v/>
      </c>
    </row>
    <row r="241">
      <c r="A241" s="10"/>
      <c r="B241" s="10" t="str">
        <f t="array" ref="B241">_xlfn.XLOOKUP(A241,DATA!D:D,DATA!E:E,"")</f>
        <v/>
      </c>
      <c r="C241" s="10" t="str">
        <f>IF($A241="","",COUNTIFS(Evaluations!$G$3:$G$10000,$A241,Evaluations!$U$3:$U$10000,"&gt;=0",Evaluations!$U$3:$U$10000,"&lt;=100"))</f>
        <v/>
      </c>
      <c r="D241" s="10" t="str">
        <f>IF(OR($A241="",C241=0),"",ROUND(SUMIFS(Evaluations!$U$3:$U$10000,Evaluations!$G$3:$G$10000,$A241)/C241,2))</f>
        <v/>
      </c>
      <c r="E241" s="10" t="str">
        <f>IF($A241="","",COUNTIFS(Evaluations!$G$3:$G$10000,$A241,Evaluations!$M$3:$M$10000,"پاسخ داده شده"))</f>
        <v/>
      </c>
      <c r="F241" s="10" t="str">
        <f>IF($A241="","",IFERROR(COUNTIFS(Evaluations!$G$3:$G$10000,$A241,Evaluations!$O$3:$O$10000,"رعایت شده")/(COUNTIFS(Evaluations!$G$3:$G$10000,$A241,Evaluations!$O$3:$O$10000,"رعایت شده")+COUNTIFS(Evaluations!$G$3:$G$10000,$A241,Evaluations!$O$3:$O$10000,"رعایت نشده")),""))</f>
        <v/>
      </c>
      <c r="G241" s="10" t="str">
        <f>IF($A241="","",IFERROR(ROUND(100*COUNTIFS(Evaluations!$G$3:$G$10000,$A241,Evaluations!$Q$3:$Q$10000,1)/(COUNTIFS(Evaluations!$G$3:$G$10000,$A241,Evaluations!$Q$3:$Q$10000,1)+COUNTIFS(Evaluations!$G$3:$G$10000,$A241,Evaluations!$Q$3:$Q$10000,0)),2),""))</f>
        <v/>
      </c>
      <c r="H241" s="10" t="str">
        <f>IF($A241="","",IFERROR(ROUND(100*COUNTIFS(Evaluations!$G$3:$G$10000,$A241,Evaluations!$R$3:$R$10000,1)/(COUNTIFS(Evaluations!$G$3:$G$10000,$A241,Evaluations!$R$3:$R$10000,1)+COUNTIFS(Evaluations!$G$3:$G$10000,$A241,Evaluations!$R$3:$R$10000,0)),2),""))</f>
        <v/>
      </c>
      <c r="I241" s="10" t="str">
        <f>IF($A241="","",IFERROR(ROUND(100*COUNTIFS(Evaluations!$G$3:$G$10000,$A241,Evaluations!$S$3:$S$10000,1)/(COUNTIFS(Evaluations!$G$3:$G$10000,$A241,Evaluations!$S$3:$S$10000,1)+COUNTIFS(Evaluations!$G$3:$G$10000,$A241,Evaluations!$S$3:$S$10000,0)),2),""))</f>
        <v/>
      </c>
      <c r="J241" s="10" t="str">
        <f>IF($A241="","",IFERROR(ROUND(100*COUNTIFS(Evaluations!$G$3:$G$10000,$A241,Evaluations!$T$3:$T$10000,1)/(COUNTIFS(Evaluations!$G$3:$G$10000,$A241,Evaluations!$T$3:$T$10000,1)+COUNTIFS(Evaluations!$G$3:$G$10000,$A241,Evaluations!$T$3:$T$10000,0)),2),""))</f>
        <v/>
      </c>
      <c r="K241" s="10" t="str">
        <f>IF($A241="","",COUNTIFS(Evaluations!$G$3:$G$10000,$A241,Evaluations!$M$3:$M$10000,"عدم پاسخ"))</f>
        <v/>
      </c>
      <c r="L241" s="10" t="str">
        <f>IF($A241="","",COUNTIFS(Evaluations!$G$3:$G$10000,$A241,Evaluations!$O$3:$O$10000,"رعایت نشده"))</f>
        <v/>
      </c>
    </row>
    <row r="242">
      <c r="A242" s="10"/>
      <c r="B242" s="10" t="str">
        <f t="array" ref="B242">_xlfn.XLOOKUP(A242,DATA!D:D,DATA!E:E,"")</f>
        <v/>
      </c>
      <c r="C242" s="10" t="str">
        <f>IF($A242="","",COUNTIFS(Evaluations!$G$3:$G$10000,$A242,Evaluations!$U$3:$U$10000,"&gt;=0",Evaluations!$U$3:$U$10000,"&lt;=100"))</f>
        <v/>
      </c>
      <c r="D242" s="10" t="str">
        <f>IF(OR($A242="",C242=0),"",ROUND(SUMIFS(Evaluations!$U$3:$U$10000,Evaluations!$G$3:$G$10000,$A242)/C242,2))</f>
        <v/>
      </c>
      <c r="E242" s="10" t="str">
        <f>IF($A242="","",COUNTIFS(Evaluations!$G$3:$G$10000,$A242,Evaluations!$M$3:$M$10000,"پاسخ داده شده"))</f>
        <v/>
      </c>
      <c r="F242" s="10" t="str">
        <f>IF($A242="","",IFERROR(COUNTIFS(Evaluations!$G$3:$G$10000,$A242,Evaluations!$O$3:$O$10000,"رعایت شده")/(COUNTIFS(Evaluations!$G$3:$G$10000,$A242,Evaluations!$O$3:$O$10000,"رعایت شده")+COUNTIFS(Evaluations!$G$3:$G$10000,$A242,Evaluations!$O$3:$O$10000,"رعایت نشده")),""))</f>
        <v/>
      </c>
      <c r="G242" s="10" t="str">
        <f>IF($A242="","",IFERROR(ROUND(100*COUNTIFS(Evaluations!$G$3:$G$10000,$A242,Evaluations!$Q$3:$Q$10000,1)/(COUNTIFS(Evaluations!$G$3:$G$10000,$A242,Evaluations!$Q$3:$Q$10000,1)+COUNTIFS(Evaluations!$G$3:$G$10000,$A242,Evaluations!$Q$3:$Q$10000,0)),2),""))</f>
        <v/>
      </c>
      <c r="H242" s="10" t="str">
        <f>IF($A242="","",IFERROR(ROUND(100*COUNTIFS(Evaluations!$G$3:$G$10000,$A242,Evaluations!$R$3:$R$10000,1)/(COUNTIFS(Evaluations!$G$3:$G$10000,$A242,Evaluations!$R$3:$R$10000,1)+COUNTIFS(Evaluations!$G$3:$G$10000,$A242,Evaluations!$R$3:$R$10000,0)),2),""))</f>
        <v/>
      </c>
      <c r="I242" s="10" t="str">
        <f>IF($A242="","",IFERROR(ROUND(100*COUNTIFS(Evaluations!$G$3:$G$10000,$A242,Evaluations!$S$3:$S$10000,1)/(COUNTIFS(Evaluations!$G$3:$G$10000,$A242,Evaluations!$S$3:$S$10000,1)+COUNTIFS(Evaluations!$G$3:$G$10000,$A242,Evaluations!$S$3:$S$10000,0)),2),""))</f>
        <v/>
      </c>
      <c r="J242" s="10" t="str">
        <f>IF($A242="","",IFERROR(ROUND(100*COUNTIFS(Evaluations!$G$3:$G$10000,$A242,Evaluations!$T$3:$T$10000,1)/(COUNTIFS(Evaluations!$G$3:$G$10000,$A242,Evaluations!$T$3:$T$10000,1)+COUNTIFS(Evaluations!$G$3:$G$10000,$A242,Evaluations!$T$3:$T$10000,0)),2),""))</f>
        <v/>
      </c>
      <c r="K242" s="10" t="str">
        <f>IF($A242="","",COUNTIFS(Evaluations!$G$3:$G$10000,$A242,Evaluations!$M$3:$M$10000,"عدم پاسخ"))</f>
        <v/>
      </c>
      <c r="L242" s="10" t="str">
        <f>IF($A242="","",COUNTIFS(Evaluations!$G$3:$G$10000,$A242,Evaluations!$O$3:$O$10000,"رعایت نشده"))</f>
        <v/>
      </c>
    </row>
    <row r="243">
      <c r="A243" s="10"/>
      <c r="B243" s="10" t="str">
        <f t="array" ref="B243">_xlfn.XLOOKUP(A243,DATA!D:D,DATA!E:E,"")</f>
        <v/>
      </c>
      <c r="C243" s="10" t="str">
        <f>IF($A243="","",COUNTIFS(Evaluations!$G$3:$G$10000,$A243,Evaluations!$U$3:$U$10000,"&gt;=0",Evaluations!$U$3:$U$10000,"&lt;=100"))</f>
        <v/>
      </c>
      <c r="D243" s="10" t="str">
        <f>IF(OR($A243="",C243=0),"",ROUND(SUMIFS(Evaluations!$U$3:$U$10000,Evaluations!$G$3:$G$10000,$A243)/C243,2))</f>
        <v/>
      </c>
      <c r="E243" s="10" t="str">
        <f>IF($A243="","",COUNTIFS(Evaluations!$G$3:$G$10000,$A243,Evaluations!$M$3:$M$10000,"پاسخ داده شده"))</f>
        <v/>
      </c>
      <c r="F243" s="10" t="str">
        <f>IF($A243="","",IFERROR(COUNTIFS(Evaluations!$G$3:$G$10000,$A243,Evaluations!$O$3:$O$10000,"رعایت شده")/(COUNTIFS(Evaluations!$G$3:$G$10000,$A243,Evaluations!$O$3:$O$10000,"رعایت شده")+COUNTIFS(Evaluations!$G$3:$G$10000,$A243,Evaluations!$O$3:$O$10000,"رعایت نشده")),""))</f>
        <v/>
      </c>
      <c r="G243" s="10" t="str">
        <f>IF($A243="","",IFERROR(ROUND(100*COUNTIFS(Evaluations!$G$3:$G$10000,$A243,Evaluations!$Q$3:$Q$10000,1)/(COUNTIFS(Evaluations!$G$3:$G$10000,$A243,Evaluations!$Q$3:$Q$10000,1)+COUNTIFS(Evaluations!$G$3:$G$10000,$A243,Evaluations!$Q$3:$Q$10000,0)),2),""))</f>
        <v/>
      </c>
      <c r="H243" s="10" t="str">
        <f>IF($A243="","",IFERROR(ROUND(100*COUNTIFS(Evaluations!$G$3:$G$10000,$A243,Evaluations!$R$3:$R$10000,1)/(COUNTIFS(Evaluations!$G$3:$G$10000,$A243,Evaluations!$R$3:$R$10000,1)+COUNTIFS(Evaluations!$G$3:$G$10000,$A243,Evaluations!$R$3:$R$10000,0)),2),""))</f>
        <v/>
      </c>
      <c r="I243" s="10" t="str">
        <f>IF($A243="","",IFERROR(ROUND(100*COUNTIFS(Evaluations!$G$3:$G$10000,$A243,Evaluations!$S$3:$S$10000,1)/(COUNTIFS(Evaluations!$G$3:$G$10000,$A243,Evaluations!$S$3:$S$10000,1)+COUNTIFS(Evaluations!$G$3:$G$10000,$A243,Evaluations!$S$3:$S$10000,0)),2),""))</f>
        <v/>
      </c>
      <c r="J243" s="10" t="str">
        <f>IF($A243="","",IFERROR(ROUND(100*COUNTIFS(Evaluations!$G$3:$G$10000,$A243,Evaluations!$T$3:$T$10000,1)/(COUNTIFS(Evaluations!$G$3:$G$10000,$A243,Evaluations!$T$3:$T$10000,1)+COUNTIFS(Evaluations!$G$3:$G$10000,$A243,Evaluations!$T$3:$T$10000,0)),2),""))</f>
        <v/>
      </c>
      <c r="K243" s="10" t="str">
        <f>IF($A243="","",COUNTIFS(Evaluations!$G$3:$G$10000,$A243,Evaluations!$M$3:$M$10000,"عدم پاسخ"))</f>
        <v/>
      </c>
      <c r="L243" s="10" t="str">
        <f>IF($A243="","",COUNTIFS(Evaluations!$G$3:$G$10000,$A243,Evaluations!$O$3:$O$10000,"رعایت نشده"))</f>
        <v/>
      </c>
    </row>
    <row r="244">
      <c r="A244" s="10"/>
      <c r="B244" s="10" t="str">
        <f t="array" ref="B244">_xlfn.XLOOKUP(A244,DATA!D:D,DATA!E:E,"")</f>
        <v/>
      </c>
      <c r="C244" s="10" t="str">
        <f>IF($A244="","",COUNTIFS(Evaluations!$G$3:$G$10000,$A244,Evaluations!$U$3:$U$10000,"&gt;=0",Evaluations!$U$3:$U$10000,"&lt;=100"))</f>
        <v/>
      </c>
      <c r="D244" s="10" t="str">
        <f>IF(OR($A244="",C244=0),"",ROUND(SUMIFS(Evaluations!$U$3:$U$10000,Evaluations!$G$3:$G$10000,$A244)/C244,2))</f>
        <v/>
      </c>
      <c r="E244" s="10" t="str">
        <f>IF($A244="","",COUNTIFS(Evaluations!$G$3:$G$10000,$A244,Evaluations!$M$3:$M$10000,"پاسخ داده شده"))</f>
        <v/>
      </c>
      <c r="F244" s="10" t="str">
        <f>IF($A244="","",IFERROR(COUNTIFS(Evaluations!$G$3:$G$10000,$A244,Evaluations!$O$3:$O$10000,"رعایت شده")/(COUNTIFS(Evaluations!$G$3:$G$10000,$A244,Evaluations!$O$3:$O$10000,"رعایت شده")+COUNTIFS(Evaluations!$G$3:$G$10000,$A244,Evaluations!$O$3:$O$10000,"رعایت نشده")),""))</f>
        <v/>
      </c>
      <c r="G244" s="10" t="str">
        <f>IF($A244="","",IFERROR(ROUND(100*COUNTIFS(Evaluations!$G$3:$G$10000,$A244,Evaluations!$Q$3:$Q$10000,1)/(COUNTIFS(Evaluations!$G$3:$G$10000,$A244,Evaluations!$Q$3:$Q$10000,1)+COUNTIFS(Evaluations!$G$3:$G$10000,$A244,Evaluations!$Q$3:$Q$10000,0)),2),""))</f>
        <v/>
      </c>
      <c r="H244" s="10" t="str">
        <f>IF($A244="","",IFERROR(ROUND(100*COUNTIFS(Evaluations!$G$3:$G$10000,$A244,Evaluations!$R$3:$R$10000,1)/(COUNTIFS(Evaluations!$G$3:$G$10000,$A244,Evaluations!$R$3:$R$10000,1)+COUNTIFS(Evaluations!$G$3:$G$10000,$A244,Evaluations!$R$3:$R$10000,0)),2),""))</f>
        <v/>
      </c>
      <c r="I244" s="10" t="str">
        <f>IF($A244="","",IFERROR(ROUND(100*COUNTIFS(Evaluations!$G$3:$G$10000,$A244,Evaluations!$S$3:$S$10000,1)/(COUNTIFS(Evaluations!$G$3:$G$10000,$A244,Evaluations!$S$3:$S$10000,1)+COUNTIFS(Evaluations!$G$3:$G$10000,$A244,Evaluations!$S$3:$S$10000,0)),2),""))</f>
        <v/>
      </c>
      <c r="J244" s="10" t="str">
        <f>IF($A244="","",IFERROR(ROUND(100*COUNTIFS(Evaluations!$G$3:$G$10000,$A244,Evaluations!$T$3:$T$10000,1)/(COUNTIFS(Evaluations!$G$3:$G$10000,$A244,Evaluations!$T$3:$T$10000,1)+COUNTIFS(Evaluations!$G$3:$G$10000,$A244,Evaluations!$T$3:$T$10000,0)),2),""))</f>
        <v/>
      </c>
      <c r="K244" s="10" t="str">
        <f>IF($A244="","",COUNTIFS(Evaluations!$G$3:$G$10000,$A244,Evaluations!$M$3:$M$10000,"عدم پاسخ"))</f>
        <v/>
      </c>
      <c r="L244" s="10" t="str">
        <f>IF($A244="","",COUNTIFS(Evaluations!$G$3:$G$10000,$A244,Evaluations!$O$3:$O$10000,"رعایت نشده"))</f>
        <v/>
      </c>
    </row>
    <row r="245">
      <c r="A245" s="10"/>
      <c r="B245" s="10" t="str">
        <f t="array" ref="B245">_xlfn.XLOOKUP(A245,DATA!D:D,DATA!E:E,"")</f>
        <v/>
      </c>
      <c r="C245" s="10" t="str">
        <f>IF($A245="","",COUNTIFS(Evaluations!$G$3:$G$10000,$A245,Evaluations!$U$3:$U$10000,"&gt;=0",Evaluations!$U$3:$U$10000,"&lt;=100"))</f>
        <v/>
      </c>
      <c r="D245" s="10" t="str">
        <f>IF(OR($A245="",C245=0),"",ROUND(SUMIFS(Evaluations!$U$3:$U$10000,Evaluations!$G$3:$G$10000,$A245)/C245,2))</f>
        <v/>
      </c>
      <c r="E245" s="10" t="str">
        <f>IF($A245="","",COUNTIFS(Evaluations!$G$3:$G$10000,$A245,Evaluations!$M$3:$M$10000,"پاسخ داده شده"))</f>
        <v/>
      </c>
      <c r="F245" s="10" t="str">
        <f>IF($A245="","",IFERROR(COUNTIFS(Evaluations!$G$3:$G$10000,$A245,Evaluations!$O$3:$O$10000,"رعایت شده")/(COUNTIFS(Evaluations!$G$3:$G$10000,$A245,Evaluations!$O$3:$O$10000,"رعایت شده")+COUNTIFS(Evaluations!$G$3:$G$10000,$A245,Evaluations!$O$3:$O$10000,"رعایت نشده")),""))</f>
        <v/>
      </c>
      <c r="G245" s="10" t="str">
        <f>IF($A245="","",IFERROR(ROUND(100*COUNTIFS(Evaluations!$G$3:$G$10000,$A245,Evaluations!$Q$3:$Q$10000,1)/(COUNTIFS(Evaluations!$G$3:$G$10000,$A245,Evaluations!$Q$3:$Q$10000,1)+COUNTIFS(Evaluations!$G$3:$G$10000,$A245,Evaluations!$Q$3:$Q$10000,0)),2),""))</f>
        <v/>
      </c>
      <c r="H245" s="10" t="str">
        <f>IF($A245="","",IFERROR(ROUND(100*COUNTIFS(Evaluations!$G$3:$G$10000,$A245,Evaluations!$R$3:$R$10000,1)/(COUNTIFS(Evaluations!$G$3:$G$10000,$A245,Evaluations!$R$3:$R$10000,1)+COUNTIFS(Evaluations!$G$3:$G$10000,$A245,Evaluations!$R$3:$R$10000,0)),2),""))</f>
        <v/>
      </c>
      <c r="I245" s="10" t="str">
        <f>IF($A245="","",IFERROR(ROUND(100*COUNTIFS(Evaluations!$G$3:$G$10000,$A245,Evaluations!$S$3:$S$10000,1)/(COUNTIFS(Evaluations!$G$3:$G$10000,$A245,Evaluations!$S$3:$S$10000,1)+COUNTIFS(Evaluations!$G$3:$G$10000,$A245,Evaluations!$S$3:$S$10000,0)),2),""))</f>
        <v/>
      </c>
      <c r="J245" s="10" t="str">
        <f>IF($A245="","",IFERROR(ROUND(100*COUNTIFS(Evaluations!$G$3:$G$10000,$A245,Evaluations!$T$3:$T$10000,1)/(COUNTIFS(Evaluations!$G$3:$G$10000,$A245,Evaluations!$T$3:$T$10000,1)+COUNTIFS(Evaluations!$G$3:$G$10000,$A245,Evaluations!$T$3:$T$10000,0)),2),""))</f>
        <v/>
      </c>
      <c r="K245" s="10" t="str">
        <f>IF($A245="","",COUNTIFS(Evaluations!$G$3:$G$10000,$A245,Evaluations!$M$3:$M$10000,"عدم پاسخ"))</f>
        <v/>
      </c>
      <c r="L245" s="10" t="str">
        <f>IF($A245="","",COUNTIFS(Evaluations!$G$3:$G$10000,$A245,Evaluations!$O$3:$O$10000,"رعایت نشده"))</f>
        <v/>
      </c>
    </row>
    <row r="246">
      <c r="A246" s="10"/>
      <c r="B246" s="10" t="str">
        <f t="array" ref="B246">_xlfn.XLOOKUP(A246,DATA!D:D,DATA!E:E,"")</f>
        <v/>
      </c>
      <c r="C246" s="10" t="str">
        <f>IF($A246="","",COUNTIFS(Evaluations!$G$3:$G$10000,$A246,Evaluations!$U$3:$U$10000,"&gt;=0",Evaluations!$U$3:$U$10000,"&lt;=100"))</f>
        <v/>
      </c>
      <c r="D246" s="10" t="str">
        <f>IF(OR($A246="",C246=0),"",ROUND(SUMIFS(Evaluations!$U$3:$U$10000,Evaluations!$G$3:$G$10000,$A246)/C246,2))</f>
        <v/>
      </c>
      <c r="E246" s="10" t="str">
        <f>IF($A246="","",COUNTIFS(Evaluations!$G$3:$G$10000,$A246,Evaluations!$M$3:$M$10000,"پاسخ داده شده"))</f>
        <v/>
      </c>
      <c r="F246" s="10" t="str">
        <f>IF($A246="","",IFERROR(COUNTIFS(Evaluations!$G$3:$G$10000,$A246,Evaluations!$O$3:$O$10000,"رعایت شده")/(COUNTIFS(Evaluations!$G$3:$G$10000,$A246,Evaluations!$O$3:$O$10000,"رعایت شده")+COUNTIFS(Evaluations!$G$3:$G$10000,$A246,Evaluations!$O$3:$O$10000,"رعایت نشده")),""))</f>
        <v/>
      </c>
      <c r="G246" s="10" t="str">
        <f>IF($A246="","",IFERROR(ROUND(100*COUNTIFS(Evaluations!$G$3:$G$10000,$A246,Evaluations!$Q$3:$Q$10000,1)/(COUNTIFS(Evaluations!$G$3:$G$10000,$A246,Evaluations!$Q$3:$Q$10000,1)+COUNTIFS(Evaluations!$G$3:$G$10000,$A246,Evaluations!$Q$3:$Q$10000,0)),2),""))</f>
        <v/>
      </c>
      <c r="H246" s="10" t="str">
        <f>IF($A246="","",IFERROR(ROUND(100*COUNTIFS(Evaluations!$G$3:$G$10000,$A246,Evaluations!$R$3:$R$10000,1)/(COUNTIFS(Evaluations!$G$3:$G$10000,$A246,Evaluations!$R$3:$R$10000,1)+COUNTIFS(Evaluations!$G$3:$G$10000,$A246,Evaluations!$R$3:$R$10000,0)),2),""))</f>
        <v/>
      </c>
      <c r="I246" s="10" t="str">
        <f>IF($A246="","",IFERROR(ROUND(100*COUNTIFS(Evaluations!$G$3:$G$10000,$A246,Evaluations!$S$3:$S$10000,1)/(COUNTIFS(Evaluations!$G$3:$G$10000,$A246,Evaluations!$S$3:$S$10000,1)+COUNTIFS(Evaluations!$G$3:$G$10000,$A246,Evaluations!$S$3:$S$10000,0)),2),""))</f>
        <v/>
      </c>
      <c r="J246" s="10" t="str">
        <f>IF($A246="","",IFERROR(ROUND(100*COUNTIFS(Evaluations!$G$3:$G$10000,$A246,Evaluations!$T$3:$T$10000,1)/(COUNTIFS(Evaluations!$G$3:$G$10000,$A246,Evaluations!$T$3:$T$10000,1)+COUNTIFS(Evaluations!$G$3:$G$10000,$A246,Evaluations!$T$3:$T$10000,0)),2),""))</f>
        <v/>
      </c>
      <c r="K246" s="10" t="str">
        <f>IF($A246="","",COUNTIFS(Evaluations!$G$3:$G$10000,$A246,Evaluations!$M$3:$M$10000,"عدم پاسخ"))</f>
        <v/>
      </c>
      <c r="L246" s="10" t="str">
        <f>IF($A246="","",COUNTIFS(Evaluations!$G$3:$G$10000,$A246,Evaluations!$O$3:$O$10000,"رعایت نشده"))</f>
        <v/>
      </c>
    </row>
    <row r="247">
      <c r="A247" s="10"/>
      <c r="B247" s="10" t="str">
        <f t="array" ref="B247">_xlfn.XLOOKUP(A247,DATA!D:D,DATA!E:E,"")</f>
        <v/>
      </c>
      <c r="C247" s="10" t="str">
        <f>IF($A247="","",COUNTIFS(Evaluations!$G$3:$G$10000,$A247,Evaluations!$U$3:$U$10000,"&gt;=0",Evaluations!$U$3:$U$10000,"&lt;=100"))</f>
        <v/>
      </c>
      <c r="D247" s="10" t="str">
        <f>IF(OR($A247="",C247=0),"",ROUND(SUMIFS(Evaluations!$U$3:$U$10000,Evaluations!$G$3:$G$10000,$A247)/C247,2))</f>
        <v/>
      </c>
      <c r="E247" s="10" t="str">
        <f>IF($A247="","",COUNTIFS(Evaluations!$G$3:$G$10000,$A247,Evaluations!$M$3:$M$10000,"پاسخ داده شده"))</f>
        <v/>
      </c>
      <c r="F247" s="10" t="str">
        <f>IF($A247="","",IFERROR(COUNTIFS(Evaluations!$G$3:$G$10000,$A247,Evaluations!$O$3:$O$10000,"رعایت شده")/(COUNTIFS(Evaluations!$G$3:$G$10000,$A247,Evaluations!$O$3:$O$10000,"رعایت شده")+COUNTIFS(Evaluations!$G$3:$G$10000,$A247,Evaluations!$O$3:$O$10000,"رعایت نشده")),""))</f>
        <v/>
      </c>
      <c r="G247" s="10" t="str">
        <f>IF($A247="","",IFERROR(ROUND(100*COUNTIFS(Evaluations!$G$3:$G$10000,$A247,Evaluations!$Q$3:$Q$10000,1)/(COUNTIFS(Evaluations!$G$3:$G$10000,$A247,Evaluations!$Q$3:$Q$10000,1)+COUNTIFS(Evaluations!$G$3:$G$10000,$A247,Evaluations!$Q$3:$Q$10000,0)),2),""))</f>
        <v/>
      </c>
      <c r="H247" s="10" t="str">
        <f>IF($A247="","",IFERROR(ROUND(100*COUNTIFS(Evaluations!$G$3:$G$10000,$A247,Evaluations!$R$3:$R$10000,1)/(COUNTIFS(Evaluations!$G$3:$G$10000,$A247,Evaluations!$R$3:$R$10000,1)+COUNTIFS(Evaluations!$G$3:$G$10000,$A247,Evaluations!$R$3:$R$10000,0)),2),""))</f>
        <v/>
      </c>
      <c r="I247" s="10" t="str">
        <f>IF($A247="","",IFERROR(ROUND(100*COUNTIFS(Evaluations!$G$3:$G$10000,$A247,Evaluations!$S$3:$S$10000,1)/(COUNTIFS(Evaluations!$G$3:$G$10000,$A247,Evaluations!$S$3:$S$10000,1)+COUNTIFS(Evaluations!$G$3:$G$10000,$A247,Evaluations!$S$3:$S$10000,0)),2),""))</f>
        <v/>
      </c>
      <c r="J247" s="10" t="str">
        <f>IF($A247="","",IFERROR(ROUND(100*COUNTIFS(Evaluations!$G$3:$G$10000,$A247,Evaluations!$T$3:$T$10000,1)/(COUNTIFS(Evaluations!$G$3:$G$10000,$A247,Evaluations!$T$3:$T$10000,1)+COUNTIFS(Evaluations!$G$3:$G$10000,$A247,Evaluations!$T$3:$T$10000,0)),2),""))</f>
        <v/>
      </c>
      <c r="K247" s="10" t="str">
        <f>IF($A247="","",COUNTIFS(Evaluations!$G$3:$G$10000,$A247,Evaluations!$M$3:$M$10000,"عدم پاسخ"))</f>
        <v/>
      </c>
      <c r="L247" s="10" t="str">
        <f>IF($A247="","",COUNTIFS(Evaluations!$G$3:$G$10000,$A247,Evaluations!$O$3:$O$10000,"رعایت نشده"))</f>
        <v/>
      </c>
    </row>
    <row r="248">
      <c r="A248" s="10"/>
      <c r="B248" s="10" t="str">
        <f t="array" ref="B248">_xlfn.XLOOKUP(A248,DATA!D:D,DATA!E:E,"")</f>
        <v/>
      </c>
      <c r="C248" s="10" t="str">
        <f>IF($A248="","",COUNTIFS(Evaluations!$G$3:$G$10000,$A248,Evaluations!$U$3:$U$10000,"&gt;=0",Evaluations!$U$3:$U$10000,"&lt;=100"))</f>
        <v/>
      </c>
      <c r="D248" s="10" t="str">
        <f>IF(OR($A248="",C248=0),"",ROUND(SUMIFS(Evaluations!$U$3:$U$10000,Evaluations!$G$3:$G$10000,$A248)/C248,2))</f>
        <v/>
      </c>
      <c r="E248" s="10" t="str">
        <f>IF($A248="","",COUNTIFS(Evaluations!$G$3:$G$10000,$A248,Evaluations!$M$3:$M$10000,"پاسخ داده شده"))</f>
        <v/>
      </c>
      <c r="F248" s="10" t="str">
        <f>IF($A248="","",IFERROR(COUNTIFS(Evaluations!$G$3:$G$10000,$A248,Evaluations!$O$3:$O$10000,"رعایت شده")/(COUNTIFS(Evaluations!$G$3:$G$10000,$A248,Evaluations!$O$3:$O$10000,"رعایت شده")+COUNTIFS(Evaluations!$G$3:$G$10000,$A248,Evaluations!$O$3:$O$10000,"رعایت نشده")),""))</f>
        <v/>
      </c>
      <c r="G248" s="10" t="str">
        <f>IF($A248="","",IFERROR(ROUND(100*COUNTIFS(Evaluations!$G$3:$G$10000,$A248,Evaluations!$Q$3:$Q$10000,1)/(COUNTIFS(Evaluations!$G$3:$G$10000,$A248,Evaluations!$Q$3:$Q$10000,1)+COUNTIFS(Evaluations!$G$3:$G$10000,$A248,Evaluations!$Q$3:$Q$10000,0)),2),""))</f>
        <v/>
      </c>
      <c r="H248" s="10" t="str">
        <f>IF($A248="","",IFERROR(ROUND(100*COUNTIFS(Evaluations!$G$3:$G$10000,$A248,Evaluations!$R$3:$R$10000,1)/(COUNTIFS(Evaluations!$G$3:$G$10000,$A248,Evaluations!$R$3:$R$10000,1)+COUNTIFS(Evaluations!$G$3:$G$10000,$A248,Evaluations!$R$3:$R$10000,0)),2),""))</f>
        <v/>
      </c>
      <c r="I248" s="10" t="str">
        <f>IF($A248="","",IFERROR(ROUND(100*COUNTIFS(Evaluations!$G$3:$G$10000,$A248,Evaluations!$S$3:$S$10000,1)/(COUNTIFS(Evaluations!$G$3:$G$10000,$A248,Evaluations!$S$3:$S$10000,1)+COUNTIFS(Evaluations!$G$3:$G$10000,$A248,Evaluations!$S$3:$S$10000,0)),2),""))</f>
        <v/>
      </c>
      <c r="J248" s="10" t="str">
        <f>IF($A248="","",IFERROR(ROUND(100*COUNTIFS(Evaluations!$G$3:$G$10000,$A248,Evaluations!$T$3:$T$10000,1)/(COUNTIFS(Evaluations!$G$3:$G$10000,$A248,Evaluations!$T$3:$T$10000,1)+COUNTIFS(Evaluations!$G$3:$G$10000,$A248,Evaluations!$T$3:$T$10000,0)),2),""))</f>
        <v/>
      </c>
      <c r="K248" s="10" t="str">
        <f>IF($A248="","",COUNTIFS(Evaluations!$G$3:$G$10000,$A248,Evaluations!$M$3:$M$10000,"عدم پاسخ"))</f>
        <v/>
      </c>
      <c r="L248" s="10" t="str">
        <f>IF($A248="","",COUNTIFS(Evaluations!$G$3:$G$10000,$A248,Evaluations!$O$3:$O$10000,"رعایت نشده"))</f>
        <v/>
      </c>
    </row>
    <row r="249">
      <c r="A249" s="10"/>
      <c r="B249" s="10" t="str">
        <f t="array" ref="B249">_xlfn.XLOOKUP(A249,DATA!D:D,DATA!E:E,"")</f>
        <v/>
      </c>
      <c r="C249" s="10" t="str">
        <f>IF($A249="","",COUNTIFS(Evaluations!$G$3:$G$10000,$A249,Evaluations!$U$3:$U$10000,"&gt;=0",Evaluations!$U$3:$U$10000,"&lt;=100"))</f>
        <v/>
      </c>
      <c r="D249" s="10" t="str">
        <f>IF(OR($A249="",C249=0),"",ROUND(SUMIFS(Evaluations!$U$3:$U$10000,Evaluations!$G$3:$G$10000,$A249)/C249,2))</f>
        <v/>
      </c>
      <c r="E249" s="10" t="str">
        <f>IF($A249="","",COUNTIFS(Evaluations!$G$3:$G$10000,$A249,Evaluations!$M$3:$M$10000,"پاسخ داده شده"))</f>
        <v/>
      </c>
      <c r="F249" s="10" t="str">
        <f>IF($A249="","",IFERROR(COUNTIFS(Evaluations!$G$3:$G$10000,$A249,Evaluations!$O$3:$O$10000,"رعایت شده")/(COUNTIFS(Evaluations!$G$3:$G$10000,$A249,Evaluations!$O$3:$O$10000,"رعایت شده")+COUNTIFS(Evaluations!$G$3:$G$10000,$A249,Evaluations!$O$3:$O$10000,"رعایت نشده")),""))</f>
        <v/>
      </c>
      <c r="G249" s="10" t="str">
        <f>IF($A249="","",IFERROR(ROUND(100*COUNTIFS(Evaluations!$G$3:$G$10000,$A249,Evaluations!$Q$3:$Q$10000,1)/(COUNTIFS(Evaluations!$G$3:$G$10000,$A249,Evaluations!$Q$3:$Q$10000,1)+COUNTIFS(Evaluations!$G$3:$G$10000,$A249,Evaluations!$Q$3:$Q$10000,0)),2),""))</f>
        <v/>
      </c>
      <c r="H249" s="10" t="str">
        <f>IF($A249="","",IFERROR(ROUND(100*COUNTIFS(Evaluations!$G$3:$G$10000,$A249,Evaluations!$R$3:$R$10000,1)/(COUNTIFS(Evaluations!$G$3:$G$10000,$A249,Evaluations!$R$3:$R$10000,1)+COUNTIFS(Evaluations!$G$3:$G$10000,$A249,Evaluations!$R$3:$R$10000,0)),2),""))</f>
        <v/>
      </c>
      <c r="I249" s="10" t="str">
        <f>IF($A249="","",IFERROR(ROUND(100*COUNTIFS(Evaluations!$G$3:$G$10000,$A249,Evaluations!$S$3:$S$10000,1)/(COUNTIFS(Evaluations!$G$3:$G$10000,$A249,Evaluations!$S$3:$S$10000,1)+COUNTIFS(Evaluations!$G$3:$G$10000,$A249,Evaluations!$S$3:$S$10000,0)),2),""))</f>
        <v/>
      </c>
      <c r="J249" s="10" t="str">
        <f>IF($A249="","",IFERROR(ROUND(100*COUNTIFS(Evaluations!$G$3:$G$10000,$A249,Evaluations!$T$3:$T$10000,1)/(COUNTIFS(Evaluations!$G$3:$G$10000,$A249,Evaluations!$T$3:$T$10000,1)+COUNTIFS(Evaluations!$G$3:$G$10000,$A249,Evaluations!$T$3:$T$10000,0)),2),""))</f>
        <v/>
      </c>
      <c r="K249" s="10" t="str">
        <f>IF($A249="","",COUNTIFS(Evaluations!$G$3:$G$10000,$A249,Evaluations!$M$3:$M$10000,"عدم پاسخ"))</f>
        <v/>
      </c>
      <c r="L249" s="10" t="str">
        <f>IF($A249="","",COUNTIFS(Evaluations!$G$3:$G$10000,$A249,Evaluations!$O$3:$O$10000,"رعایت نشده"))</f>
        <v/>
      </c>
    </row>
    <row r="250">
      <c r="A250" s="10"/>
      <c r="B250" s="10" t="str">
        <f t="array" ref="B250">_xlfn.XLOOKUP(A250,DATA!D:D,DATA!E:E,"")</f>
        <v/>
      </c>
      <c r="C250" s="10" t="str">
        <f>IF($A250="","",COUNTIFS(Evaluations!$G$3:$G$10000,$A250,Evaluations!$U$3:$U$10000,"&gt;=0",Evaluations!$U$3:$U$10000,"&lt;=100"))</f>
        <v/>
      </c>
      <c r="D250" s="10" t="str">
        <f>IF(OR($A250="",C250=0),"",ROUND(SUMIFS(Evaluations!$U$3:$U$10000,Evaluations!$G$3:$G$10000,$A250)/C250,2))</f>
        <v/>
      </c>
      <c r="E250" s="10" t="str">
        <f>IF($A250="","",COUNTIFS(Evaluations!$G$3:$G$10000,$A250,Evaluations!$M$3:$M$10000,"پاسخ داده شده"))</f>
        <v/>
      </c>
      <c r="F250" s="10" t="str">
        <f>IF($A250="","",IFERROR(COUNTIFS(Evaluations!$G$3:$G$10000,$A250,Evaluations!$O$3:$O$10000,"رعایت شده")/(COUNTIFS(Evaluations!$G$3:$G$10000,$A250,Evaluations!$O$3:$O$10000,"رعایت شده")+COUNTIFS(Evaluations!$G$3:$G$10000,$A250,Evaluations!$O$3:$O$10000,"رعایت نشده")),""))</f>
        <v/>
      </c>
      <c r="G250" s="10" t="str">
        <f>IF($A250="","",IFERROR(ROUND(100*COUNTIFS(Evaluations!$G$3:$G$10000,$A250,Evaluations!$Q$3:$Q$10000,1)/(COUNTIFS(Evaluations!$G$3:$G$10000,$A250,Evaluations!$Q$3:$Q$10000,1)+COUNTIFS(Evaluations!$G$3:$G$10000,$A250,Evaluations!$Q$3:$Q$10000,0)),2),""))</f>
        <v/>
      </c>
      <c r="H250" s="10" t="str">
        <f>IF($A250="","",IFERROR(ROUND(100*COUNTIFS(Evaluations!$G$3:$G$10000,$A250,Evaluations!$R$3:$R$10000,1)/(COUNTIFS(Evaluations!$G$3:$G$10000,$A250,Evaluations!$R$3:$R$10000,1)+COUNTIFS(Evaluations!$G$3:$G$10000,$A250,Evaluations!$R$3:$R$10000,0)),2),""))</f>
        <v/>
      </c>
      <c r="I250" s="10" t="str">
        <f>IF($A250="","",IFERROR(ROUND(100*COUNTIFS(Evaluations!$G$3:$G$10000,$A250,Evaluations!$S$3:$S$10000,1)/(COUNTIFS(Evaluations!$G$3:$G$10000,$A250,Evaluations!$S$3:$S$10000,1)+COUNTIFS(Evaluations!$G$3:$G$10000,$A250,Evaluations!$S$3:$S$10000,0)),2),""))</f>
        <v/>
      </c>
      <c r="J250" s="10" t="str">
        <f>IF($A250="","",IFERROR(ROUND(100*COUNTIFS(Evaluations!$G$3:$G$10000,$A250,Evaluations!$T$3:$T$10000,1)/(COUNTIFS(Evaluations!$G$3:$G$10000,$A250,Evaluations!$T$3:$T$10000,1)+COUNTIFS(Evaluations!$G$3:$G$10000,$A250,Evaluations!$T$3:$T$10000,0)),2),""))</f>
        <v/>
      </c>
      <c r="K250" s="10" t="str">
        <f>IF($A250="","",COUNTIFS(Evaluations!$G$3:$G$10000,$A250,Evaluations!$M$3:$M$10000,"عدم پاسخ"))</f>
        <v/>
      </c>
      <c r="L250" s="10" t="str">
        <f>IF($A250="","",COUNTIFS(Evaluations!$G$3:$G$10000,$A250,Evaluations!$O$3:$O$10000,"رعایت نشده"))</f>
        <v/>
      </c>
    </row>
    <row r="251">
      <c r="A251" s="10"/>
      <c r="B251" s="10" t="str">
        <f t="array" ref="B251">_xlfn.XLOOKUP(A251,DATA!D:D,DATA!E:E,"")</f>
        <v/>
      </c>
      <c r="C251" s="10" t="str">
        <f>IF($A251="","",COUNTIFS(Evaluations!$G$3:$G$10000,$A251,Evaluations!$U$3:$U$10000,"&gt;=0",Evaluations!$U$3:$U$10000,"&lt;=100"))</f>
        <v/>
      </c>
      <c r="D251" s="10" t="str">
        <f>IF(OR($A251="",C251=0),"",ROUND(SUMIFS(Evaluations!$U$3:$U$10000,Evaluations!$G$3:$G$10000,$A251)/C251,2))</f>
        <v/>
      </c>
      <c r="E251" s="10" t="str">
        <f>IF($A251="","",COUNTIFS(Evaluations!$G$3:$G$10000,$A251,Evaluations!$M$3:$M$10000,"پاسخ داده شده"))</f>
        <v/>
      </c>
      <c r="F251" s="10" t="str">
        <f>IF($A251="","",IFERROR(COUNTIFS(Evaluations!$G$3:$G$10000,$A251,Evaluations!$O$3:$O$10000,"رعایت شده")/(COUNTIFS(Evaluations!$G$3:$G$10000,$A251,Evaluations!$O$3:$O$10000,"رعایت شده")+COUNTIFS(Evaluations!$G$3:$G$10000,$A251,Evaluations!$O$3:$O$10000,"رعایت نشده")),""))</f>
        <v/>
      </c>
      <c r="G251" s="10" t="str">
        <f>IF($A251="","",IFERROR(ROUND(100*COUNTIFS(Evaluations!$G$3:$G$10000,$A251,Evaluations!$Q$3:$Q$10000,1)/(COUNTIFS(Evaluations!$G$3:$G$10000,$A251,Evaluations!$Q$3:$Q$10000,1)+COUNTIFS(Evaluations!$G$3:$G$10000,$A251,Evaluations!$Q$3:$Q$10000,0)),2),""))</f>
        <v/>
      </c>
      <c r="H251" s="10" t="str">
        <f>IF($A251="","",IFERROR(ROUND(100*COUNTIFS(Evaluations!$G$3:$G$10000,$A251,Evaluations!$R$3:$R$10000,1)/(COUNTIFS(Evaluations!$G$3:$G$10000,$A251,Evaluations!$R$3:$R$10000,1)+COUNTIFS(Evaluations!$G$3:$G$10000,$A251,Evaluations!$R$3:$R$10000,0)),2),""))</f>
        <v/>
      </c>
      <c r="I251" s="10" t="str">
        <f>IF($A251="","",IFERROR(ROUND(100*COUNTIFS(Evaluations!$G$3:$G$10000,$A251,Evaluations!$S$3:$S$10000,1)/(COUNTIFS(Evaluations!$G$3:$G$10000,$A251,Evaluations!$S$3:$S$10000,1)+COUNTIFS(Evaluations!$G$3:$G$10000,$A251,Evaluations!$S$3:$S$10000,0)),2),""))</f>
        <v/>
      </c>
      <c r="J251" s="10" t="str">
        <f>IF($A251="","",IFERROR(ROUND(100*COUNTIFS(Evaluations!$G$3:$G$10000,$A251,Evaluations!$T$3:$T$10000,1)/(COUNTIFS(Evaluations!$G$3:$G$10000,$A251,Evaluations!$T$3:$T$10000,1)+COUNTIFS(Evaluations!$G$3:$G$10000,$A251,Evaluations!$T$3:$T$10000,0)),2),""))</f>
        <v/>
      </c>
      <c r="K251" s="10" t="str">
        <f>IF($A251="","",COUNTIFS(Evaluations!$G$3:$G$10000,$A251,Evaluations!$M$3:$M$10000,"عدم پاسخ"))</f>
        <v/>
      </c>
      <c r="L251" s="10" t="str">
        <f>IF($A251="","",COUNTIFS(Evaluations!$G$3:$G$10000,$A251,Evaluations!$O$3:$O$10000,"رعایت نشده"))</f>
        <v/>
      </c>
    </row>
    <row r="252">
      <c r="A252" s="10"/>
      <c r="B252" s="10" t="str">
        <f t="array" ref="B252">_xlfn.XLOOKUP(A252,DATA!D:D,DATA!E:E,"")</f>
        <v/>
      </c>
      <c r="C252" s="10" t="str">
        <f>IF($A252="","",COUNTIFS(Evaluations!$G$3:$G$10000,$A252,Evaluations!$U$3:$U$10000,"&gt;=0",Evaluations!$U$3:$U$10000,"&lt;=100"))</f>
        <v/>
      </c>
      <c r="D252" s="10" t="str">
        <f>IF(OR($A252="",C252=0),"",ROUND(SUMIFS(Evaluations!$U$3:$U$10000,Evaluations!$G$3:$G$10000,$A252)/C252,2))</f>
        <v/>
      </c>
      <c r="E252" s="10" t="str">
        <f>IF($A252="","",COUNTIFS(Evaluations!$G$3:$G$10000,$A252,Evaluations!$M$3:$M$10000,"پاسخ داده شده"))</f>
        <v/>
      </c>
      <c r="F252" s="10" t="str">
        <f>IF($A252="","",IFERROR(COUNTIFS(Evaluations!$G$3:$G$10000,$A252,Evaluations!$O$3:$O$10000,"رعایت شده")/(COUNTIFS(Evaluations!$G$3:$G$10000,$A252,Evaluations!$O$3:$O$10000,"رعایت شده")+COUNTIFS(Evaluations!$G$3:$G$10000,$A252,Evaluations!$O$3:$O$10000,"رعایت نشده")),""))</f>
        <v/>
      </c>
      <c r="G252" s="10" t="str">
        <f>IF($A252="","",IFERROR(ROUND(100*COUNTIFS(Evaluations!$G$3:$G$10000,$A252,Evaluations!$Q$3:$Q$10000,1)/(COUNTIFS(Evaluations!$G$3:$G$10000,$A252,Evaluations!$Q$3:$Q$10000,1)+COUNTIFS(Evaluations!$G$3:$G$10000,$A252,Evaluations!$Q$3:$Q$10000,0)),2),""))</f>
        <v/>
      </c>
      <c r="H252" s="10" t="str">
        <f>IF($A252="","",IFERROR(ROUND(100*COUNTIFS(Evaluations!$G$3:$G$10000,$A252,Evaluations!$R$3:$R$10000,1)/(COUNTIFS(Evaluations!$G$3:$G$10000,$A252,Evaluations!$R$3:$R$10000,1)+COUNTIFS(Evaluations!$G$3:$G$10000,$A252,Evaluations!$R$3:$R$10000,0)),2),""))</f>
        <v/>
      </c>
      <c r="I252" s="10" t="str">
        <f>IF($A252="","",IFERROR(ROUND(100*COUNTIFS(Evaluations!$G$3:$G$10000,$A252,Evaluations!$S$3:$S$10000,1)/(COUNTIFS(Evaluations!$G$3:$G$10000,$A252,Evaluations!$S$3:$S$10000,1)+COUNTIFS(Evaluations!$G$3:$G$10000,$A252,Evaluations!$S$3:$S$10000,0)),2),""))</f>
        <v/>
      </c>
      <c r="J252" s="10" t="str">
        <f>IF($A252="","",IFERROR(ROUND(100*COUNTIFS(Evaluations!$G$3:$G$10000,$A252,Evaluations!$T$3:$T$10000,1)/(COUNTIFS(Evaluations!$G$3:$G$10000,$A252,Evaluations!$T$3:$T$10000,1)+COUNTIFS(Evaluations!$G$3:$G$10000,$A252,Evaluations!$T$3:$T$10000,0)),2),""))</f>
        <v/>
      </c>
      <c r="K252" s="10" t="str">
        <f>IF($A252="","",COUNTIFS(Evaluations!$G$3:$G$10000,$A252,Evaluations!$M$3:$M$10000,"عدم پاسخ"))</f>
        <v/>
      </c>
      <c r="L252" s="10" t="str">
        <f>IF($A252="","",COUNTIFS(Evaluations!$G$3:$G$10000,$A252,Evaluations!$O$3:$O$10000,"رعایت نشده"))</f>
        <v/>
      </c>
    </row>
    <row r="253">
      <c r="A253" s="10"/>
      <c r="B253" s="10" t="str">
        <f t="array" ref="B253">_xlfn.XLOOKUP(A253,DATA!D:D,DATA!E:E,"")</f>
        <v/>
      </c>
      <c r="C253" s="10" t="str">
        <f>IF($A253="","",COUNTIFS(Evaluations!$G$3:$G$10000,$A253,Evaluations!$U$3:$U$10000,"&gt;=0",Evaluations!$U$3:$U$10000,"&lt;=100"))</f>
        <v/>
      </c>
      <c r="D253" s="10" t="str">
        <f>IF(OR($A253="",C253=0),"",ROUND(SUMIFS(Evaluations!$U$3:$U$10000,Evaluations!$G$3:$G$10000,$A253)/C253,2))</f>
        <v/>
      </c>
      <c r="E253" s="10" t="str">
        <f>IF($A253="","",COUNTIFS(Evaluations!$G$3:$G$10000,$A253,Evaluations!$M$3:$M$10000,"پاسخ داده شده"))</f>
        <v/>
      </c>
      <c r="F253" s="10" t="str">
        <f>IF($A253="","",IFERROR(COUNTIFS(Evaluations!$G$3:$G$10000,$A253,Evaluations!$O$3:$O$10000,"رعایت شده")/(COUNTIFS(Evaluations!$G$3:$G$10000,$A253,Evaluations!$O$3:$O$10000,"رعایت شده")+COUNTIFS(Evaluations!$G$3:$G$10000,$A253,Evaluations!$O$3:$O$10000,"رعایت نشده")),""))</f>
        <v/>
      </c>
      <c r="G253" s="10" t="str">
        <f>IF($A253="","",IFERROR(ROUND(100*COUNTIFS(Evaluations!$G$3:$G$10000,$A253,Evaluations!$Q$3:$Q$10000,1)/(COUNTIFS(Evaluations!$G$3:$G$10000,$A253,Evaluations!$Q$3:$Q$10000,1)+COUNTIFS(Evaluations!$G$3:$G$10000,$A253,Evaluations!$Q$3:$Q$10000,0)),2),""))</f>
        <v/>
      </c>
      <c r="H253" s="10" t="str">
        <f>IF($A253="","",IFERROR(ROUND(100*COUNTIFS(Evaluations!$G$3:$G$10000,$A253,Evaluations!$R$3:$R$10000,1)/(COUNTIFS(Evaluations!$G$3:$G$10000,$A253,Evaluations!$R$3:$R$10000,1)+COUNTIFS(Evaluations!$G$3:$G$10000,$A253,Evaluations!$R$3:$R$10000,0)),2),""))</f>
        <v/>
      </c>
      <c r="I253" s="10" t="str">
        <f>IF($A253="","",IFERROR(ROUND(100*COUNTIFS(Evaluations!$G$3:$G$10000,$A253,Evaluations!$S$3:$S$10000,1)/(COUNTIFS(Evaluations!$G$3:$G$10000,$A253,Evaluations!$S$3:$S$10000,1)+COUNTIFS(Evaluations!$G$3:$G$10000,$A253,Evaluations!$S$3:$S$10000,0)),2),""))</f>
        <v/>
      </c>
      <c r="J253" s="10" t="str">
        <f>IF($A253="","",IFERROR(ROUND(100*COUNTIFS(Evaluations!$G$3:$G$10000,$A253,Evaluations!$T$3:$T$10000,1)/(COUNTIFS(Evaluations!$G$3:$G$10000,$A253,Evaluations!$T$3:$T$10000,1)+COUNTIFS(Evaluations!$G$3:$G$10000,$A253,Evaluations!$T$3:$T$10000,0)),2),""))</f>
        <v/>
      </c>
      <c r="K253" s="10" t="str">
        <f>IF($A253="","",COUNTIFS(Evaluations!$G$3:$G$10000,$A253,Evaluations!$M$3:$M$10000,"عدم پاسخ"))</f>
        <v/>
      </c>
      <c r="L253" s="10" t="str">
        <f>IF($A253="","",COUNTIFS(Evaluations!$G$3:$G$10000,$A253,Evaluations!$O$3:$O$10000,"رعایت نشده"))</f>
        <v/>
      </c>
    </row>
    <row r="254">
      <c r="A254" s="10"/>
      <c r="B254" s="10" t="str">
        <f t="array" ref="B254">_xlfn.XLOOKUP(A254,DATA!D:D,DATA!E:E,"")</f>
        <v/>
      </c>
      <c r="C254" s="10" t="str">
        <f>IF($A254="","",COUNTIFS(Evaluations!$G$3:$G$10000,$A254,Evaluations!$U$3:$U$10000,"&gt;=0",Evaluations!$U$3:$U$10000,"&lt;=100"))</f>
        <v/>
      </c>
      <c r="D254" s="10" t="str">
        <f>IF(OR($A254="",C254=0),"",ROUND(SUMIFS(Evaluations!$U$3:$U$10000,Evaluations!$G$3:$G$10000,$A254)/C254,2))</f>
        <v/>
      </c>
      <c r="E254" s="10" t="str">
        <f>IF($A254="","",COUNTIFS(Evaluations!$G$3:$G$10000,$A254,Evaluations!$M$3:$M$10000,"پاسخ داده شده"))</f>
        <v/>
      </c>
      <c r="F254" s="10" t="str">
        <f>IF($A254="","",IFERROR(COUNTIFS(Evaluations!$G$3:$G$10000,$A254,Evaluations!$O$3:$O$10000,"رعایت شده")/(COUNTIFS(Evaluations!$G$3:$G$10000,$A254,Evaluations!$O$3:$O$10000,"رعایت شده")+COUNTIFS(Evaluations!$G$3:$G$10000,$A254,Evaluations!$O$3:$O$10000,"رعایت نشده")),""))</f>
        <v/>
      </c>
      <c r="G254" s="10" t="str">
        <f>IF($A254="","",IFERROR(ROUND(100*COUNTIFS(Evaluations!$G$3:$G$10000,$A254,Evaluations!$Q$3:$Q$10000,1)/(COUNTIFS(Evaluations!$G$3:$G$10000,$A254,Evaluations!$Q$3:$Q$10000,1)+COUNTIFS(Evaluations!$G$3:$G$10000,$A254,Evaluations!$Q$3:$Q$10000,0)),2),""))</f>
        <v/>
      </c>
      <c r="H254" s="10" t="str">
        <f>IF($A254="","",IFERROR(ROUND(100*COUNTIFS(Evaluations!$G$3:$G$10000,$A254,Evaluations!$R$3:$R$10000,1)/(COUNTIFS(Evaluations!$G$3:$G$10000,$A254,Evaluations!$R$3:$R$10000,1)+COUNTIFS(Evaluations!$G$3:$G$10000,$A254,Evaluations!$R$3:$R$10000,0)),2),""))</f>
        <v/>
      </c>
      <c r="I254" s="10" t="str">
        <f>IF($A254="","",IFERROR(ROUND(100*COUNTIFS(Evaluations!$G$3:$G$10000,$A254,Evaluations!$S$3:$S$10000,1)/(COUNTIFS(Evaluations!$G$3:$G$10000,$A254,Evaluations!$S$3:$S$10000,1)+COUNTIFS(Evaluations!$G$3:$G$10000,$A254,Evaluations!$S$3:$S$10000,0)),2),""))</f>
        <v/>
      </c>
      <c r="J254" s="10" t="str">
        <f>IF($A254="","",IFERROR(ROUND(100*COUNTIFS(Evaluations!$G$3:$G$10000,$A254,Evaluations!$T$3:$T$10000,1)/(COUNTIFS(Evaluations!$G$3:$G$10000,$A254,Evaluations!$T$3:$T$10000,1)+COUNTIFS(Evaluations!$G$3:$G$10000,$A254,Evaluations!$T$3:$T$10000,0)),2),""))</f>
        <v/>
      </c>
      <c r="K254" s="10" t="str">
        <f>IF($A254="","",COUNTIFS(Evaluations!$G$3:$G$10000,$A254,Evaluations!$M$3:$M$10000,"عدم پاسخ"))</f>
        <v/>
      </c>
      <c r="L254" s="10" t="str">
        <f>IF($A254="","",COUNTIFS(Evaluations!$G$3:$G$10000,$A254,Evaluations!$O$3:$O$10000,"رعایت نشده"))</f>
        <v/>
      </c>
    </row>
    <row r="255">
      <c r="A255" s="10"/>
      <c r="B255" s="10" t="str">
        <f t="array" ref="B255">_xlfn.XLOOKUP(A255,DATA!D:D,DATA!E:E,"")</f>
        <v/>
      </c>
      <c r="C255" s="10" t="str">
        <f>IF($A255="","",COUNTIFS(Evaluations!$G$3:$G$10000,$A255,Evaluations!$U$3:$U$10000,"&gt;=0",Evaluations!$U$3:$U$10000,"&lt;=100"))</f>
        <v/>
      </c>
      <c r="D255" s="10" t="str">
        <f>IF(OR($A255="",C255=0),"",ROUND(SUMIFS(Evaluations!$U$3:$U$10000,Evaluations!$G$3:$G$10000,$A255)/C255,2))</f>
        <v/>
      </c>
      <c r="E255" s="10" t="str">
        <f>IF($A255="","",COUNTIFS(Evaluations!$G$3:$G$10000,$A255,Evaluations!$M$3:$M$10000,"پاسخ داده شده"))</f>
        <v/>
      </c>
      <c r="F255" s="10" t="str">
        <f>IF($A255="","",IFERROR(COUNTIFS(Evaluations!$G$3:$G$10000,$A255,Evaluations!$O$3:$O$10000,"رعایت شده")/(COUNTIFS(Evaluations!$G$3:$G$10000,$A255,Evaluations!$O$3:$O$10000,"رعایت شده")+COUNTIFS(Evaluations!$G$3:$G$10000,$A255,Evaluations!$O$3:$O$10000,"رعایت نشده")),""))</f>
        <v/>
      </c>
      <c r="G255" s="10" t="str">
        <f>IF($A255="","",IFERROR(ROUND(100*COUNTIFS(Evaluations!$G$3:$G$10000,$A255,Evaluations!$Q$3:$Q$10000,1)/(COUNTIFS(Evaluations!$G$3:$G$10000,$A255,Evaluations!$Q$3:$Q$10000,1)+COUNTIFS(Evaluations!$G$3:$G$10000,$A255,Evaluations!$Q$3:$Q$10000,0)),2),""))</f>
        <v/>
      </c>
      <c r="H255" s="10" t="str">
        <f>IF($A255="","",IFERROR(ROUND(100*COUNTIFS(Evaluations!$G$3:$G$10000,$A255,Evaluations!$R$3:$R$10000,1)/(COUNTIFS(Evaluations!$G$3:$G$10000,$A255,Evaluations!$R$3:$R$10000,1)+COUNTIFS(Evaluations!$G$3:$G$10000,$A255,Evaluations!$R$3:$R$10000,0)),2),""))</f>
        <v/>
      </c>
      <c r="I255" s="10" t="str">
        <f>IF($A255="","",IFERROR(ROUND(100*COUNTIFS(Evaluations!$G$3:$G$10000,$A255,Evaluations!$S$3:$S$10000,1)/(COUNTIFS(Evaluations!$G$3:$G$10000,$A255,Evaluations!$S$3:$S$10000,1)+COUNTIFS(Evaluations!$G$3:$G$10000,$A255,Evaluations!$S$3:$S$10000,0)),2),""))</f>
        <v/>
      </c>
      <c r="J255" s="10" t="str">
        <f>IF($A255="","",IFERROR(ROUND(100*COUNTIFS(Evaluations!$G$3:$G$10000,$A255,Evaluations!$T$3:$T$10000,1)/(COUNTIFS(Evaluations!$G$3:$G$10000,$A255,Evaluations!$T$3:$T$10000,1)+COUNTIFS(Evaluations!$G$3:$G$10000,$A255,Evaluations!$T$3:$T$10000,0)),2),""))</f>
        <v/>
      </c>
      <c r="K255" s="10" t="str">
        <f>IF($A255="","",COUNTIFS(Evaluations!$G$3:$G$10000,$A255,Evaluations!$M$3:$M$10000,"عدم پاسخ"))</f>
        <v/>
      </c>
      <c r="L255" s="10" t="str">
        <f>IF($A255="","",COUNTIFS(Evaluations!$G$3:$G$10000,$A255,Evaluations!$O$3:$O$10000,"رعایت نشده"))</f>
        <v/>
      </c>
    </row>
    <row r="256">
      <c r="A256" s="10"/>
      <c r="B256" s="10" t="str">
        <f t="array" ref="B256">_xlfn.XLOOKUP(A256,DATA!D:D,DATA!E:E,"")</f>
        <v/>
      </c>
      <c r="C256" s="10" t="str">
        <f>IF($A256="","",COUNTIFS(Evaluations!$G$3:$G$10000,$A256,Evaluations!$U$3:$U$10000,"&gt;=0",Evaluations!$U$3:$U$10000,"&lt;=100"))</f>
        <v/>
      </c>
      <c r="D256" s="10" t="str">
        <f>IF(OR($A256="",C256=0),"",ROUND(SUMIFS(Evaluations!$U$3:$U$10000,Evaluations!$G$3:$G$10000,$A256)/C256,2))</f>
        <v/>
      </c>
      <c r="E256" s="10" t="str">
        <f>IF($A256="","",COUNTIFS(Evaluations!$G$3:$G$10000,$A256,Evaluations!$M$3:$M$10000,"پاسخ داده شده"))</f>
        <v/>
      </c>
      <c r="F256" s="10" t="str">
        <f>IF($A256="","",IFERROR(COUNTIFS(Evaluations!$G$3:$G$10000,$A256,Evaluations!$O$3:$O$10000,"رعایت شده")/(COUNTIFS(Evaluations!$G$3:$G$10000,$A256,Evaluations!$O$3:$O$10000,"رعایت شده")+COUNTIFS(Evaluations!$G$3:$G$10000,$A256,Evaluations!$O$3:$O$10000,"رعایت نشده")),""))</f>
        <v/>
      </c>
      <c r="G256" s="10" t="str">
        <f>IF($A256="","",IFERROR(ROUND(100*COUNTIFS(Evaluations!$G$3:$G$10000,$A256,Evaluations!$Q$3:$Q$10000,1)/(COUNTIFS(Evaluations!$G$3:$G$10000,$A256,Evaluations!$Q$3:$Q$10000,1)+COUNTIFS(Evaluations!$G$3:$G$10000,$A256,Evaluations!$Q$3:$Q$10000,0)),2),""))</f>
        <v/>
      </c>
      <c r="H256" s="10" t="str">
        <f>IF($A256="","",IFERROR(ROUND(100*COUNTIFS(Evaluations!$G$3:$G$10000,$A256,Evaluations!$R$3:$R$10000,1)/(COUNTIFS(Evaluations!$G$3:$G$10000,$A256,Evaluations!$R$3:$R$10000,1)+COUNTIFS(Evaluations!$G$3:$G$10000,$A256,Evaluations!$R$3:$R$10000,0)),2),""))</f>
        <v/>
      </c>
      <c r="I256" s="10" t="str">
        <f>IF($A256="","",IFERROR(ROUND(100*COUNTIFS(Evaluations!$G$3:$G$10000,$A256,Evaluations!$S$3:$S$10000,1)/(COUNTIFS(Evaluations!$G$3:$G$10000,$A256,Evaluations!$S$3:$S$10000,1)+COUNTIFS(Evaluations!$G$3:$G$10000,$A256,Evaluations!$S$3:$S$10000,0)),2),""))</f>
        <v/>
      </c>
      <c r="J256" s="10" t="str">
        <f>IF($A256="","",IFERROR(ROUND(100*COUNTIFS(Evaluations!$G$3:$G$10000,$A256,Evaluations!$T$3:$T$10000,1)/(COUNTIFS(Evaluations!$G$3:$G$10000,$A256,Evaluations!$T$3:$T$10000,1)+COUNTIFS(Evaluations!$G$3:$G$10000,$A256,Evaluations!$T$3:$T$10000,0)),2),""))</f>
        <v/>
      </c>
      <c r="K256" s="10" t="str">
        <f>IF($A256="","",COUNTIFS(Evaluations!$G$3:$G$10000,$A256,Evaluations!$M$3:$M$10000,"عدم پاسخ"))</f>
        <v/>
      </c>
      <c r="L256" s="10" t="str">
        <f>IF($A256="","",COUNTIFS(Evaluations!$G$3:$G$10000,$A256,Evaluations!$O$3:$O$10000,"رعایت نشده"))</f>
        <v/>
      </c>
    </row>
    <row r="257">
      <c r="A257" s="10"/>
      <c r="B257" s="10" t="str">
        <f t="array" ref="B257">_xlfn.XLOOKUP(A257,DATA!D:D,DATA!E:E,"")</f>
        <v/>
      </c>
      <c r="C257" s="10" t="str">
        <f>IF($A257="","",COUNTIFS(Evaluations!$G$3:$G$10000,$A257,Evaluations!$U$3:$U$10000,"&gt;=0",Evaluations!$U$3:$U$10000,"&lt;=100"))</f>
        <v/>
      </c>
      <c r="D257" s="10" t="str">
        <f>IF(OR($A257="",C257=0),"",ROUND(SUMIFS(Evaluations!$U$3:$U$10000,Evaluations!$G$3:$G$10000,$A257)/C257,2))</f>
        <v/>
      </c>
      <c r="E257" s="10" t="str">
        <f>IF($A257="","",COUNTIFS(Evaluations!$G$3:$G$10000,$A257,Evaluations!$M$3:$M$10000,"پاسخ داده شده"))</f>
        <v/>
      </c>
      <c r="F257" s="10" t="str">
        <f>IF($A257="","",IFERROR(COUNTIFS(Evaluations!$G$3:$G$10000,$A257,Evaluations!$O$3:$O$10000,"رعایت شده")/(COUNTIFS(Evaluations!$G$3:$G$10000,$A257,Evaluations!$O$3:$O$10000,"رعایت شده")+COUNTIFS(Evaluations!$G$3:$G$10000,$A257,Evaluations!$O$3:$O$10000,"رعایت نشده")),""))</f>
        <v/>
      </c>
      <c r="G257" s="10" t="str">
        <f>IF($A257="","",IFERROR(ROUND(100*COUNTIFS(Evaluations!$G$3:$G$10000,$A257,Evaluations!$Q$3:$Q$10000,1)/(COUNTIFS(Evaluations!$G$3:$G$10000,$A257,Evaluations!$Q$3:$Q$10000,1)+COUNTIFS(Evaluations!$G$3:$G$10000,$A257,Evaluations!$Q$3:$Q$10000,0)),2),""))</f>
        <v/>
      </c>
      <c r="H257" s="10" t="str">
        <f>IF($A257="","",IFERROR(ROUND(100*COUNTIFS(Evaluations!$G$3:$G$10000,$A257,Evaluations!$R$3:$R$10000,1)/(COUNTIFS(Evaluations!$G$3:$G$10000,$A257,Evaluations!$R$3:$R$10000,1)+COUNTIFS(Evaluations!$G$3:$G$10000,$A257,Evaluations!$R$3:$R$10000,0)),2),""))</f>
        <v/>
      </c>
      <c r="I257" s="10" t="str">
        <f>IF($A257="","",IFERROR(ROUND(100*COUNTIFS(Evaluations!$G$3:$G$10000,$A257,Evaluations!$S$3:$S$10000,1)/(COUNTIFS(Evaluations!$G$3:$G$10000,$A257,Evaluations!$S$3:$S$10000,1)+COUNTIFS(Evaluations!$G$3:$G$10000,$A257,Evaluations!$S$3:$S$10000,0)),2),""))</f>
        <v/>
      </c>
      <c r="J257" s="10" t="str">
        <f>IF($A257="","",IFERROR(ROUND(100*COUNTIFS(Evaluations!$G$3:$G$10000,$A257,Evaluations!$T$3:$T$10000,1)/(COUNTIFS(Evaluations!$G$3:$G$10000,$A257,Evaluations!$T$3:$T$10000,1)+COUNTIFS(Evaluations!$G$3:$G$10000,$A257,Evaluations!$T$3:$T$10000,0)),2),""))</f>
        <v/>
      </c>
      <c r="K257" s="10" t="str">
        <f>IF($A257="","",COUNTIFS(Evaluations!$G$3:$G$10000,$A257,Evaluations!$M$3:$M$10000,"عدم پاسخ"))</f>
        <v/>
      </c>
      <c r="L257" s="10" t="str">
        <f>IF($A257="","",COUNTIFS(Evaluations!$G$3:$G$10000,$A257,Evaluations!$O$3:$O$10000,"رعایت نشده"))</f>
        <v/>
      </c>
    </row>
    <row r="258">
      <c r="A258" s="10"/>
      <c r="B258" s="10" t="str">
        <f t="array" ref="B258">_xlfn.XLOOKUP(A258,DATA!D:D,DATA!E:E,"")</f>
        <v/>
      </c>
      <c r="C258" s="10" t="str">
        <f>IF($A258="","",COUNTIFS(Evaluations!$G$3:$G$10000,$A258,Evaluations!$U$3:$U$10000,"&gt;=0",Evaluations!$U$3:$U$10000,"&lt;=100"))</f>
        <v/>
      </c>
      <c r="D258" s="10" t="str">
        <f>IF(OR($A258="",C258=0),"",ROUND(SUMIFS(Evaluations!$U$3:$U$10000,Evaluations!$G$3:$G$10000,$A258)/C258,2))</f>
        <v/>
      </c>
      <c r="E258" s="10" t="str">
        <f>IF($A258="","",COUNTIFS(Evaluations!$G$3:$G$10000,$A258,Evaluations!$M$3:$M$10000,"پاسخ داده شده"))</f>
        <v/>
      </c>
      <c r="F258" s="10" t="str">
        <f>IF($A258="","",IFERROR(COUNTIFS(Evaluations!$G$3:$G$10000,$A258,Evaluations!$O$3:$O$10000,"رعایت شده")/(COUNTIFS(Evaluations!$G$3:$G$10000,$A258,Evaluations!$O$3:$O$10000,"رعایت شده")+COUNTIFS(Evaluations!$G$3:$G$10000,$A258,Evaluations!$O$3:$O$10000,"رعایت نشده")),""))</f>
        <v/>
      </c>
      <c r="G258" s="10" t="str">
        <f>IF($A258="","",IFERROR(ROUND(100*COUNTIFS(Evaluations!$G$3:$G$10000,$A258,Evaluations!$Q$3:$Q$10000,1)/(COUNTIFS(Evaluations!$G$3:$G$10000,$A258,Evaluations!$Q$3:$Q$10000,1)+COUNTIFS(Evaluations!$G$3:$G$10000,$A258,Evaluations!$Q$3:$Q$10000,0)),2),""))</f>
        <v/>
      </c>
      <c r="H258" s="10" t="str">
        <f>IF($A258="","",IFERROR(ROUND(100*COUNTIFS(Evaluations!$G$3:$G$10000,$A258,Evaluations!$R$3:$R$10000,1)/(COUNTIFS(Evaluations!$G$3:$G$10000,$A258,Evaluations!$R$3:$R$10000,1)+COUNTIFS(Evaluations!$G$3:$G$10000,$A258,Evaluations!$R$3:$R$10000,0)),2),""))</f>
        <v/>
      </c>
      <c r="I258" s="10" t="str">
        <f>IF($A258="","",IFERROR(ROUND(100*COUNTIFS(Evaluations!$G$3:$G$10000,$A258,Evaluations!$S$3:$S$10000,1)/(COUNTIFS(Evaluations!$G$3:$G$10000,$A258,Evaluations!$S$3:$S$10000,1)+COUNTIFS(Evaluations!$G$3:$G$10000,$A258,Evaluations!$S$3:$S$10000,0)),2),""))</f>
        <v/>
      </c>
      <c r="J258" s="10" t="str">
        <f>IF($A258="","",IFERROR(ROUND(100*COUNTIFS(Evaluations!$G$3:$G$10000,$A258,Evaluations!$T$3:$T$10000,1)/(COUNTIFS(Evaluations!$G$3:$G$10000,$A258,Evaluations!$T$3:$T$10000,1)+COUNTIFS(Evaluations!$G$3:$G$10000,$A258,Evaluations!$T$3:$T$10000,0)),2),""))</f>
        <v/>
      </c>
      <c r="K258" s="10" t="str">
        <f>IF($A258="","",COUNTIFS(Evaluations!$G$3:$G$10000,$A258,Evaluations!$M$3:$M$10000,"عدم پاسخ"))</f>
        <v/>
      </c>
      <c r="L258" s="10" t="str">
        <f>IF($A258="","",COUNTIFS(Evaluations!$G$3:$G$10000,$A258,Evaluations!$O$3:$O$10000,"رعایت نشده"))</f>
        <v/>
      </c>
    </row>
    <row r="259">
      <c r="A259" s="10"/>
      <c r="B259" s="10" t="str">
        <f t="array" ref="B259">_xlfn.XLOOKUP(A259,DATA!D:D,DATA!E:E,"")</f>
        <v/>
      </c>
      <c r="C259" s="10" t="str">
        <f>IF($A259="","",COUNTIFS(Evaluations!$G$3:$G$10000,$A259,Evaluations!$U$3:$U$10000,"&gt;=0",Evaluations!$U$3:$U$10000,"&lt;=100"))</f>
        <v/>
      </c>
      <c r="D259" s="10" t="str">
        <f>IF(OR($A259="",C259=0),"",ROUND(SUMIFS(Evaluations!$U$3:$U$10000,Evaluations!$G$3:$G$10000,$A259)/C259,2))</f>
        <v/>
      </c>
      <c r="E259" s="10" t="str">
        <f>IF($A259="","",COUNTIFS(Evaluations!$G$3:$G$10000,$A259,Evaluations!$M$3:$M$10000,"پاسخ داده شده"))</f>
        <v/>
      </c>
      <c r="F259" s="10" t="str">
        <f>IF($A259="","",IFERROR(COUNTIFS(Evaluations!$G$3:$G$10000,$A259,Evaluations!$O$3:$O$10000,"رعایت شده")/(COUNTIFS(Evaluations!$G$3:$G$10000,$A259,Evaluations!$O$3:$O$10000,"رعایت شده")+COUNTIFS(Evaluations!$G$3:$G$10000,$A259,Evaluations!$O$3:$O$10000,"رعایت نشده")),""))</f>
        <v/>
      </c>
      <c r="G259" s="10" t="str">
        <f>IF($A259="","",IFERROR(ROUND(100*COUNTIFS(Evaluations!$G$3:$G$10000,$A259,Evaluations!$Q$3:$Q$10000,1)/(COUNTIFS(Evaluations!$G$3:$G$10000,$A259,Evaluations!$Q$3:$Q$10000,1)+COUNTIFS(Evaluations!$G$3:$G$10000,$A259,Evaluations!$Q$3:$Q$10000,0)),2),""))</f>
        <v/>
      </c>
      <c r="H259" s="10" t="str">
        <f>IF($A259="","",IFERROR(ROUND(100*COUNTIFS(Evaluations!$G$3:$G$10000,$A259,Evaluations!$R$3:$R$10000,1)/(COUNTIFS(Evaluations!$G$3:$G$10000,$A259,Evaluations!$R$3:$R$10000,1)+COUNTIFS(Evaluations!$G$3:$G$10000,$A259,Evaluations!$R$3:$R$10000,0)),2),""))</f>
        <v/>
      </c>
      <c r="I259" s="10" t="str">
        <f>IF($A259="","",IFERROR(ROUND(100*COUNTIFS(Evaluations!$G$3:$G$10000,$A259,Evaluations!$S$3:$S$10000,1)/(COUNTIFS(Evaluations!$G$3:$G$10000,$A259,Evaluations!$S$3:$S$10000,1)+COUNTIFS(Evaluations!$G$3:$G$10000,$A259,Evaluations!$S$3:$S$10000,0)),2),""))</f>
        <v/>
      </c>
      <c r="J259" s="10" t="str">
        <f>IF($A259="","",IFERROR(ROUND(100*COUNTIFS(Evaluations!$G$3:$G$10000,$A259,Evaluations!$T$3:$T$10000,1)/(COUNTIFS(Evaluations!$G$3:$G$10000,$A259,Evaluations!$T$3:$T$10000,1)+COUNTIFS(Evaluations!$G$3:$G$10000,$A259,Evaluations!$T$3:$T$10000,0)),2),""))</f>
        <v/>
      </c>
      <c r="K259" s="10" t="str">
        <f>IF($A259="","",COUNTIFS(Evaluations!$G$3:$G$10000,$A259,Evaluations!$M$3:$M$10000,"عدم پاسخ"))</f>
        <v/>
      </c>
      <c r="L259" s="10" t="str">
        <f>IF($A259="","",COUNTIFS(Evaluations!$G$3:$G$10000,$A259,Evaluations!$O$3:$O$10000,"رعایت نشده"))</f>
        <v/>
      </c>
    </row>
    <row r="260">
      <c r="A260" s="10"/>
      <c r="B260" s="10" t="str">
        <f t="array" ref="B260">_xlfn.XLOOKUP(A260,DATA!D:D,DATA!E:E,"")</f>
        <v/>
      </c>
      <c r="C260" s="10" t="str">
        <f>IF($A260="","",COUNTIFS(Evaluations!$G$3:$G$10000,$A260,Evaluations!$U$3:$U$10000,"&gt;=0",Evaluations!$U$3:$U$10000,"&lt;=100"))</f>
        <v/>
      </c>
      <c r="D260" s="10" t="str">
        <f>IF(OR($A260="",C260=0),"",ROUND(SUMIFS(Evaluations!$U$3:$U$10000,Evaluations!$G$3:$G$10000,$A260)/C260,2))</f>
        <v/>
      </c>
      <c r="E260" s="10" t="str">
        <f>IF($A260="","",COUNTIFS(Evaluations!$G$3:$G$10000,$A260,Evaluations!$M$3:$M$10000,"پاسخ داده شده"))</f>
        <v/>
      </c>
      <c r="F260" s="10" t="str">
        <f>IF($A260="","",IFERROR(COUNTIFS(Evaluations!$G$3:$G$10000,$A260,Evaluations!$O$3:$O$10000,"رعایت شده")/(COUNTIFS(Evaluations!$G$3:$G$10000,$A260,Evaluations!$O$3:$O$10000,"رعایت شده")+COUNTIFS(Evaluations!$G$3:$G$10000,$A260,Evaluations!$O$3:$O$10000,"رعایت نشده")),""))</f>
        <v/>
      </c>
      <c r="G260" s="10" t="str">
        <f>IF($A260="","",IFERROR(ROUND(100*COUNTIFS(Evaluations!$G$3:$G$10000,$A260,Evaluations!$Q$3:$Q$10000,1)/(COUNTIFS(Evaluations!$G$3:$G$10000,$A260,Evaluations!$Q$3:$Q$10000,1)+COUNTIFS(Evaluations!$G$3:$G$10000,$A260,Evaluations!$Q$3:$Q$10000,0)),2),""))</f>
        <v/>
      </c>
      <c r="H260" s="10" t="str">
        <f>IF($A260="","",IFERROR(ROUND(100*COUNTIFS(Evaluations!$G$3:$G$10000,$A260,Evaluations!$R$3:$R$10000,1)/(COUNTIFS(Evaluations!$G$3:$G$10000,$A260,Evaluations!$R$3:$R$10000,1)+COUNTIFS(Evaluations!$G$3:$G$10000,$A260,Evaluations!$R$3:$R$10000,0)),2),""))</f>
        <v/>
      </c>
      <c r="I260" s="10" t="str">
        <f>IF($A260="","",IFERROR(ROUND(100*COUNTIFS(Evaluations!$G$3:$G$10000,$A260,Evaluations!$S$3:$S$10000,1)/(COUNTIFS(Evaluations!$G$3:$G$10000,$A260,Evaluations!$S$3:$S$10000,1)+COUNTIFS(Evaluations!$G$3:$G$10000,$A260,Evaluations!$S$3:$S$10000,0)),2),""))</f>
        <v/>
      </c>
      <c r="J260" s="10" t="str">
        <f>IF($A260="","",IFERROR(ROUND(100*COUNTIFS(Evaluations!$G$3:$G$10000,$A260,Evaluations!$T$3:$T$10000,1)/(COUNTIFS(Evaluations!$G$3:$G$10000,$A260,Evaluations!$T$3:$T$10000,1)+COUNTIFS(Evaluations!$G$3:$G$10000,$A260,Evaluations!$T$3:$T$10000,0)),2),""))</f>
        <v/>
      </c>
      <c r="K260" s="10" t="str">
        <f>IF($A260="","",COUNTIFS(Evaluations!$G$3:$G$10000,$A260,Evaluations!$M$3:$M$10000,"عدم پاسخ"))</f>
        <v/>
      </c>
      <c r="L260" s="10" t="str">
        <f>IF($A260="","",COUNTIFS(Evaluations!$G$3:$G$10000,$A260,Evaluations!$O$3:$O$10000,"رعایت نشده"))</f>
        <v/>
      </c>
    </row>
    <row r="261">
      <c r="A261" s="10"/>
      <c r="B261" s="10" t="str">
        <f t="array" ref="B261">_xlfn.XLOOKUP(A261,DATA!D:D,DATA!E:E,"")</f>
        <v/>
      </c>
      <c r="C261" s="10" t="str">
        <f>IF($A261="","",COUNTIFS(Evaluations!$G$3:$G$10000,$A261,Evaluations!$U$3:$U$10000,"&gt;=0",Evaluations!$U$3:$U$10000,"&lt;=100"))</f>
        <v/>
      </c>
      <c r="D261" s="10" t="str">
        <f>IF(OR($A261="",C261=0),"",ROUND(SUMIFS(Evaluations!$U$3:$U$10000,Evaluations!$G$3:$G$10000,$A261)/C261,2))</f>
        <v/>
      </c>
      <c r="E261" s="10" t="str">
        <f>IF($A261="","",COUNTIFS(Evaluations!$G$3:$G$10000,$A261,Evaluations!$M$3:$M$10000,"پاسخ داده شده"))</f>
        <v/>
      </c>
      <c r="F261" s="10" t="str">
        <f>IF($A261="","",IFERROR(COUNTIFS(Evaluations!$G$3:$G$10000,$A261,Evaluations!$O$3:$O$10000,"رعایت شده")/(COUNTIFS(Evaluations!$G$3:$G$10000,$A261,Evaluations!$O$3:$O$10000,"رعایت شده")+COUNTIFS(Evaluations!$G$3:$G$10000,$A261,Evaluations!$O$3:$O$10000,"رعایت نشده")),""))</f>
        <v/>
      </c>
      <c r="G261" s="10" t="str">
        <f>IF($A261="","",IFERROR(ROUND(100*COUNTIFS(Evaluations!$G$3:$G$10000,$A261,Evaluations!$Q$3:$Q$10000,1)/(COUNTIFS(Evaluations!$G$3:$G$10000,$A261,Evaluations!$Q$3:$Q$10000,1)+COUNTIFS(Evaluations!$G$3:$G$10000,$A261,Evaluations!$Q$3:$Q$10000,0)),2),""))</f>
        <v/>
      </c>
      <c r="H261" s="10" t="str">
        <f>IF($A261="","",IFERROR(ROUND(100*COUNTIFS(Evaluations!$G$3:$G$10000,$A261,Evaluations!$R$3:$R$10000,1)/(COUNTIFS(Evaluations!$G$3:$G$10000,$A261,Evaluations!$R$3:$R$10000,1)+COUNTIFS(Evaluations!$G$3:$G$10000,$A261,Evaluations!$R$3:$R$10000,0)),2),""))</f>
        <v/>
      </c>
      <c r="I261" s="10" t="str">
        <f>IF($A261="","",IFERROR(ROUND(100*COUNTIFS(Evaluations!$G$3:$G$10000,$A261,Evaluations!$S$3:$S$10000,1)/(COUNTIFS(Evaluations!$G$3:$G$10000,$A261,Evaluations!$S$3:$S$10000,1)+COUNTIFS(Evaluations!$G$3:$G$10000,$A261,Evaluations!$S$3:$S$10000,0)),2),""))</f>
        <v/>
      </c>
      <c r="J261" s="10" t="str">
        <f>IF($A261="","",IFERROR(ROUND(100*COUNTIFS(Evaluations!$G$3:$G$10000,$A261,Evaluations!$T$3:$T$10000,1)/(COUNTIFS(Evaluations!$G$3:$G$10000,$A261,Evaluations!$T$3:$T$10000,1)+COUNTIFS(Evaluations!$G$3:$G$10000,$A261,Evaluations!$T$3:$T$10000,0)),2),""))</f>
        <v/>
      </c>
      <c r="K261" s="10" t="str">
        <f>IF($A261="","",COUNTIFS(Evaluations!$G$3:$G$10000,$A261,Evaluations!$M$3:$M$10000,"عدم پاسخ"))</f>
        <v/>
      </c>
      <c r="L261" s="10" t="str">
        <f>IF($A261="","",COUNTIFS(Evaluations!$G$3:$G$10000,$A261,Evaluations!$O$3:$O$10000,"رعایت نشده"))</f>
        <v/>
      </c>
    </row>
    <row r="262">
      <c r="A262" s="10"/>
      <c r="B262" s="10" t="str">
        <f t="array" ref="B262">_xlfn.XLOOKUP(A262,DATA!D:D,DATA!E:E,"")</f>
        <v/>
      </c>
      <c r="C262" s="10" t="str">
        <f>IF($A262="","",COUNTIFS(Evaluations!$G$3:$G$10000,$A262,Evaluations!$U$3:$U$10000,"&gt;=0",Evaluations!$U$3:$U$10000,"&lt;=100"))</f>
        <v/>
      </c>
      <c r="D262" s="10" t="str">
        <f>IF(OR($A262="",C262=0),"",ROUND(SUMIFS(Evaluations!$U$3:$U$10000,Evaluations!$G$3:$G$10000,$A262)/C262,2))</f>
        <v/>
      </c>
      <c r="E262" s="10" t="str">
        <f>IF($A262="","",COUNTIFS(Evaluations!$G$3:$G$10000,$A262,Evaluations!$M$3:$M$10000,"پاسخ داده شده"))</f>
        <v/>
      </c>
      <c r="F262" s="10" t="str">
        <f>IF($A262="","",IFERROR(COUNTIFS(Evaluations!$G$3:$G$10000,$A262,Evaluations!$O$3:$O$10000,"رعایت شده")/(COUNTIFS(Evaluations!$G$3:$G$10000,$A262,Evaluations!$O$3:$O$10000,"رعایت شده")+COUNTIFS(Evaluations!$G$3:$G$10000,$A262,Evaluations!$O$3:$O$10000,"رعایت نشده")),""))</f>
        <v/>
      </c>
      <c r="G262" s="10" t="str">
        <f>IF($A262="","",IFERROR(ROUND(100*COUNTIFS(Evaluations!$G$3:$G$10000,$A262,Evaluations!$Q$3:$Q$10000,1)/(COUNTIFS(Evaluations!$G$3:$G$10000,$A262,Evaluations!$Q$3:$Q$10000,1)+COUNTIFS(Evaluations!$G$3:$G$10000,$A262,Evaluations!$Q$3:$Q$10000,0)),2),""))</f>
        <v/>
      </c>
      <c r="H262" s="10" t="str">
        <f>IF($A262="","",IFERROR(ROUND(100*COUNTIFS(Evaluations!$G$3:$G$10000,$A262,Evaluations!$R$3:$R$10000,1)/(COUNTIFS(Evaluations!$G$3:$G$10000,$A262,Evaluations!$R$3:$R$10000,1)+COUNTIFS(Evaluations!$G$3:$G$10000,$A262,Evaluations!$R$3:$R$10000,0)),2),""))</f>
        <v/>
      </c>
      <c r="I262" s="10" t="str">
        <f>IF($A262="","",IFERROR(ROUND(100*COUNTIFS(Evaluations!$G$3:$G$10000,$A262,Evaluations!$S$3:$S$10000,1)/(COUNTIFS(Evaluations!$G$3:$G$10000,$A262,Evaluations!$S$3:$S$10000,1)+COUNTIFS(Evaluations!$G$3:$G$10000,$A262,Evaluations!$S$3:$S$10000,0)),2),""))</f>
        <v/>
      </c>
      <c r="J262" s="10" t="str">
        <f>IF($A262="","",IFERROR(ROUND(100*COUNTIFS(Evaluations!$G$3:$G$10000,$A262,Evaluations!$T$3:$T$10000,1)/(COUNTIFS(Evaluations!$G$3:$G$10000,$A262,Evaluations!$T$3:$T$10000,1)+COUNTIFS(Evaluations!$G$3:$G$10000,$A262,Evaluations!$T$3:$T$10000,0)),2),""))</f>
        <v/>
      </c>
      <c r="K262" s="10" t="str">
        <f>IF($A262="","",COUNTIFS(Evaluations!$G$3:$G$10000,$A262,Evaluations!$M$3:$M$10000,"عدم پاسخ"))</f>
        <v/>
      </c>
      <c r="L262" s="10" t="str">
        <f>IF($A262="","",COUNTIFS(Evaluations!$G$3:$G$10000,$A262,Evaluations!$O$3:$O$10000,"رعایت نشده"))</f>
        <v/>
      </c>
    </row>
    <row r="263">
      <c r="A263" s="10"/>
      <c r="B263" s="10" t="str">
        <f t="array" ref="B263">_xlfn.XLOOKUP(A263,DATA!D:D,DATA!E:E,"")</f>
        <v/>
      </c>
      <c r="C263" s="10" t="str">
        <f>IF($A263="","",COUNTIFS(Evaluations!$G$3:$G$10000,$A263,Evaluations!$U$3:$U$10000,"&gt;=0",Evaluations!$U$3:$U$10000,"&lt;=100"))</f>
        <v/>
      </c>
      <c r="D263" s="10" t="str">
        <f>IF(OR($A263="",C263=0),"",ROUND(SUMIFS(Evaluations!$U$3:$U$10000,Evaluations!$G$3:$G$10000,$A263)/C263,2))</f>
        <v/>
      </c>
      <c r="E263" s="10" t="str">
        <f>IF($A263="","",COUNTIFS(Evaluations!$G$3:$G$10000,$A263,Evaluations!$M$3:$M$10000,"پاسخ داده شده"))</f>
        <v/>
      </c>
      <c r="F263" s="10" t="str">
        <f>IF($A263="","",IFERROR(COUNTIFS(Evaluations!$G$3:$G$10000,$A263,Evaluations!$O$3:$O$10000,"رعایت شده")/(COUNTIFS(Evaluations!$G$3:$G$10000,$A263,Evaluations!$O$3:$O$10000,"رعایت شده")+COUNTIFS(Evaluations!$G$3:$G$10000,$A263,Evaluations!$O$3:$O$10000,"رعایت نشده")),""))</f>
        <v/>
      </c>
      <c r="G263" s="10" t="str">
        <f>IF($A263="","",IFERROR(ROUND(100*COUNTIFS(Evaluations!$G$3:$G$10000,$A263,Evaluations!$Q$3:$Q$10000,1)/(COUNTIFS(Evaluations!$G$3:$G$10000,$A263,Evaluations!$Q$3:$Q$10000,1)+COUNTIFS(Evaluations!$G$3:$G$10000,$A263,Evaluations!$Q$3:$Q$10000,0)),2),""))</f>
        <v/>
      </c>
      <c r="H263" s="10" t="str">
        <f>IF($A263="","",IFERROR(ROUND(100*COUNTIFS(Evaluations!$G$3:$G$10000,$A263,Evaluations!$R$3:$R$10000,1)/(COUNTIFS(Evaluations!$G$3:$G$10000,$A263,Evaluations!$R$3:$R$10000,1)+COUNTIFS(Evaluations!$G$3:$G$10000,$A263,Evaluations!$R$3:$R$10000,0)),2),""))</f>
        <v/>
      </c>
      <c r="I263" s="10" t="str">
        <f>IF($A263="","",IFERROR(ROUND(100*COUNTIFS(Evaluations!$G$3:$G$10000,$A263,Evaluations!$S$3:$S$10000,1)/(COUNTIFS(Evaluations!$G$3:$G$10000,$A263,Evaluations!$S$3:$S$10000,1)+COUNTIFS(Evaluations!$G$3:$G$10000,$A263,Evaluations!$S$3:$S$10000,0)),2),""))</f>
        <v/>
      </c>
      <c r="J263" s="10" t="str">
        <f>IF($A263="","",IFERROR(ROUND(100*COUNTIFS(Evaluations!$G$3:$G$10000,$A263,Evaluations!$T$3:$T$10000,1)/(COUNTIFS(Evaluations!$G$3:$G$10000,$A263,Evaluations!$T$3:$T$10000,1)+COUNTIFS(Evaluations!$G$3:$G$10000,$A263,Evaluations!$T$3:$T$10000,0)),2),""))</f>
        <v/>
      </c>
      <c r="K263" s="10" t="str">
        <f>IF($A263="","",COUNTIFS(Evaluations!$G$3:$G$10000,$A263,Evaluations!$M$3:$M$10000,"عدم پاسخ"))</f>
        <v/>
      </c>
      <c r="L263" s="10" t="str">
        <f>IF($A263="","",COUNTIFS(Evaluations!$G$3:$G$10000,$A263,Evaluations!$O$3:$O$10000,"رعایت نشده"))</f>
        <v/>
      </c>
    </row>
    <row r="264">
      <c r="A264" s="10"/>
      <c r="B264" s="10" t="str">
        <f t="array" ref="B264">_xlfn.XLOOKUP(A264,DATA!D:D,DATA!E:E,"")</f>
        <v/>
      </c>
      <c r="C264" s="10" t="str">
        <f>IF($A264="","",COUNTIFS(Evaluations!$G$3:$G$10000,$A264,Evaluations!$U$3:$U$10000,"&gt;=0",Evaluations!$U$3:$U$10000,"&lt;=100"))</f>
        <v/>
      </c>
      <c r="D264" s="10" t="str">
        <f>IF(OR($A264="",C264=0),"",ROUND(SUMIFS(Evaluations!$U$3:$U$10000,Evaluations!$G$3:$G$10000,$A264)/C264,2))</f>
        <v/>
      </c>
      <c r="E264" s="10" t="str">
        <f>IF($A264="","",COUNTIFS(Evaluations!$G$3:$G$10000,$A264,Evaluations!$M$3:$M$10000,"پاسخ داده شده"))</f>
        <v/>
      </c>
      <c r="F264" s="10" t="str">
        <f>IF($A264="","",IFERROR(COUNTIFS(Evaluations!$G$3:$G$10000,$A264,Evaluations!$O$3:$O$10000,"رعایت شده")/(COUNTIFS(Evaluations!$G$3:$G$10000,$A264,Evaluations!$O$3:$O$10000,"رعایت شده")+COUNTIFS(Evaluations!$G$3:$G$10000,$A264,Evaluations!$O$3:$O$10000,"رعایت نشده")),""))</f>
        <v/>
      </c>
      <c r="G264" s="10" t="str">
        <f>IF($A264="","",IFERROR(ROUND(100*COUNTIFS(Evaluations!$G$3:$G$10000,$A264,Evaluations!$Q$3:$Q$10000,1)/(COUNTIFS(Evaluations!$G$3:$G$10000,$A264,Evaluations!$Q$3:$Q$10000,1)+COUNTIFS(Evaluations!$G$3:$G$10000,$A264,Evaluations!$Q$3:$Q$10000,0)),2),""))</f>
        <v/>
      </c>
      <c r="H264" s="10" t="str">
        <f>IF($A264="","",IFERROR(ROUND(100*COUNTIFS(Evaluations!$G$3:$G$10000,$A264,Evaluations!$R$3:$R$10000,1)/(COUNTIFS(Evaluations!$G$3:$G$10000,$A264,Evaluations!$R$3:$R$10000,1)+COUNTIFS(Evaluations!$G$3:$G$10000,$A264,Evaluations!$R$3:$R$10000,0)),2),""))</f>
        <v/>
      </c>
      <c r="I264" s="10" t="str">
        <f>IF($A264="","",IFERROR(ROUND(100*COUNTIFS(Evaluations!$G$3:$G$10000,$A264,Evaluations!$S$3:$S$10000,1)/(COUNTIFS(Evaluations!$G$3:$G$10000,$A264,Evaluations!$S$3:$S$10000,1)+COUNTIFS(Evaluations!$G$3:$G$10000,$A264,Evaluations!$S$3:$S$10000,0)),2),""))</f>
        <v/>
      </c>
      <c r="J264" s="10" t="str">
        <f>IF($A264="","",IFERROR(ROUND(100*COUNTIFS(Evaluations!$G$3:$G$10000,$A264,Evaluations!$T$3:$T$10000,1)/(COUNTIFS(Evaluations!$G$3:$G$10000,$A264,Evaluations!$T$3:$T$10000,1)+COUNTIFS(Evaluations!$G$3:$G$10000,$A264,Evaluations!$T$3:$T$10000,0)),2),""))</f>
        <v/>
      </c>
      <c r="K264" s="10" t="str">
        <f>IF($A264="","",COUNTIFS(Evaluations!$G$3:$G$10000,$A264,Evaluations!$M$3:$M$10000,"عدم پاسخ"))</f>
        <v/>
      </c>
      <c r="L264" s="10" t="str">
        <f>IF($A264="","",COUNTIFS(Evaluations!$G$3:$G$10000,$A264,Evaluations!$O$3:$O$10000,"رعایت نشده"))</f>
        <v/>
      </c>
    </row>
    <row r="265">
      <c r="A265" s="10"/>
      <c r="B265" s="10" t="str">
        <f t="array" ref="B265">_xlfn.XLOOKUP(A265,DATA!D:D,DATA!E:E,"")</f>
        <v/>
      </c>
      <c r="C265" s="10" t="str">
        <f>IF($A265="","",COUNTIFS(Evaluations!$G$3:$G$10000,$A265,Evaluations!$U$3:$U$10000,"&gt;=0",Evaluations!$U$3:$U$10000,"&lt;=100"))</f>
        <v/>
      </c>
      <c r="D265" s="10" t="str">
        <f>IF(OR($A265="",C265=0),"",ROUND(SUMIFS(Evaluations!$U$3:$U$10000,Evaluations!$G$3:$G$10000,$A265)/C265,2))</f>
        <v/>
      </c>
      <c r="E265" s="10" t="str">
        <f>IF($A265="","",COUNTIFS(Evaluations!$G$3:$G$10000,$A265,Evaluations!$M$3:$M$10000,"پاسخ داده شده"))</f>
        <v/>
      </c>
      <c r="F265" s="10" t="str">
        <f>IF($A265="","",IFERROR(COUNTIFS(Evaluations!$G$3:$G$10000,$A265,Evaluations!$O$3:$O$10000,"رعایت شده")/(COUNTIFS(Evaluations!$G$3:$G$10000,$A265,Evaluations!$O$3:$O$10000,"رعایت شده")+COUNTIFS(Evaluations!$G$3:$G$10000,$A265,Evaluations!$O$3:$O$10000,"رعایت نشده")),""))</f>
        <v/>
      </c>
      <c r="G265" s="10" t="str">
        <f>IF($A265="","",IFERROR(ROUND(100*COUNTIFS(Evaluations!$G$3:$G$10000,$A265,Evaluations!$Q$3:$Q$10000,1)/(COUNTIFS(Evaluations!$G$3:$G$10000,$A265,Evaluations!$Q$3:$Q$10000,1)+COUNTIFS(Evaluations!$G$3:$G$10000,$A265,Evaluations!$Q$3:$Q$10000,0)),2),""))</f>
        <v/>
      </c>
      <c r="H265" s="10" t="str">
        <f>IF($A265="","",IFERROR(ROUND(100*COUNTIFS(Evaluations!$G$3:$G$10000,$A265,Evaluations!$R$3:$R$10000,1)/(COUNTIFS(Evaluations!$G$3:$G$10000,$A265,Evaluations!$R$3:$R$10000,1)+COUNTIFS(Evaluations!$G$3:$G$10000,$A265,Evaluations!$R$3:$R$10000,0)),2),""))</f>
        <v/>
      </c>
      <c r="I265" s="10" t="str">
        <f>IF($A265="","",IFERROR(ROUND(100*COUNTIFS(Evaluations!$G$3:$G$10000,$A265,Evaluations!$S$3:$S$10000,1)/(COUNTIFS(Evaluations!$G$3:$G$10000,$A265,Evaluations!$S$3:$S$10000,1)+COUNTIFS(Evaluations!$G$3:$G$10000,$A265,Evaluations!$S$3:$S$10000,0)),2),""))</f>
        <v/>
      </c>
      <c r="J265" s="10" t="str">
        <f>IF($A265="","",IFERROR(ROUND(100*COUNTIFS(Evaluations!$G$3:$G$10000,$A265,Evaluations!$T$3:$T$10000,1)/(COUNTIFS(Evaluations!$G$3:$G$10000,$A265,Evaluations!$T$3:$T$10000,1)+COUNTIFS(Evaluations!$G$3:$G$10000,$A265,Evaluations!$T$3:$T$10000,0)),2),""))</f>
        <v/>
      </c>
      <c r="K265" s="10" t="str">
        <f>IF($A265="","",COUNTIFS(Evaluations!$G$3:$G$10000,$A265,Evaluations!$M$3:$M$10000,"عدم پاسخ"))</f>
        <v/>
      </c>
      <c r="L265" s="10" t="str">
        <f>IF($A265="","",COUNTIFS(Evaluations!$G$3:$G$10000,$A265,Evaluations!$O$3:$O$10000,"رعایت نشده"))</f>
        <v/>
      </c>
    </row>
    <row r="266">
      <c r="A266" s="10"/>
      <c r="B266" s="10" t="str">
        <f t="array" ref="B266">_xlfn.XLOOKUP(A266,DATA!D:D,DATA!E:E,"")</f>
        <v/>
      </c>
      <c r="C266" s="10" t="str">
        <f>IF($A266="","",COUNTIFS(Evaluations!$G$3:$G$10000,$A266,Evaluations!$U$3:$U$10000,"&gt;=0",Evaluations!$U$3:$U$10000,"&lt;=100"))</f>
        <v/>
      </c>
      <c r="D266" s="10" t="str">
        <f>IF(OR($A266="",C266=0),"",ROUND(SUMIFS(Evaluations!$U$3:$U$10000,Evaluations!$G$3:$G$10000,$A266)/C266,2))</f>
        <v/>
      </c>
      <c r="E266" s="10" t="str">
        <f>IF($A266="","",COUNTIFS(Evaluations!$G$3:$G$10000,$A266,Evaluations!$M$3:$M$10000,"پاسخ داده شده"))</f>
        <v/>
      </c>
      <c r="F266" s="10" t="str">
        <f>IF($A266="","",IFERROR(COUNTIFS(Evaluations!$G$3:$G$10000,$A266,Evaluations!$O$3:$O$10000,"رعایت شده")/(COUNTIFS(Evaluations!$G$3:$G$10000,$A266,Evaluations!$O$3:$O$10000,"رعایت شده")+COUNTIFS(Evaluations!$G$3:$G$10000,$A266,Evaluations!$O$3:$O$10000,"رعایت نشده")),""))</f>
        <v/>
      </c>
      <c r="G266" s="10" t="str">
        <f>IF($A266="","",IFERROR(ROUND(100*COUNTIFS(Evaluations!$G$3:$G$10000,$A266,Evaluations!$Q$3:$Q$10000,1)/(COUNTIFS(Evaluations!$G$3:$G$10000,$A266,Evaluations!$Q$3:$Q$10000,1)+COUNTIFS(Evaluations!$G$3:$G$10000,$A266,Evaluations!$Q$3:$Q$10000,0)),2),""))</f>
        <v/>
      </c>
      <c r="H266" s="10" t="str">
        <f>IF($A266="","",IFERROR(ROUND(100*COUNTIFS(Evaluations!$G$3:$G$10000,$A266,Evaluations!$R$3:$R$10000,1)/(COUNTIFS(Evaluations!$G$3:$G$10000,$A266,Evaluations!$R$3:$R$10000,1)+COUNTIFS(Evaluations!$G$3:$G$10000,$A266,Evaluations!$R$3:$R$10000,0)),2),""))</f>
        <v/>
      </c>
      <c r="I266" s="10" t="str">
        <f>IF($A266="","",IFERROR(ROUND(100*COUNTIFS(Evaluations!$G$3:$G$10000,$A266,Evaluations!$S$3:$S$10000,1)/(COUNTIFS(Evaluations!$G$3:$G$10000,$A266,Evaluations!$S$3:$S$10000,1)+COUNTIFS(Evaluations!$G$3:$G$10000,$A266,Evaluations!$S$3:$S$10000,0)),2),""))</f>
        <v/>
      </c>
      <c r="J266" s="10" t="str">
        <f>IF($A266="","",IFERROR(ROUND(100*COUNTIFS(Evaluations!$G$3:$G$10000,$A266,Evaluations!$T$3:$T$10000,1)/(COUNTIFS(Evaluations!$G$3:$G$10000,$A266,Evaluations!$T$3:$T$10000,1)+COUNTIFS(Evaluations!$G$3:$G$10000,$A266,Evaluations!$T$3:$T$10000,0)),2),""))</f>
        <v/>
      </c>
      <c r="K266" s="10" t="str">
        <f>IF($A266="","",COUNTIFS(Evaluations!$G$3:$G$10000,$A266,Evaluations!$M$3:$M$10000,"عدم پاسخ"))</f>
        <v/>
      </c>
      <c r="L266" s="10" t="str">
        <f>IF($A266="","",COUNTIFS(Evaluations!$G$3:$G$10000,$A266,Evaluations!$O$3:$O$10000,"رعایت نشده"))</f>
        <v/>
      </c>
    </row>
    <row r="267">
      <c r="A267" s="10"/>
      <c r="B267" s="10" t="str">
        <f t="array" ref="B267">_xlfn.XLOOKUP(A267,DATA!D:D,DATA!E:E,"")</f>
        <v/>
      </c>
      <c r="C267" s="10" t="str">
        <f>IF($A267="","",COUNTIFS(Evaluations!$G$3:$G$10000,$A267,Evaluations!$U$3:$U$10000,"&gt;=0",Evaluations!$U$3:$U$10000,"&lt;=100"))</f>
        <v/>
      </c>
      <c r="D267" s="10" t="str">
        <f>IF(OR($A267="",C267=0),"",ROUND(SUMIFS(Evaluations!$U$3:$U$10000,Evaluations!$G$3:$G$10000,$A267)/C267,2))</f>
        <v/>
      </c>
      <c r="E267" s="10" t="str">
        <f>IF($A267="","",COUNTIFS(Evaluations!$G$3:$G$10000,$A267,Evaluations!$M$3:$M$10000,"پاسخ داده شده"))</f>
        <v/>
      </c>
      <c r="F267" s="10" t="str">
        <f>IF($A267="","",IFERROR(COUNTIFS(Evaluations!$G$3:$G$10000,$A267,Evaluations!$O$3:$O$10000,"رعایت شده")/(COUNTIFS(Evaluations!$G$3:$G$10000,$A267,Evaluations!$O$3:$O$10000,"رعایت شده")+COUNTIFS(Evaluations!$G$3:$G$10000,$A267,Evaluations!$O$3:$O$10000,"رعایت نشده")),""))</f>
        <v/>
      </c>
      <c r="G267" s="10" t="str">
        <f>IF($A267="","",IFERROR(ROUND(100*COUNTIFS(Evaluations!$G$3:$G$10000,$A267,Evaluations!$Q$3:$Q$10000,1)/(COUNTIFS(Evaluations!$G$3:$G$10000,$A267,Evaluations!$Q$3:$Q$10000,1)+COUNTIFS(Evaluations!$G$3:$G$10000,$A267,Evaluations!$Q$3:$Q$10000,0)),2),""))</f>
        <v/>
      </c>
      <c r="H267" s="10" t="str">
        <f>IF($A267="","",IFERROR(ROUND(100*COUNTIFS(Evaluations!$G$3:$G$10000,$A267,Evaluations!$R$3:$R$10000,1)/(COUNTIFS(Evaluations!$G$3:$G$10000,$A267,Evaluations!$R$3:$R$10000,1)+COUNTIFS(Evaluations!$G$3:$G$10000,$A267,Evaluations!$R$3:$R$10000,0)),2),""))</f>
        <v/>
      </c>
      <c r="I267" s="10" t="str">
        <f>IF($A267="","",IFERROR(ROUND(100*COUNTIFS(Evaluations!$G$3:$G$10000,$A267,Evaluations!$S$3:$S$10000,1)/(COUNTIFS(Evaluations!$G$3:$G$10000,$A267,Evaluations!$S$3:$S$10000,1)+COUNTIFS(Evaluations!$G$3:$G$10000,$A267,Evaluations!$S$3:$S$10000,0)),2),""))</f>
        <v/>
      </c>
      <c r="J267" s="10" t="str">
        <f>IF($A267="","",IFERROR(ROUND(100*COUNTIFS(Evaluations!$G$3:$G$10000,$A267,Evaluations!$T$3:$T$10000,1)/(COUNTIFS(Evaluations!$G$3:$G$10000,$A267,Evaluations!$T$3:$T$10000,1)+COUNTIFS(Evaluations!$G$3:$G$10000,$A267,Evaluations!$T$3:$T$10000,0)),2),""))</f>
        <v/>
      </c>
      <c r="K267" s="10" t="str">
        <f>IF($A267="","",COUNTIFS(Evaluations!$G$3:$G$10000,$A267,Evaluations!$M$3:$M$10000,"عدم پاسخ"))</f>
        <v/>
      </c>
      <c r="L267" s="10" t="str">
        <f>IF($A267="","",COUNTIFS(Evaluations!$G$3:$G$10000,$A267,Evaluations!$O$3:$O$10000,"رعایت نشده"))</f>
        <v/>
      </c>
    </row>
    <row r="268">
      <c r="A268" s="10"/>
      <c r="B268" s="10" t="str">
        <f t="array" ref="B268">_xlfn.XLOOKUP(A268,DATA!D:D,DATA!E:E,"")</f>
        <v/>
      </c>
      <c r="C268" s="10" t="str">
        <f>IF($A268="","",COUNTIFS(Evaluations!$G$3:$G$10000,$A268,Evaluations!$U$3:$U$10000,"&gt;=0",Evaluations!$U$3:$U$10000,"&lt;=100"))</f>
        <v/>
      </c>
      <c r="D268" s="10" t="str">
        <f>IF(OR($A268="",C268=0),"",ROUND(SUMIFS(Evaluations!$U$3:$U$10000,Evaluations!$G$3:$G$10000,$A268)/C268,2))</f>
        <v/>
      </c>
      <c r="E268" s="10" t="str">
        <f>IF($A268="","",COUNTIFS(Evaluations!$G$3:$G$10000,$A268,Evaluations!$M$3:$M$10000,"پاسخ داده شده"))</f>
        <v/>
      </c>
      <c r="F268" s="10" t="str">
        <f>IF($A268="","",IFERROR(COUNTIFS(Evaluations!$G$3:$G$10000,$A268,Evaluations!$O$3:$O$10000,"رعایت شده")/(COUNTIFS(Evaluations!$G$3:$G$10000,$A268,Evaluations!$O$3:$O$10000,"رعایت شده")+COUNTIFS(Evaluations!$G$3:$G$10000,$A268,Evaluations!$O$3:$O$10000,"رعایت نشده")),""))</f>
        <v/>
      </c>
      <c r="G268" s="10" t="str">
        <f>IF($A268="","",IFERROR(ROUND(100*COUNTIFS(Evaluations!$G$3:$G$10000,$A268,Evaluations!$Q$3:$Q$10000,1)/(COUNTIFS(Evaluations!$G$3:$G$10000,$A268,Evaluations!$Q$3:$Q$10000,1)+COUNTIFS(Evaluations!$G$3:$G$10000,$A268,Evaluations!$Q$3:$Q$10000,0)),2),""))</f>
        <v/>
      </c>
      <c r="H268" s="10" t="str">
        <f>IF($A268="","",IFERROR(ROUND(100*COUNTIFS(Evaluations!$G$3:$G$10000,$A268,Evaluations!$R$3:$R$10000,1)/(COUNTIFS(Evaluations!$G$3:$G$10000,$A268,Evaluations!$R$3:$R$10000,1)+COUNTIFS(Evaluations!$G$3:$G$10000,$A268,Evaluations!$R$3:$R$10000,0)),2),""))</f>
        <v/>
      </c>
      <c r="I268" s="10" t="str">
        <f>IF($A268="","",IFERROR(ROUND(100*COUNTIFS(Evaluations!$G$3:$G$10000,$A268,Evaluations!$S$3:$S$10000,1)/(COUNTIFS(Evaluations!$G$3:$G$10000,$A268,Evaluations!$S$3:$S$10000,1)+COUNTIFS(Evaluations!$G$3:$G$10000,$A268,Evaluations!$S$3:$S$10000,0)),2),""))</f>
        <v/>
      </c>
      <c r="J268" s="10" t="str">
        <f>IF($A268="","",IFERROR(ROUND(100*COUNTIFS(Evaluations!$G$3:$G$10000,$A268,Evaluations!$T$3:$T$10000,1)/(COUNTIFS(Evaluations!$G$3:$G$10000,$A268,Evaluations!$T$3:$T$10000,1)+COUNTIFS(Evaluations!$G$3:$G$10000,$A268,Evaluations!$T$3:$T$10000,0)),2),""))</f>
        <v/>
      </c>
      <c r="K268" s="10" t="str">
        <f>IF($A268="","",COUNTIFS(Evaluations!$G$3:$G$10000,$A268,Evaluations!$M$3:$M$10000,"عدم پاسخ"))</f>
        <v/>
      </c>
      <c r="L268" s="10" t="str">
        <f>IF($A268="","",COUNTIFS(Evaluations!$G$3:$G$10000,$A268,Evaluations!$O$3:$O$10000,"رعایت نشده"))</f>
        <v/>
      </c>
    </row>
    <row r="269">
      <c r="A269" s="10"/>
      <c r="B269" s="10" t="str">
        <f t="array" ref="B269">_xlfn.XLOOKUP(A269,DATA!D:D,DATA!E:E,"")</f>
        <v/>
      </c>
      <c r="C269" s="10" t="str">
        <f>IF($A269="","",COUNTIFS(Evaluations!$G$3:$G$10000,$A269,Evaluations!$U$3:$U$10000,"&gt;=0",Evaluations!$U$3:$U$10000,"&lt;=100"))</f>
        <v/>
      </c>
      <c r="D269" s="10" t="str">
        <f>IF(OR($A269="",C269=0),"",ROUND(SUMIFS(Evaluations!$U$3:$U$10000,Evaluations!$G$3:$G$10000,$A269)/C269,2))</f>
        <v/>
      </c>
      <c r="E269" s="10" t="str">
        <f>IF($A269="","",COUNTIFS(Evaluations!$G$3:$G$10000,$A269,Evaluations!$M$3:$M$10000,"پاسخ داده شده"))</f>
        <v/>
      </c>
      <c r="F269" s="10" t="str">
        <f>IF($A269="","",IFERROR(COUNTIFS(Evaluations!$G$3:$G$10000,$A269,Evaluations!$O$3:$O$10000,"رعایت شده")/(COUNTIFS(Evaluations!$G$3:$G$10000,$A269,Evaluations!$O$3:$O$10000,"رعایت شده")+COUNTIFS(Evaluations!$G$3:$G$10000,$A269,Evaluations!$O$3:$O$10000,"رعایت نشده")),""))</f>
        <v/>
      </c>
      <c r="G269" s="10" t="str">
        <f>IF($A269="","",IFERROR(ROUND(100*COUNTIFS(Evaluations!$G$3:$G$10000,$A269,Evaluations!$Q$3:$Q$10000,1)/(COUNTIFS(Evaluations!$G$3:$G$10000,$A269,Evaluations!$Q$3:$Q$10000,1)+COUNTIFS(Evaluations!$G$3:$G$10000,$A269,Evaluations!$Q$3:$Q$10000,0)),2),""))</f>
        <v/>
      </c>
      <c r="H269" s="10" t="str">
        <f>IF($A269="","",IFERROR(ROUND(100*COUNTIFS(Evaluations!$G$3:$G$10000,$A269,Evaluations!$R$3:$R$10000,1)/(COUNTIFS(Evaluations!$G$3:$G$10000,$A269,Evaluations!$R$3:$R$10000,1)+COUNTIFS(Evaluations!$G$3:$G$10000,$A269,Evaluations!$R$3:$R$10000,0)),2),""))</f>
        <v/>
      </c>
      <c r="I269" s="10" t="str">
        <f>IF($A269="","",IFERROR(ROUND(100*COUNTIFS(Evaluations!$G$3:$G$10000,$A269,Evaluations!$S$3:$S$10000,1)/(COUNTIFS(Evaluations!$G$3:$G$10000,$A269,Evaluations!$S$3:$S$10000,1)+COUNTIFS(Evaluations!$G$3:$G$10000,$A269,Evaluations!$S$3:$S$10000,0)),2),""))</f>
        <v/>
      </c>
      <c r="J269" s="10" t="str">
        <f>IF($A269="","",IFERROR(ROUND(100*COUNTIFS(Evaluations!$G$3:$G$10000,$A269,Evaluations!$T$3:$T$10000,1)/(COUNTIFS(Evaluations!$G$3:$G$10000,$A269,Evaluations!$T$3:$T$10000,1)+COUNTIFS(Evaluations!$G$3:$G$10000,$A269,Evaluations!$T$3:$T$10000,0)),2),""))</f>
        <v/>
      </c>
      <c r="K269" s="10" t="str">
        <f>IF($A269="","",COUNTIFS(Evaluations!$G$3:$G$10000,$A269,Evaluations!$M$3:$M$10000,"عدم پاسخ"))</f>
        <v/>
      </c>
      <c r="L269" s="10" t="str">
        <f>IF($A269="","",COUNTIFS(Evaluations!$G$3:$G$10000,$A269,Evaluations!$O$3:$O$10000,"رعایت نشده"))</f>
        <v/>
      </c>
    </row>
    <row r="270">
      <c r="A270" s="10"/>
      <c r="B270" s="10" t="str">
        <f t="array" ref="B270">_xlfn.XLOOKUP(A270,DATA!D:D,DATA!E:E,"")</f>
        <v/>
      </c>
      <c r="C270" s="10" t="str">
        <f>IF($A270="","",COUNTIFS(Evaluations!$G$3:$G$10000,$A270,Evaluations!$U$3:$U$10000,"&gt;=0",Evaluations!$U$3:$U$10000,"&lt;=100"))</f>
        <v/>
      </c>
      <c r="D270" s="10" t="str">
        <f>IF(OR($A270="",C270=0),"",ROUND(SUMIFS(Evaluations!$U$3:$U$10000,Evaluations!$G$3:$G$10000,$A270)/C270,2))</f>
        <v/>
      </c>
      <c r="E270" s="10" t="str">
        <f>IF($A270="","",COUNTIFS(Evaluations!$G$3:$G$10000,$A270,Evaluations!$M$3:$M$10000,"پاسخ داده شده"))</f>
        <v/>
      </c>
      <c r="F270" s="10" t="str">
        <f>IF($A270="","",IFERROR(COUNTIFS(Evaluations!$G$3:$G$10000,$A270,Evaluations!$O$3:$O$10000,"رعایت شده")/(COUNTIFS(Evaluations!$G$3:$G$10000,$A270,Evaluations!$O$3:$O$10000,"رعایت شده")+COUNTIFS(Evaluations!$G$3:$G$10000,$A270,Evaluations!$O$3:$O$10000,"رعایت نشده")),""))</f>
        <v/>
      </c>
      <c r="G270" s="10" t="str">
        <f>IF($A270="","",IFERROR(ROUND(100*COUNTIFS(Evaluations!$G$3:$G$10000,$A270,Evaluations!$Q$3:$Q$10000,1)/(COUNTIFS(Evaluations!$G$3:$G$10000,$A270,Evaluations!$Q$3:$Q$10000,1)+COUNTIFS(Evaluations!$G$3:$G$10000,$A270,Evaluations!$Q$3:$Q$10000,0)),2),""))</f>
        <v/>
      </c>
      <c r="H270" s="10" t="str">
        <f>IF($A270="","",IFERROR(ROUND(100*COUNTIFS(Evaluations!$G$3:$G$10000,$A270,Evaluations!$R$3:$R$10000,1)/(COUNTIFS(Evaluations!$G$3:$G$10000,$A270,Evaluations!$R$3:$R$10000,1)+COUNTIFS(Evaluations!$G$3:$G$10000,$A270,Evaluations!$R$3:$R$10000,0)),2),""))</f>
        <v/>
      </c>
      <c r="I270" s="10" t="str">
        <f>IF($A270="","",IFERROR(ROUND(100*COUNTIFS(Evaluations!$G$3:$G$10000,$A270,Evaluations!$S$3:$S$10000,1)/(COUNTIFS(Evaluations!$G$3:$G$10000,$A270,Evaluations!$S$3:$S$10000,1)+COUNTIFS(Evaluations!$G$3:$G$10000,$A270,Evaluations!$S$3:$S$10000,0)),2),""))</f>
        <v/>
      </c>
      <c r="J270" s="10" t="str">
        <f>IF($A270="","",IFERROR(ROUND(100*COUNTIFS(Evaluations!$G$3:$G$10000,$A270,Evaluations!$T$3:$T$10000,1)/(COUNTIFS(Evaluations!$G$3:$G$10000,$A270,Evaluations!$T$3:$T$10000,1)+COUNTIFS(Evaluations!$G$3:$G$10000,$A270,Evaluations!$T$3:$T$10000,0)),2),""))</f>
        <v/>
      </c>
      <c r="K270" s="10" t="str">
        <f>IF($A270="","",COUNTIFS(Evaluations!$G$3:$G$10000,$A270,Evaluations!$M$3:$M$10000,"عدم پاسخ"))</f>
        <v/>
      </c>
      <c r="L270" s="10" t="str">
        <f>IF($A270="","",COUNTIFS(Evaluations!$G$3:$G$10000,$A270,Evaluations!$O$3:$O$10000,"رعایت نشده"))</f>
        <v/>
      </c>
    </row>
    <row r="271">
      <c r="A271" s="10"/>
      <c r="B271" s="10" t="str">
        <f t="array" ref="B271">_xlfn.XLOOKUP(A271,DATA!D:D,DATA!E:E,"")</f>
        <v/>
      </c>
      <c r="C271" s="10" t="str">
        <f>IF($A271="","",COUNTIFS(Evaluations!$G$3:$G$10000,$A271,Evaluations!$U$3:$U$10000,"&gt;=0",Evaluations!$U$3:$U$10000,"&lt;=100"))</f>
        <v/>
      </c>
      <c r="D271" s="10" t="str">
        <f>IF(OR($A271="",C271=0),"",ROUND(SUMIFS(Evaluations!$U$3:$U$10000,Evaluations!$G$3:$G$10000,$A271)/C271,2))</f>
        <v/>
      </c>
      <c r="E271" s="10" t="str">
        <f>IF($A271="","",COUNTIFS(Evaluations!$G$3:$G$10000,$A271,Evaluations!$M$3:$M$10000,"پاسخ داده شده"))</f>
        <v/>
      </c>
      <c r="F271" s="10" t="str">
        <f>IF($A271="","",IFERROR(COUNTIFS(Evaluations!$G$3:$G$10000,$A271,Evaluations!$O$3:$O$10000,"رعایت شده")/(COUNTIFS(Evaluations!$G$3:$G$10000,$A271,Evaluations!$O$3:$O$10000,"رعایت شده")+COUNTIFS(Evaluations!$G$3:$G$10000,$A271,Evaluations!$O$3:$O$10000,"رعایت نشده")),""))</f>
        <v/>
      </c>
      <c r="G271" s="10" t="str">
        <f>IF($A271="","",IFERROR(ROUND(100*COUNTIFS(Evaluations!$G$3:$G$10000,$A271,Evaluations!$Q$3:$Q$10000,1)/(COUNTIFS(Evaluations!$G$3:$G$10000,$A271,Evaluations!$Q$3:$Q$10000,1)+COUNTIFS(Evaluations!$G$3:$G$10000,$A271,Evaluations!$Q$3:$Q$10000,0)),2),""))</f>
        <v/>
      </c>
      <c r="H271" s="10" t="str">
        <f>IF($A271="","",IFERROR(ROUND(100*COUNTIFS(Evaluations!$G$3:$G$10000,$A271,Evaluations!$R$3:$R$10000,1)/(COUNTIFS(Evaluations!$G$3:$G$10000,$A271,Evaluations!$R$3:$R$10000,1)+COUNTIFS(Evaluations!$G$3:$G$10000,$A271,Evaluations!$R$3:$R$10000,0)),2),""))</f>
        <v/>
      </c>
      <c r="I271" s="10" t="str">
        <f>IF($A271="","",IFERROR(ROUND(100*COUNTIFS(Evaluations!$G$3:$G$10000,$A271,Evaluations!$S$3:$S$10000,1)/(COUNTIFS(Evaluations!$G$3:$G$10000,$A271,Evaluations!$S$3:$S$10000,1)+COUNTIFS(Evaluations!$G$3:$G$10000,$A271,Evaluations!$S$3:$S$10000,0)),2),""))</f>
        <v/>
      </c>
      <c r="J271" s="10" t="str">
        <f>IF($A271="","",IFERROR(ROUND(100*COUNTIFS(Evaluations!$G$3:$G$10000,$A271,Evaluations!$T$3:$T$10000,1)/(COUNTIFS(Evaluations!$G$3:$G$10000,$A271,Evaluations!$T$3:$T$10000,1)+COUNTIFS(Evaluations!$G$3:$G$10000,$A271,Evaluations!$T$3:$T$10000,0)),2),""))</f>
        <v/>
      </c>
      <c r="K271" s="10" t="str">
        <f>IF($A271="","",COUNTIFS(Evaluations!$G$3:$G$10000,$A271,Evaluations!$M$3:$M$10000,"عدم پاسخ"))</f>
        <v/>
      </c>
      <c r="L271" s="10" t="str">
        <f>IF($A271="","",COUNTIFS(Evaluations!$G$3:$G$10000,$A271,Evaluations!$O$3:$O$10000,"رعایت نشده"))</f>
        <v/>
      </c>
    </row>
    <row r="272">
      <c r="A272" s="10"/>
      <c r="B272" s="10" t="str">
        <f t="array" ref="B272">_xlfn.XLOOKUP(A272,DATA!D:D,DATA!E:E,"")</f>
        <v/>
      </c>
      <c r="C272" s="10" t="str">
        <f>IF($A272="","",COUNTIFS(Evaluations!$G$3:$G$10000,$A272,Evaluations!$U$3:$U$10000,"&gt;=0",Evaluations!$U$3:$U$10000,"&lt;=100"))</f>
        <v/>
      </c>
      <c r="D272" s="10" t="str">
        <f>IF(OR($A272="",C272=0),"",ROUND(SUMIFS(Evaluations!$U$3:$U$10000,Evaluations!$G$3:$G$10000,$A272)/C272,2))</f>
        <v/>
      </c>
      <c r="E272" s="10" t="str">
        <f>IF($A272="","",COUNTIFS(Evaluations!$G$3:$G$10000,$A272,Evaluations!$M$3:$M$10000,"پاسخ داده شده"))</f>
        <v/>
      </c>
      <c r="F272" s="10" t="str">
        <f>IF($A272="","",IFERROR(COUNTIFS(Evaluations!$G$3:$G$10000,$A272,Evaluations!$O$3:$O$10000,"رعایت شده")/(COUNTIFS(Evaluations!$G$3:$G$10000,$A272,Evaluations!$O$3:$O$10000,"رعایت شده")+COUNTIFS(Evaluations!$G$3:$G$10000,$A272,Evaluations!$O$3:$O$10000,"رعایت نشده")),""))</f>
        <v/>
      </c>
      <c r="G272" s="10" t="str">
        <f>IF($A272="","",IFERROR(ROUND(100*COUNTIFS(Evaluations!$G$3:$G$10000,$A272,Evaluations!$Q$3:$Q$10000,1)/(COUNTIFS(Evaluations!$G$3:$G$10000,$A272,Evaluations!$Q$3:$Q$10000,1)+COUNTIFS(Evaluations!$G$3:$G$10000,$A272,Evaluations!$Q$3:$Q$10000,0)),2),""))</f>
        <v/>
      </c>
      <c r="H272" s="10" t="str">
        <f>IF($A272="","",IFERROR(ROUND(100*COUNTIFS(Evaluations!$G$3:$G$10000,$A272,Evaluations!$R$3:$R$10000,1)/(COUNTIFS(Evaluations!$G$3:$G$10000,$A272,Evaluations!$R$3:$R$10000,1)+COUNTIFS(Evaluations!$G$3:$G$10000,$A272,Evaluations!$R$3:$R$10000,0)),2),""))</f>
        <v/>
      </c>
      <c r="I272" s="10" t="str">
        <f>IF($A272="","",IFERROR(ROUND(100*COUNTIFS(Evaluations!$G$3:$G$10000,$A272,Evaluations!$S$3:$S$10000,1)/(COUNTIFS(Evaluations!$G$3:$G$10000,$A272,Evaluations!$S$3:$S$10000,1)+COUNTIFS(Evaluations!$G$3:$G$10000,$A272,Evaluations!$S$3:$S$10000,0)),2),""))</f>
        <v/>
      </c>
      <c r="J272" s="10" t="str">
        <f>IF($A272="","",IFERROR(ROUND(100*COUNTIFS(Evaluations!$G$3:$G$10000,$A272,Evaluations!$T$3:$T$10000,1)/(COUNTIFS(Evaluations!$G$3:$G$10000,$A272,Evaluations!$T$3:$T$10000,1)+COUNTIFS(Evaluations!$G$3:$G$10000,$A272,Evaluations!$T$3:$T$10000,0)),2),""))</f>
        <v/>
      </c>
      <c r="K272" s="10" t="str">
        <f>IF($A272="","",COUNTIFS(Evaluations!$G$3:$G$10000,$A272,Evaluations!$M$3:$M$10000,"عدم پاسخ"))</f>
        <v/>
      </c>
      <c r="L272" s="10" t="str">
        <f>IF($A272="","",COUNTIFS(Evaluations!$G$3:$G$10000,$A272,Evaluations!$O$3:$O$10000,"رعایت نشده"))</f>
        <v/>
      </c>
    </row>
    <row r="273">
      <c r="A273" s="10"/>
      <c r="B273" s="10" t="str">
        <f t="array" ref="B273">_xlfn.XLOOKUP(A273,DATA!D:D,DATA!E:E,"")</f>
        <v/>
      </c>
      <c r="C273" s="10" t="str">
        <f>IF($A273="","",COUNTIFS(Evaluations!$G$3:$G$10000,$A273,Evaluations!$U$3:$U$10000,"&gt;=0",Evaluations!$U$3:$U$10000,"&lt;=100"))</f>
        <v/>
      </c>
      <c r="D273" s="10" t="str">
        <f>IF(OR($A273="",C273=0),"",ROUND(SUMIFS(Evaluations!$U$3:$U$10000,Evaluations!$G$3:$G$10000,$A273)/C273,2))</f>
        <v/>
      </c>
      <c r="E273" s="10" t="str">
        <f>IF($A273="","",COUNTIFS(Evaluations!$G$3:$G$10000,$A273,Evaluations!$M$3:$M$10000,"پاسخ داده شده"))</f>
        <v/>
      </c>
      <c r="F273" s="10" t="str">
        <f>IF($A273="","",IFERROR(COUNTIFS(Evaluations!$G$3:$G$10000,$A273,Evaluations!$O$3:$O$10000,"رعایت شده")/(COUNTIFS(Evaluations!$G$3:$G$10000,$A273,Evaluations!$O$3:$O$10000,"رعایت شده")+COUNTIFS(Evaluations!$G$3:$G$10000,$A273,Evaluations!$O$3:$O$10000,"رعایت نشده")),""))</f>
        <v/>
      </c>
      <c r="G273" s="10" t="str">
        <f>IF($A273="","",IFERROR(ROUND(100*COUNTIFS(Evaluations!$G$3:$G$10000,$A273,Evaluations!$Q$3:$Q$10000,1)/(COUNTIFS(Evaluations!$G$3:$G$10000,$A273,Evaluations!$Q$3:$Q$10000,1)+COUNTIFS(Evaluations!$G$3:$G$10000,$A273,Evaluations!$Q$3:$Q$10000,0)),2),""))</f>
        <v/>
      </c>
      <c r="H273" s="10" t="str">
        <f>IF($A273="","",IFERROR(ROUND(100*COUNTIFS(Evaluations!$G$3:$G$10000,$A273,Evaluations!$R$3:$R$10000,1)/(COUNTIFS(Evaluations!$G$3:$G$10000,$A273,Evaluations!$R$3:$R$10000,1)+COUNTIFS(Evaluations!$G$3:$G$10000,$A273,Evaluations!$R$3:$R$10000,0)),2),""))</f>
        <v/>
      </c>
      <c r="I273" s="10" t="str">
        <f>IF($A273="","",IFERROR(ROUND(100*COUNTIFS(Evaluations!$G$3:$G$10000,$A273,Evaluations!$S$3:$S$10000,1)/(COUNTIFS(Evaluations!$G$3:$G$10000,$A273,Evaluations!$S$3:$S$10000,1)+COUNTIFS(Evaluations!$G$3:$G$10000,$A273,Evaluations!$S$3:$S$10000,0)),2),""))</f>
        <v/>
      </c>
      <c r="J273" s="10" t="str">
        <f>IF($A273="","",IFERROR(ROUND(100*COUNTIFS(Evaluations!$G$3:$G$10000,$A273,Evaluations!$T$3:$T$10000,1)/(COUNTIFS(Evaluations!$G$3:$G$10000,$A273,Evaluations!$T$3:$T$10000,1)+COUNTIFS(Evaluations!$G$3:$G$10000,$A273,Evaluations!$T$3:$T$10000,0)),2),""))</f>
        <v/>
      </c>
      <c r="K273" s="10" t="str">
        <f>IF($A273="","",COUNTIFS(Evaluations!$G$3:$G$10000,$A273,Evaluations!$M$3:$M$10000,"عدم پاسخ"))</f>
        <v/>
      </c>
      <c r="L273" s="10" t="str">
        <f>IF($A273="","",COUNTIFS(Evaluations!$G$3:$G$10000,$A273,Evaluations!$O$3:$O$10000,"رعایت نشده"))</f>
        <v/>
      </c>
    </row>
    <row r="274">
      <c r="A274" s="10"/>
      <c r="B274" s="10" t="str">
        <f t="array" ref="B274">_xlfn.XLOOKUP(A274,DATA!D:D,DATA!E:E,"")</f>
        <v/>
      </c>
      <c r="C274" s="10" t="str">
        <f>IF($A274="","",COUNTIFS(Evaluations!$G$3:$G$10000,$A274,Evaluations!$U$3:$U$10000,"&gt;=0",Evaluations!$U$3:$U$10000,"&lt;=100"))</f>
        <v/>
      </c>
      <c r="D274" s="10" t="str">
        <f>IF(OR($A274="",C274=0),"",ROUND(SUMIFS(Evaluations!$U$3:$U$10000,Evaluations!$G$3:$G$10000,$A274)/C274,2))</f>
        <v/>
      </c>
      <c r="E274" s="10" t="str">
        <f>IF($A274="","",COUNTIFS(Evaluations!$G$3:$G$10000,$A274,Evaluations!$M$3:$M$10000,"پاسخ داده شده"))</f>
        <v/>
      </c>
      <c r="F274" s="10" t="str">
        <f>IF($A274="","",IFERROR(COUNTIFS(Evaluations!$G$3:$G$10000,$A274,Evaluations!$O$3:$O$10000,"رعایت شده")/(COUNTIFS(Evaluations!$G$3:$G$10000,$A274,Evaluations!$O$3:$O$10000,"رعایت شده")+COUNTIFS(Evaluations!$G$3:$G$10000,$A274,Evaluations!$O$3:$O$10000,"رعایت نشده")),""))</f>
        <v/>
      </c>
      <c r="G274" s="10" t="str">
        <f>IF($A274="","",IFERROR(ROUND(100*COUNTIFS(Evaluations!$G$3:$G$10000,$A274,Evaluations!$Q$3:$Q$10000,1)/(COUNTIFS(Evaluations!$G$3:$G$10000,$A274,Evaluations!$Q$3:$Q$10000,1)+COUNTIFS(Evaluations!$G$3:$G$10000,$A274,Evaluations!$Q$3:$Q$10000,0)),2),""))</f>
        <v/>
      </c>
      <c r="H274" s="10" t="str">
        <f>IF($A274="","",IFERROR(ROUND(100*COUNTIFS(Evaluations!$G$3:$G$10000,$A274,Evaluations!$R$3:$R$10000,1)/(COUNTIFS(Evaluations!$G$3:$G$10000,$A274,Evaluations!$R$3:$R$10000,1)+COUNTIFS(Evaluations!$G$3:$G$10000,$A274,Evaluations!$R$3:$R$10000,0)),2),""))</f>
        <v/>
      </c>
      <c r="I274" s="10" t="str">
        <f>IF($A274="","",IFERROR(ROUND(100*COUNTIFS(Evaluations!$G$3:$G$10000,$A274,Evaluations!$S$3:$S$10000,1)/(COUNTIFS(Evaluations!$G$3:$G$10000,$A274,Evaluations!$S$3:$S$10000,1)+COUNTIFS(Evaluations!$G$3:$G$10000,$A274,Evaluations!$S$3:$S$10000,0)),2),""))</f>
        <v/>
      </c>
      <c r="J274" s="10" t="str">
        <f>IF($A274="","",IFERROR(ROUND(100*COUNTIFS(Evaluations!$G$3:$G$10000,$A274,Evaluations!$T$3:$T$10000,1)/(COUNTIFS(Evaluations!$G$3:$G$10000,$A274,Evaluations!$T$3:$T$10000,1)+COUNTIFS(Evaluations!$G$3:$G$10000,$A274,Evaluations!$T$3:$T$10000,0)),2),""))</f>
        <v/>
      </c>
      <c r="K274" s="10" t="str">
        <f>IF($A274="","",COUNTIFS(Evaluations!$G$3:$G$10000,$A274,Evaluations!$M$3:$M$10000,"عدم پاسخ"))</f>
        <v/>
      </c>
      <c r="L274" s="10" t="str">
        <f>IF($A274="","",COUNTIFS(Evaluations!$G$3:$G$10000,$A274,Evaluations!$O$3:$O$10000,"رعایت نشده"))</f>
        <v/>
      </c>
    </row>
    <row r="275">
      <c r="A275" s="10"/>
      <c r="B275" s="10" t="str">
        <f t="array" ref="B275">_xlfn.XLOOKUP(A275,DATA!D:D,DATA!E:E,"")</f>
        <v/>
      </c>
      <c r="C275" s="10" t="str">
        <f>IF($A275="","",COUNTIFS(Evaluations!$G$3:$G$10000,$A275,Evaluations!$U$3:$U$10000,"&gt;=0",Evaluations!$U$3:$U$10000,"&lt;=100"))</f>
        <v/>
      </c>
      <c r="D275" s="10" t="str">
        <f>IF(OR($A275="",C275=0),"",ROUND(SUMIFS(Evaluations!$U$3:$U$10000,Evaluations!$G$3:$G$10000,$A275)/C275,2))</f>
        <v/>
      </c>
      <c r="E275" s="10" t="str">
        <f>IF($A275="","",COUNTIFS(Evaluations!$G$3:$G$10000,$A275,Evaluations!$M$3:$M$10000,"پاسخ داده شده"))</f>
        <v/>
      </c>
      <c r="F275" s="10" t="str">
        <f>IF($A275="","",IFERROR(COUNTIFS(Evaluations!$G$3:$G$10000,$A275,Evaluations!$O$3:$O$10000,"رعایت شده")/(COUNTIFS(Evaluations!$G$3:$G$10000,$A275,Evaluations!$O$3:$O$10000,"رعایت شده")+COUNTIFS(Evaluations!$G$3:$G$10000,$A275,Evaluations!$O$3:$O$10000,"رعایت نشده")),""))</f>
        <v/>
      </c>
      <c r="G275" s="10" t="str">
        <f>IF($A275="","",IFERROR(ROUND(100*COUNTIFS(Evaluations!$G$3:$G$10000,$A275,Evaluations!$Q$3:$Q$10000,1)/(COUNTIFS(Evaluations!$G$3:$G$10000,$A275,Evaluations!$Q$3:$Q$10000,1)+COUNTIFS(Evaluations!$G$3:$G$10000,$A275,Evaluations!$Q$3:$Q$10000,0)),2),""))</f>
        <v/>
      </c>
      <c r="H275" s="10" t="str">
        <f>IF($A275="","",IFERROR(ROUND(100*COUNTIFS(Evaluations!$G$3:$G$10000,$A275,Evaluations!$R$3:$R$10000,1)/(COUNTIFS(Evaluations!$G$3:$G$10000,$A275,Evaluations!$R$3:$R$10000,1)+COUNTIFS(Evaluations!$G$3:$G$10000,$A275,Evaluations!$R$3:$R$10000,0)),2),""))</f>
        <v/>
      </c>
      <c r="I275" s="10" t="str">
        <f>IF($A275="","",IFERROR(ROUND(100*COUNTIFS(Evaluations!$G$3:$G$10000,$A275,Evaluations!$S$3:$S$10000,1)/(COUNTIFS(Evaluations!$G$3:$G$10000,$A275,Evaluations!$S$3:$S$10000,1)+COUNTIFS(Evaluations!$G$3:$G$10000,$A275,Evaluations!$S$3:$S$10000,0)),2),""))</f>
        <v/>
      </c>
      <c r="J275" s="10" t="str">
        <f>IF($A275="","",IFERROR(ROUND(100*COUNTIFS(Evaluations!$G$3:$G$10000,$A275,Evaluations!$T$3:$T$10000,1)/(COUNTIFS(Evaluations!$G$3:$G$10000,$A275,Evaluations!$T$3:$T$10000,1)+COUNTIFS(Evaluations!$G$3:$G$10000,$A275,Evaluations!$T$3:$T$10000,0)),2),""))</f>
        <v/>
      </c>
      <c r="K275" s="10" t="str">
        <f>IF($A275="","",COUNTIFS(Evaluations!$G$3:$G$10000,$A275,Evaluations!$M$3:$M$10000,"عدم پاسخ"))</f>
        <v/>
      </c>
      <c r="L275" s="10" t="str">
        <f>IF($A275="","",COUNTIFS(Evaluations!$G$3:$G$10000,$A275,Evaluations!$O$3:$O$10000,"رعایت نشده"))</f>
        <v/>
      </c>
    </row>
    <row r="276">
      <c r="A276" s="10"/>
      <c r="B276" s="10" t="str">
        <f t="array" ref="B276">_xlfn.XLOOKUP(A276,DATA!D:D,DATA!E:E,"")</f>
        <v/>
      </c>
      <c r="C276" s="10" t="str">
        <f>IF($A276="","",COUNTIFS(Evaluations!$G$3:$G$10000,$A276,Evaluations!$U$3:$U$10000,"&gt;=0",Evaluations!$U$3:$U$10000,"&lt;=100"))</f>
        <v/>
      </c>
      <c r="D276" s="10" t="str">
        <f>IF(OR($A276="",C276=0),"",ROUND(SUMIFS(Evaluations!$U$3:$U$10000,Evaluations!$G$3:$G$10000,$A276)/C276,2))</f>
        <v/>
      </c>
      <c r="E276" s="10" t="str">
        <f>IF($A276="","",COUNTIFS(Evaluations!$G$3:$G$10000,$A276,Evaluations!$M$3:$M$10000,"پاسخ داده شده"))</f>
        <v/>
      </c>
      <c r="F276" s="10" t="str">
        <f>IF($A276="","",IFERROR(COUNTIFS(Evaluations!$G$3:$G$10000,$A276,Evaluations!$O$3:$O$10000,"رعایت شده")/(COUNTIFS(Evaluations!$G$3:$G$10000,$A276,Evaluations!$O$3:$O$10000,"رعایت شده")+COUNTIFS(Evaluations!$G$3:$G$10000,$A276,Evaluations!$O$3:$O$10000,"رعایت نشده")),""))</f>
        <v/>
      </c>
      <c r="G276" s="10" t="str">
        <f>IF($A276="","",IFERROR(ROUND(100*COUNTIFS(Evaluations!$G$3:$G$10000,$A276,Evaluations!$Q$3:$Q$10000,1)/(COUNTIFS(Evaluations!$G$3:$G$10000,$A276,Evaluations!$Q$3:$Q$10000,1)+COUNTIFS(Evaluations!$G$3:$G$10000,$A276,Evaluations!$Q$3:$Q$10000,0)),2),""))</f>
        <v/>
      </c>
      <c r="H276" s="10" t="str">
        <f>IF($A276="","",IFERROR(ROUND(100*COUNTIFS(Evaluations!$G$3:$G$10000,$A276,Evaluations!$R$3:$R$10000,1)/(COUNTIFS(Evaluations!$G$3:$G$10000,$A276,Evaluations!$R$3:$R$10000,1)+COUNTIFS(Evaluations!$G$3:$G$10000,$A276,Evaluations!$R$3:$R$10000,0)),2),""))</f>
        <v/>
      </c>
      <c r="I276" s="10" t="str">
        <f>IF($A276="","",IFERROR(ROUND(100*COUNTIFS(Evaluations!$G$3:$G$10000,$A276,Evaluations!$S$3:$S$10000,1)/(COUNTIFS(Evaluations!$G$3:$G$10000,$A276,Evaluations!$S$3:$S$10000,1)+COUNTIFS(Evaluations!$G$3:$G$10000,$A276,Evaluations!$S$3:$S$10000,0)),2),""))</f>
        <v/>
      </c>
      <c r="J276" s="10" t="str">
        <f>IF($A276="","",IFERROR(ROUND(100*COUNTIFS(Evaluations!$G$3:$G$10000,$A276,Evaluations!$T$3:$T$10000,1)/(COUNTIFS(Evaluations!$G$3:$G$10000,$A276,Evaluations!$T$3:$T$10000,1)+COUNTIFS(Evaluations!$G$3:$G$10000,$A276,Evaluations!$T$3:$T$10000,0)),2),""))</f>
        <v/>
      </c>
      <c r="K276" s="10" t="str">
        <f>IF($A276="","",COUNTIFS(Evaluations!$G$3:$G$10000,$A276,Evaluations!$M$3:$M$10000,"عدم پاسخ"))</f>
        <v/>
      </c>
      <c r="L276" s="10" t="str">
        <f>IF($A276="","",COUNTIFS(Evaluations!$G$3:$G$10000,$A276,Evaluations!$O$3:$O$10000,"رعایت نشده"))</f>
        <v/>
      </c>
    </row>
    <row r="277">
      <c r="A277" s="10"/>
      <c r="B277" s="10" t="str">
        <f t="array" ref="B277">_xlfn.XLOOKUP(A277,DATA!D:D,DATA!E:E,"")</f>
        <v/>
      </c>
      <c r="C277" s="10" t="str">
        <f>IF($A277="","",COUNTIFS(Evaluations!$G$3:$G$10000,$A277,Evaluations!$U$3:$U$10000,"&gt;=0",Evaluations!$U$3:$U$10000,"&lt;=100"))</f>
        <v/>
      </c>
      <c r="D277" s="10" t="str">
        <f>IF(OR($A277="",C277=0),"",ROUND(SUMIFS(Evaluations!$U$3:$U$10000,Evaluations!$G$3:$G$10000,$A277)/C277,2))</f>
        <v/>
      </c>
      <c r="E277" s="10" t="str">
        <f>IF($A277="","",COUNTIFS(Evaluations!$G$3:$G$10000,$A277,Evaluations!$M$3:$M$10000,"پاسخ داده شده"))</f>
        <v/>
      </c>
      <c r="F277" s="10" t="str">
        <f>IF($A277="","",IFERROR(COUNTIFS(Evaluations!$G$3:$G$10000,$A277,Evaluations!$O$3:$O$10000,"رعایت شده")/(COUNTIFS(Evaluations!$G$3:$G$10000,$A277,Evaluations!$O$3:$O$10000,"رعایت شده")+COUNTIFS(Evaluations!$G$3:$G$10000,$A277,Evaluations!$O$3:$O$10000,"رعایت نشده")),""))</f>
        <v/>
      </c>
      <c r="G277" s="10" t="str">
        <f>IF($A277="","",IFERROR(ROUND(100*COUNTIFS(Evaluations!$G$3:$G$10000,$A277,Evaluations!$Q$3:$Q$10000,1)/(COUNTIFS(Evaluations!$G$3:$G$10000,$A277,Evaluations!$Q$3:$Q$10000,1)+COUNTIFS(Evaluations!$G$3:$G$10000,$A277,Evaluations!$Q$3:$Q$10000,0)),2),""))</f>
        <v/>
      </c>
      <c r="H277" s="10" t="str">
        <f>IF($A277="","",IFERROR(ROUND(100*COUNTIFS(Evaluations!$G$3:$G$10000,$A277,Evaluations!$R$3:$R$10000,1)/(COUNTIFS(Evaluations!$G$3:$G$10000,$A277,Evaluations!$R$3:$R$10000,1)+COUNTIFS(Evaluations!$G$3:$G$10000,$A277,Evaluations!$R$3:$R$10000,0)),2),""))</f>
        <v/>
      </c>
      <c r="I277" s="10" t="str">
        <f>IF($A277="","",IFERROR(ROUND(100*COUNTIFS(Evaluations!$G$3:$G$10000,$A277,Evaluations!$S$3:$S$10000,1)/(COUNTIFS(Evaluations!$G$3:$G$10000,$A277,Evaluations!$S$3:$S$10000,1)+COUNTIFS(Evaluations!$G$3:$G$10000,$A277,Evaluations!$S$3:$S$10000,0)),2),""))</f>
        <v/>
      </c>
      <c r="J277" s="10" t="str">
        <f>IF($A277="","",IFERROR(ROUND(100*COUNTIFS(Evaluations!$G$3:$G$10000,$A277,Evaluations!$T$3:$T$10000,1)/(COUNTIFS(Evaluations!$G$3:$G$10000,$A277,Evaluations!$T$3:$T$10000,1)+COUNTIFS(Evaluations!$G$3:$G$10000,$A277,Evaluations!$T$3:$T$10000,0)),2),""))</f>
        <v/>
      </c>
      <c r="K277" s="10" t="str">
        <f>IF($A277="","",COUNTIFS(Evaluations!$G$3:$G$10000,$A277,Evaluations!$M$3:$M$10000,"عدم پاسخ"))</f>
        <v/>
      </c>
      <c r="L277" s="10" t="str">
        <f>IF($A277="","",COUNTIFS(Evaluations!$G$3:$G$10000,$A277,Evaluations!$O$3:$O$10000,"رعایت نشده"))</f>
        <v/>
      </c>
    </row>
    <row r="278">
      <c r="A278" s="10"/>
      <c r="B278" s="10" t="str">
        <f t="array" ref="B278">_xlfn.XLOOKUP(A278,DATA!D:D,DATA!E:E,"")</f>
        <v/>
      </c>
      <c r="C278" s="10" t="str">
        <f>IF($A278="","",COUNTIFS(Evaluations!$G$3:$G$10000,$A278,Evaluations!$U$3:$U$10000,"&gt;=0",Evaluations!$U$3:$U$10000,"&lt;=100"))</f>
        <v/>
      </c>
      <c r="D278" s="10" t="str">
        <f>IF(OR($A278="",C278=0),"",ROUND(SUMIFS(Evaluations!$U$3:$U$10000,Evaluations!$G$3:$G$10000,$A278)/C278,2))</f>
        <v/>
      </c>
      <c r="E278" s="10" t="str">
        <f>IF($A278="","",COUNTIFS(Evaluations!$G$3:$G$10000,$A278,Evaluations!$M$3:$M$10000,"پاسخ داده شده"))</f>
        <v/>
      </c>
      <c r="F278" s="10" t="str">
        <f>IF($A278="","",IFERROR(COUNTIFS(Evaluations!$G$3:$G$10000,$A278,Evaluations!$O$3:$O$10000,"رعایت شده")/(COUNTIFS(Evaluations!$G$3:$G$10000,$A278,Evaluations!$O$3:$O$10000,"رعایت شده")+COUNTIFS(Evaluations!$G$3:$G$10000,$A278,Evaluations!$O$3:$O$10000,"رعایت نشده")),""))</f>
        <v/>
      </c>
      <c r="G278" s="10" t="str">
        <f>IF($A278="","",IFERROR(ROUND(100*COUNTIFS(Evaluations!$G$3:$G$10000,$A278,Evaluations!$Q$3:$Q$10000,1)/(COUNTIFS(Evaluations!$G$3:$G$10000,$A278,Evaluations!$Q$3:$Q$10000,1)+COUNTIFS(Evaluations!$G$3:$G$10000,$A278,Evaluations!$Q$3:$Q$10000,0)),2),""))</f>
        <v/>
      </c>
      <c r="H278" s="10" t="str">
        <f>IF($A278="","",IFERROR(ROUND(100*COUNTIFS(Evaluations!$G$3:$G$10000,$A278,Evaluations!$R$3:$R$10000,1)/(COUNTIFS(Evaluations!$G$3:$G$10000,$A278,Evaluations!$R$3:$R$10000,1)+COUNTIFS(Evaluations!$G$3:$G$10000,$A278,Evaluations!$R$3:$R$10000,0)),2),""))</f>
        <v/>
      </c>
      <c r="I278" s="10" t="str">
        <f>IF($A278="","",IFERROR(ROUND(100*COUNTIFS(Evaluations!$G$3:$G$10000,$A278,Evaluations!$S$3:$S$10000,1)/(COUNTIFS(Evaluations!$G$3:$G$10000,$A278,Evaluations!$S$3:$S$10000,1)+COUNTIFS(Evaluations!$G$3:$G$10000,$A278,Evaluations!$S$3:$S$10000,0)),2),""))</f>
        <v/>
      </c>
      <c r="J278" s="10" t="str">
        <f>IF($A278="","",IFERROR(ROUND(100*COUNTIFS(Evaluations!$G$3:$G$10000,$A278,Evaluations!$T$3:$T$10000,1)/(COUNTIFS(Evaluations!$G$3:$G$10000,$A278,Evaluations!$T$3:$T$10000,1)+COUNTIFS(Evaluations!$G$3:$G$10000,$A278,Evaluations!$T$3:$T$10000,0)),2),""))</f>
        <v/>
      </c>
      <c r="K278" s="10" t="str">
        <f>IF($A278="","",COUNTIFS(Evaluations!$G$3:$G$10000,$A278,Evaluations!$M$3:$M$10000,"عدم پاسخ"))</f>
        <v/>
      </c>
      <c r="L278" s="10" t="str">
        <f>IF($A278="","",COUNTIFS(Evaluations!$G$3:$G$10000,$A278,Evaluations!$O$3:$O$10000,"رعایت نشده"))</f>
        <v/>
      </c>
    </row>
    <row r="279">
      <c r="A279" s="10"/>
      <c r="B279" s="10" t="str">
        <f t="array" ref="B279">_xlfn.XLOOKUP(A279,DATA!D:D,DATA!E:E,"")</f>
        <v/>
      </c>
      <c r="C279" s="10" t="str">
        <f>IF($A279="","",COUNTIFS(Evaluations!$G$3:$G$10000,$A279,Evaluations!$U$3:$U$10000,"&gt;=0",Evaluations!$U$3:$U$10000,"&lt;=100"))</f>
        <v/>
      </c>
      <c r="D279" s="10" t="str">
        <f>IF(OR($A279="",C279=0),"",ROUND(SUMIFS(Evaluations!$U$3:$U$10000,Evaluations!$G$3:$G$10000,$A279)/C279,2))</f>
        <v/>
      </c>
      <c r="E279" s="10" t="str">
        <f>IF($A279="","",COUNTIFS(Evaluations!$G$3:$G$10000,$A279,Evaluations!$M$3:$M$10000,"پاسخ داده شده"))</f>
        <v/>
      </c>
      <c r="F279" s="10" t="str">
        <f>IF($A279="","",IFERROR(COUNTIFS(Evaluations!$G$3:$G$10000,$A279,Evaluations!$O$3:$O$10000,"رعایت شده")/(COUNTIFS(Evaluations!$G$3:$G$10000,$A279,Evaluations!$O$3:$O$10000,"رعایت شده")+COUNTIFS(Evaluations!$G$3:$G$10000,$A279,Evaluations!$O$3:$O$10000,"رعایت نشده")),""))</f>
        <v/>
      </c>
      <c r="G279" s="10" t="str">
        <f>IF($A279="","",IFERROR(ROUND(100*COUNTIFS(Evaluations!$G$3:$G$10000,$A279,Evaluations!$Q$3:$Q$10000,1)/(COUNTIFS(Evaluations!$G$3:$G$10000,$A279,Evaluations!$Q$3:$Q$10000,1)+COUNTIFS(Evaluations!$G$3:$G$10000,$A279,Evaluations!$Q$3:$Q$10000,0)),2),""))</f>
        <v/>
      </c>
      <c r="H279" s="10" t="str">
        <f>IF($A279="","",IFERROR(ROUND(100*COUNTIFS(Evaluations!$G$3:$G$10000,$A279,Evaluations!$R$3:$R$10000,1)/(COUNTIFS(Evaluations!$G$3:$G$10000,$A279,Evaluations!$R$3:$R$10000,1)+COUNTIFS(Evaluations!$G$3:$G$10000,$A279,Evaluations!$R$3:$R$10000,0)),2),""))</f>
        <v/>
      </c>
      <c r="I279" s="10" t="str">
        <f>IF($A279="","",IFERROR(ROUND(100*COUNTIFS(Evaluations!$G$3:$G$10000,$A279,Evaluations!$S$3:$S$10000,1)/(COUNTIFS(Evaluations!$G$3:$G$10000,$A279,Evaluations!$S$3:$S$10000,1)+COUNTIFS(Evaluations!$G$3:$G$10000,$A279,Evaluations!$S$3:$S$10000,0)),2),""))</f>
        <v/>
      </c>
      <c r="J279" s="10" t="str">
        <f>IF($A279="","",IFERROR(ROUND(100*COUNTIFS(Evaluations!$G$3:$G$10000,$A279,Evaluations!$T$3:$T$10000,1)/(COUNTIFS(Evaluations!$G$3:$G$10000,$A279,Evaluations!$T$3:$T$10000,1)+COUNTIFS(Evaluations!$G$3:$G$10000,$A279,Evaluations!$T$3:$T$10000,0)),2),""))</f>
        <v/>
      </c>
      <c r="K279" s="10" t="str">
        <f>IF($A279="","",COUNTIFS(Evaluations!$G$3:$G$10000,$A279,Evaluations!$M$3:$M$10000,"عدم پاسخ"))</f>
        <v/>
      </c>
      <c r="L279" s="10" t="str">
        <f>IF($A279="","",COUNTIFS(Evaluations!$G$3:$G$10000,$A279,Evaluations!$O$3:$O$10000,"رعایت نشده"))</f>
        <v/>
      </c>
    </row>
    <row r="280">
      <c r="A280" s="10"/>
      <c r="B280" s="10" t="str">
        <f t="array" ref="B280">_xlfn.XLOOKUP(A280,DATA!D:D,DATA!E:E,"")</f>
        <v/>
      </c>
      <c r="C280" s="10" t="str">
        <f>IF($A280="","",COUNTIFS(Evaluations!$G$3:$G$10000,$A280,Evaluations!$U$3:$U$10000,"&gt;=0",Evaluations!$U$3:$U$10000,"&lt;=100"))</f>
        <v/>
      </c>
      <c r="D280" s="10" t="str">
        <f>IF(OR($A280="",C280=0),"",ROUND(SUMIFS(Evaluations!$U$3:$U$10000,Evaluations!$G$3:$G$10000,$A280)/C280,2))</f>
        <v/>
      </c>
      <c r="E280" s="10" t="str">
        <f>IF($A280="","",COUNTIFS(Evaluations!$G$3:$G$10000,$A280,Evaluations!$M$3:$M$10000,"پاسخ داده شده"))</f>
        <v/>
      </c>
      <c r="F280" s="10" t="str">
        <f>IF($A280="","",IFERROR(COUNTIFS(Evaluations!$G$3:$G$10000,$A280,Evaluations!$O$3:$O$10000,"رعایت شده")/(COUNTIFS(Evaluations!$G$3:$G$10000,$A280,Evaluations!$O$3:$O$10000,"رعایت شده")+COUNTIFS(Evaluations!$G$3:$G$10000,$A280,Evaluations!$O$3:$O$10000,"رعایت نشده")),""))</f>
        <v/>
      </c>
      <c r="G280" s="10" t="str">
        <f>IF($A280="","",IFERROR(ROUND(100*COUNTIFS(Evaluations!$G$3:$G$10000,$A280,Evaluations!$Q$3:$Q$10000,1)/(COUNTIFS(Evaluations!$G$3:$G$10000,$A280,Evaluations!$Q$3:$Q$10000,1)+COUNTIFS(Evaluations!$G$3:$G$10000,$A280,Evaluations!$Q$3:$Q$10000,0)),2),""))</f>
        <v/>
      </c>
      <c r="H280" s="10" t="str">
        <f>IF($A280="","",IFERROR(ROUND(100*COUNTIFS(Evaluations!$G$3:$G$10000,$A280,Evaluations!$R$3:$R$10000,1)/(COUNTIFS(Evaluations!$G$3:$G$10000,$A280,Evaluations!$R$3:$R$10000,1)+COUNTIFS(Evaluations!$G$3:$G$10000,$A280,Evaluations!$R$3:$R$10000,0)),2),""))</f>
        <v/>
      </c>
      <c r="I280" s="10" t="str">
        <f>IF($A280="","",IFERROR(ROUND(100*COUNTIFS(Evaluations!$G$3:$G$10000,$A280,Evaluations!$S$3:$S$10000,1)/(COUNTIFS(Evaluations!$G$3:$G$10000,$A280,Evaluations!$S$3:$S$10000,1)+COUNTIFS(Evaluations!$G$3:$G$10000,$A280,Evaluations!$S$3:$S$10000,0)),2),""))</f>
        <v/>
      </c>
      <c r="J280" s="10" t="str">
        <f>IF($A280="","",IFERROR(ROUND(100*COUNTIFS(Evaluations!$G$3:$G$10000,$A280,Evaluations!$T$3:$T$10000,1)/(COUNTIFS(Evaluations!$G$3:$G$10000,$A280,Evaluations!$T$3:$T$10000,1)+COUNTIFS(Evaluations!$G$3:$G$10000,$A280,Evaluations!$T$3:$T$10000,0)),2),""))</f>
        <v/>
      </c>
      <c r="K280" s="10" t="str">
        <f>IF($A280="","",COUNTIFS(Evaluations!$G$3:$G$10000,$A280,Evaluations!$M$3:$M$10000,"عدم پاسخ"))</f>
        <v/>
      </c>
      <c r="L280" s="10" t="str">
        <f>IF($A280="","",COUNTIFS(Evaluations!$G$3:$G$10000,$A280,Evaluations!$O$3:$O$10000,"رعایت نشده"))</f>
        <v/>
      </c>
    </row>
    <row r="281">
      <c r="A281" s="10"/>
      <c r="B281" s="10" t="str">
        <f t="array" ref="B281">_xlfn.XLOOKUP(A281,DATA!D:D,DATA!E:E,"")</f>
        <v/>
      </c>
      <c r="C281" s="10" t="str">
        <f>IF($A281="","",COUNTIFS(Evaluations!$G$3:$G$10000,$A281,Evaluations!$U$3:$U$10000,"&gt;=0",Evaluations!$U$3:$U$10000,"&lt;=100"))</f>
        <v/>
      </c>
      <c r="D281" s="10" t="str">
        <f>IF(OR($A281="",C281=0),"",ROUND(SUMIFS(Evaluations!$U$3:$U$10000,Evaluations!$G$3:$G$10000,$A281)/C281,2))</f>
        <v/>
      </c>
      <c r="E281" s="10" t="str">
        <f>IF($A281="","",COUNTIFS(Evaluations!$G$3:$G$10000,$A281,Evaluations!$M$3:$M$10000,"پاسخ داده شده"))</f>
        <v/>
      </c>
      <c r="F281" s="10" t="str">
        <f>IF($A281="","",IFERROR(COUNTIFS(Evaluations!$G$3:$G$10000,$A281,Evaluations!$O$3:$O$10000,"رعایت شده")/(COUNTIFS(Evaluations!$G$3:$G$10000,$A281,Evaluations!$O$3:$O$10000,"رعایت شده")+COUNTIFS(Evaluations!$G$3:$G$10000,$A281,Evaluations!$O$3:$O$10000,"رعایت نشده")),""))</f>
        <v/>
      </c>
      <c r="G281" s="10" t="str">
        <f>IF($A281="","",IFERROR(ROUND(100*COUNTIFS(Evaluations!$G$3:$G$10000,$A281,Evaluations!$Q$3:$Q$10000,1)/(COUNTIFS(Evaluations!$G$3:$G$10000,$A281,Evaluations!$Q$3:$Q$10000,1)+COUNTIFS(Evaluations!$G$3:$G$10000,$A281,Evaluations!$Q$3:$Q$10000,0)),2),""))</f>
        <v/>
      </c>
      <c r="H281" s="10" t="str">
        <f>IF($A281="","",IFERROR(ROUND(100*COUNTIFS(Evaluations!$G$3:$G$10000,$A281,Evaluations!$R$3:$R$10000,1)/(COUNTIFS(Evaluations!$G$3:$G$10000,$A281,Evaluations!$R$3:$R$10000,1)+COUNTIFS(Evaluations!$G$3:$G$10000,$A281,Evaluations!$R$3:$R$10000,0)),2),""))</f>
        <v/>
      </c>
      <c r="I281" s="10" t="str">
        <f>IF($A281="","",IFERROR(ROUND(100*COUNTIFS(Evaluations!$G$3:$G$10000,$A281,Evaluations!$S$3:$S$10000,1)/(COUNTIFS(Evaluations!$G$3:$G$10000,$A281,Evaluations!$S$3:$S$10000,1)+COUNTIFS(Evaluations!$G$3:$G$10000,$A281,Evaluations!$S$3:$S$10000,0)),2),""))</f>
        <v/>
      </c>
      <c r="J281" s="10" t="str">
        <f>IF($A281="","",IFERROR(ROUND(100*COUNTIFS(Evaluations!$G$3:$G$10000,$A281,Evaluations!$T$3:$T$10000,1)/(COUNTIFS(Evaluations!$G$3:$G$10000,$A281,Evaluations!$T$3:$T$10000,1)+COUNTIFS(Evaluations!$G$3:$G$10000,$A281,Evaluations!$T$3:$T$10000,0)),2),""))</f>
        <v/>
      </c>
      <c r="K281" s="10" t="str">
        <f>IF($A281="","",COUNTIFS(Evaluations!$G$3:$G$10000,$A281,Evaluations!$M$3:$M$10000,"عدم پاسخ"))</f>
        <v/>
      </c>
      <c r="L281" s="10" t="str">
        <f>IF($A281="","",COUNTIFS(Evaluations!$G$3:$G$10000,$A281,Evaluations!$O$3:$O$10000,"رعایت نشده"))</f>
        <v/>
      </c>
    </row>
    <row r="282">
      <c r="A282" s="10"/>
      <c r="B282" s="10" t="str">
        <f t="array" ref="B282">_xlfn.XLOOKUP(A282,DATA!D:D,DATA!E:E,"")</f>
        <v/>
      </c>
      <c r="C282" s="10" t="str">
        <f>IF($A282="","",COUNTIFS(Evaluations!$G$3:$G$10000,$A282,Evaluations!$U$3:$U$10000,"&gt;=0",Evaluations!$U$3:$U$10000,"&lt;=100"))</f>
        <v/>
      </c>
      <c r="D282" s="10" t="str">
        <f>IF(OR($A282="",C282=0),"",ROUND(SUMIFS(Evaluations!$U$3:$U$10000,Evaluations!$G$3:$G$10000,$A282)/C282,2))</f>
        <v/>
      </c>
      <c r="E282" s="10" t="str">
        <f>IF($A282="","",COUNTIFS(Evaluations!$G$3:$G$10000,$A282,Evaluations!$M$3:$M$10000,"پاسخ داده شده"))</f>
        <v/>
      </c>
      <c r="F282" s="10" t="str">
        <f>IF($A282="","",IFERROR(COUNTIFS(Evaluations!$G$3:$G$10000,$A282,Evaluations!$O$3:$O$10000,"رعایت شده")/(COUNTIFS(Evaluations!$G$3:$G$10000,$A282,Evaluations!$O$3:$O$10000,"رعایت شده")+COUNTIFS(Evaluations!$G$3:$G$10000,$A282,Evaluations!$O$3:$O$10000,"رعایت نشده")),""))</f>
        <v/>
      </c>
      <c r="G282" s="10" t="str">
        <f>IF($A282="","",IFERROR(ROUND(100*COUNTIFS(Evaluations!$G$3:$G$10000,$A282,Evaluations!$Q$3:$Q$10000,1)/(COUNTIFS(Evaluations!$G$3:$G$10000,$A282,Evaluations!$Q$3:$Q$10000,1)+COUNTIFS(Evaluations!$G$3:$G$10000,$A282,Evaluations!$Q$3:$Q$10000,0)),2),""))</f>
        <v/>
      </c>
      <c r="H282" s="10" t="str">
        <f>IF($A282="","",IFERROR(ROUND(100*COUNTIFS(Evaluations!$G$3:$G$10000,$A282,Evaluations!$R$3:$R$10000,1)/(COUNTIFS(Evaluations!$G$3:$G$10000,$A282,Evaluations!$R$3:$R$10000,1)+COUNTIFS(Evaluations!$G$3:$G$10000,$A282,Evaluations!$R$3:$R$10000,0)),2),""))</f>
        <v/>
      </c>
      <c r="I282" s="10" t="str">
        <f>IF($A282="","",IFERROR(ROUND(100*COUNTIFS(Evaluations!$G$3:$G$10000,$A282,Evaluations!$S$3:$S$10000,1)/(COUNTIFS(Evaluations!$G$3:$G$10000,$A282,Evaluations!$S$3:$S$10000,1)+COUNTIFS(Evaluations!$G$3:$G$10000,$A282,Evaluations!$S$3:$S$10000,0)),2),""))</f>
        <v/>
      </c>
      <c r="J282" s="10" t="str">
        <f>IF($A282="","",IFERROR(ROUND(100*COUNTIFS(Evaluations!$G$3:$G$10000,$A282,Evaluations!$T$3:$T$10000,1)/(COUNTIFS(Evaluations!$G$3:$G$10000,$A282,Evaluations!$T$3:$T$10000,1)+COUNTIFS(Evaluations!$G$3:$G$10000,$A282,Evaluations!$T$3:$T$10000,0)),2),""))</f>
        <v/>
      </c>
      <c r="K282" s="10" t="str">
        <f>IF($A282="","",COUNTIFS(Evaluations!$G$3:$G$10000,$A282,Evaluations!$M$3:$M$10000,"عدم پاسخ"))</f>
        <v/>
      </c>
      <c r="L282" s="10" t="str">
        <f>IF($A282="","",COUNTIFS(Evaluations!$G$3:$G$10000,$A282,Evaluations!$O$3:$O$10000,"رعایت نشده"))</f>
        <v/>
      </c>
    </row>
    <row r="283">
      <c r="A283" s="10"/>
      <c r="B283" s="10" t="str">
        <f t="array" ref="B283">_xlfn.XLOOKUP(A283,DATA!D:D,DATA!E:E,"")</f>
        <v/>
      </c>
      <c r="C283" s="10" t="str">
        <f>IF($A283="","",COUNTIFS(Evaluations!$G$3:$G$10000,$A283,Evaluations!$U$3:$U$10000,"&gt;=0",Evaluations!$U$3:$U$10000,"&lt;=100"))</f>
        <v/>
      </c>
      <c r="D283" s="10" t="str">
        <f>IF(OR($A283="",C283=0),"",ROUND(SUMIFS(Evaluations!$U$3:$U$10000,Evaluations!$G$3:$G$10000,$A283)/C283,2))</f>
        <v/>
      </c>
      <c r="E283" s="10" t="str">
        <f>IF($A283="","",COUNTIFS(Evaluations!$G$3:$G$10000,$A283,Evaluations!$M$3:$M$10000,"پاسخ داده شده"))</f>
        <v/>
      </c>
      <c r="F283" s="10" t="str">
        <f>IF($A283="","",IFERROR(COUNTIFS(Evaluations!$G$3:$G$10000,$A283,Evaluations!$O$3:$O$10000,"رعایت شده")/(COUNTIFS(Evaluations!$G$3:$G$10000,$A283,Evaluations!$O$3:$O$10000,"رعایت شده")+COUNTIFS(Evaluations!$G$3:$G$10000,$A283,Evaluations!$O$3:$O$10000,"رعایت نشده")),""))</f>
        <v/>
      </c>
      <c r="G283" s="10" t="str">
        <f>IF($A283="","",IFERROR(ROUND(100*COUNTIFS(Evaluations!$G$3:$G$10000,$A283,Evaluations!$Q$3:$Q$10000,1)/(COUNTIFS(Evaluations!$G$3:$G$10000,$A283,Evaluations!$Q$3:$Q$10000,1)+COUNTIFS(Evaluations!$G$3:$G$10000,$A283,Evaluations!$Q$3:$Q$10000,0)),2),""))</f>
        <v/>
      </c>
      <c r="H283" s="10" t="str">
        <f>IF($A283="","",IFERROR(ROUND(100*COUNTIFS(Evaluations!$G$3:$G$10000,$A283,Evaluations!$R$3:$R$10000,1)/(COUNTIFS(Evaluations!$G$3:$G$10000,$A283,Evaluations!$R$3:$R$10000,1)+COUNTIFS(Evaluations!$G$3:$G$10000,$A283,Evaluations!$R$3:$R$10000,0)),2),""))</f>
        <v/>
      </c>
      <c r="I283" s="10" t="str">
        <f>IF($A283="","",IFERROR(ROUND(100*COUNTIFS(Evaluations!$G$3:$G$10000,$A283,Evaluations!$S$3:$S$10000,1)/(COUNTIFS(Evaluations!$G$3:$G$10000,$A283,Evaluations!$S$3:$S$10000,1)+COUNTIFS(Evaluations!$G$3:$G$10000,$A283,Evaluations!$S$3:$S$10000,0)),2),""))</f>
        <v/>
      </c>
      <c r="J283" s="10" t="str">
        <f>IF($A283="","",IFERROR(ROUND(100*COUNTIFS(Evaluations!$G$3:$G$10000,$A283,Evaluations!$T$3:$T$10000,1)/(COUNTIFS(Evaluations!$G$3:$G$10000,$A283,Evaluations!$T$3:$T$10000,1)+COUNTIFS(Evaluations!$G$3:$G$10000,$A283,Evaluations!$T$3:$T$10000,0)),2),""))</f>
        <v/>
      </c>
      <c r="K283" s="10" t="str">
        <f>IF($A283="","",COUNTIFS(Evaluations!$G$3:$G$10000,$A283,Evaluations!$M$3:$M$10000,"عدم پاسخ"))</f>
        <v/>
      </c>
      <c r="L283" s="10" t="str">
        <f>IF($A283="","",COUNTIFS(Evaluations!$G$3:$G$10000,$A283,Evaluations!$O$3:$O$10000,"رعایت نشده"))</f>
        <v/>
      </c>
    </row>
    <row r="284">
      <c r="A284" s="10"/>
      <c r="B284" s="10" t="str">
        <f t="array" ref="B284">_xlfn.XLOOKUP(A284,DATA!D:D,DATA!E:E,"")</f>
        <v/>
      </c>
      <c r="C284" s="10" t="str">
        <f>IF($A284="","",COUNTIFS(Evaluations!$G$3:$G$10000,$A284,Evaluations!$U$3:$U$10000,"&gt;=0",Evaluations!$U$3:$U$10000,"&lt;=100"))</f>
        <v/>
      </c>
      <c r="D284" s="10" t="str">
        <f>IF(OR($A284="",C284=0),"",ROUND(SUMIFS(Evaluations!$U$3:$U$10000,Evaluations!$G$3:$G$10000,$A284)/C284,2))</f>
        <v/>
      </c>
      <c r="E284" s="10" t="str">
        <f>IF($A284="","",COUNTIFS(Evaluations!$G$3:$G$10000,$A284,Evaluations!$M$3:$M$10000,"پاسخ داده شده"))</f>
        <v/>
      </c>
      <c r="F284" s="10" t="str">
        <f>IF($A284="","",IFERROR(COUNTIFS(Evaluations!$G$3:$G$10000,$A284,Evaluations!$O$3:$O$10000,"رعایت شده")/(COUNTIFS(Evaluations!$G$3:$G$10000,$A284,Evaluations!$O$3:$O$10000,"رعایت شده")+COUNTIFS(Evaluations!$G$3:$G$10000,$A284,Evaluations!$O$3:$O$10000,"رعایت نشده")),""))</f>
        <v/>
      </c>
      <c r="G284" s="10" t="str">
        <f>IF($A284="","",IFERROR(ROUND(100*COUNTIFS(Evaluations!$G$3:$G$10000,$A284,Evaluations!$Q$3:$Q$10000,1)/(COUNTIFS(Evaluations!$G$3:$G$10000,$A284,Evaluations!$Q$3:$Q$10000,1)+COUNTIFS(Evaluations!$G$3:$G$10000,$A284,Evaluations!$Q$3:$Q$10000,0)),2),""))</f>
        <v/>
      </c>
      <c r="H284" s="10" t="str">
        <f>IF($A284="","",IFERROR(ROUND(100*COUNTIFS(Evaluations!$G$3:$G$10000,$A284,Evaluations!$R$3:$R$10000,1)/(COUNTIFS(Evaluations!$G$3:$G$10000,$A284,Evaluations!$R$3:$R$10000,1)+COUNTIFS(Evaluations!$G$3:$G$10000,$A284,Evaluations!$R$3:$R$10000,0)),2),""))</f>
        <v/>
      </c>
      <c r="I284" s="10" t="str">
        <f>IF($A284="","",IFERROR(ROUND(100*COUNTIFS(Evaluations!$G$3:$G$10000,$A284,Evaluations!$S$3:$S$10000,1)/(COUNTIFS(Evaluations!$G$3:$G$10000,$A284,Evaluations!$S$3:$S$10000,1)+COUNTIFS(Evaluations!$G$3:$G$10000,$A284,Evaluations!$S$3:$S$10000,0)),2),""))</f>
        <v/>
      </c>
      <c r="J284" s="10" t="str">
        <f>IF($A284="","",IFERROR(ROUND(100*COUNTIFS(Evaluations!$G$3:$G$10000,$A284,Evaluations!$T$3:$T$10000,1)/(COUNTIFS(Evaluations!$G$3:$G$10000,$A284,Evaluations!$T$3:$T$10000,1)+COUNTIFS(Evaluations!$G$3:$G$10000,$A284,Evaluations!$T$3:$T$10000,0)),2),""))</f>
        <v/>
      </c>
      <c r="K284" s="10" t="str">
        <f>IF($A284="","",COUNTIFS(Evaluations!$G$3:$G$10000,$A284,Evaluations!$M$3:$M$10000,"عدم پاسخ"))</f>
        <v/>
      </c>
      <c r="L284" s="10" t="str">
        <f>IF($A284="","",COUNTIFS(Evaluations!$G$3:$G$10000,$A284,Evaluations!$O$3:$O$10000,"رعایت نشده"))</f>
        <v/>
      </c>
    </row>
    <row r="285">
      <c r="A285" s="10"/>
      <c r="B285" s="10" t="str">
        <f t="array" ref="B285">_xlfn.XLOOKUP(A285,DATA!D:D,DATA!E:E,"")</f>
        <v/>
      </c>
      <c r="C285" s="10" t="str">
        <f>IF($A285="","",COUNTIFS(Evaluations!$G$3:$G$10000,$A285,Evaluations!$U$3:$U$10000,"&gt;=0",Evaluations!$U$3:$U$10000,"&lt;=100"))</f>
        <v/>
      </c>
      <c r="D285" s="10" t="str">
        <f>IF(OR($A285="",C285=0),"",ROUND(SUMIFS(Evaluations!$U$3:$U$10000,Evaluations!$G$3:$G$10000,$A285)/C285,2))</f>
        <v/>
      </c>
      <c r="E285" s="10" t="str">
        <f>IF($A285="","",COUNTIFS(Evaluations!$G$3:$G$10000,$A285,Evaluations!$M$3:$M$10000,"پاسخ داده شده"))</f>
        <v/>
      </c>
      <c r="F285" s="10" t="str">
        <f>IF($A285="","",IFERROR(COUNTIFS(Evaluations!$G$3:$G$10000,$A285,Evaluations!$O$3:$O$10000,"رعایت شده")/(COUNTIFS(Evaluations!$G$3:$G$10000,$A285,Evaluations!$O$3:$O$10000,"رعایت شده")+COUNTIFS(Evaluations!$G$3:$G$10000,$A285,Evaluations!$O$3:$O$10000,"رعایت نشده")),""))</f>
        <v/>
      </c>
      <c r="G285" s="10" t="str">
        <f>IF($A285="","",IFERROR(ROUND(100*COUNTIFS(Evaluations!$G$3:$G$10000,$A285,Evaluations!$Q$3:$Q$10000,1)/(COUNTIFS(Evaluations!$G$3:$G$10000,$A285,Evaluations!$Q$3:$Q$10000,1)+COUNTIFS(Evaluations!$G$3:$G$10000,$A285,Evaluations!$Q$3:$Q$10000,0)),2),""))</f>
        <v/>
      </c>
      <c r="H285" s="10" t="str">
        <f>IF($A285="","",IFERROR(ROUND(100*COUNTIFS(Evaluations!$G$3:$G$10000,$A285,Evaluations!$R$3:$R$10000,1)/(COUNTIFS(Evaluations!$G$3:$G$10000,$A285,Evaluations!$R$3:$R$10000,1)+COUNTIFS(Evaluations!$G$3:$G$10000,$A285,Evaluations!$R$3:$R$10000,0)),2),""))</f>
        <v/>
      </c>
      <c r="I285" s="10" t="str">
        <f>IF($A285="","",IFERROR(ROUND(100*COUNTIFS(Evaluations!$G$3:$G$10000,$A285,Evaluations!$S$3:$S$10000,1)/(COUNTIFS(Evaluations!$G$3:$G$10000,$A285,Evaluations!$S$3:$S$10000,1)+COUNTIFS(Evaluations!$G$3:$G$10000,$A285,Evaluations!$S$3:$S$10000,0)),2),""))</f>
        <v/>
      </c>
      <c r="J285" s="10" t="str">
        <f>IF($A285="","",IFERROR(ROUND(100*COUNTIFS(Evaluations!$G$3:$G$10000,$A285,Evaluations!$T$3:$T$10000,1)/(COUNTIFS(Evaluations!$G$3:$G$10000,$A285,Evaluations!$T$3:$T$10000,1)+COUNTIFS(Evaluations!$G$3:$G$10000,$A285,Evaluations!$T$3:$T$10000,0)),2),""))</f>
        <v/>
      </c>
      <c r="K285" s="10" t="str">
        <f>IF($A285="","",COUNTIFS(Evaluations!$G$3:$G$10000,$A285,Evaluations!$M$3:$M$10000,"عدم پاسخ"))</f>
        <v/>
      </c>
      <c r="L285" s="10" t="str">
        <f>IF($A285="","",COUNTIFS(Evaluations!$G$3:$G$10000,$A285,Evaluations!$O$3:$O$10000,"رعایت نشده"))</f>
        <v/>
      </c>
    </row>
    <row r="286">
      <c r="A286" s="10"/>
      <c r="B286" s="10" t="str">
        <f t="array" ref="B286">_xlfn.XLOOKUP(A286,DATA!D:D,DATA!E:E,"")</f>
        <v/>
      </c>
      <c r="C286" s="10" t="str">
        <f>IF($A286="","",COUNTIFS(Evaluations!$G$3:$G$10000,$A286,Evaluations!$U$3:$U$10000,"&gt;=0",Evaluations!$U$3:$U$10000,"&lt;=100"))</f>
        <v/>
      </c>
      <c r="D286" s="10" t="str">
        <f>IF(OR($A286="",C286=0),"",ROUND(SUMIFS(Evaluations!$U$3:$U$10000,Evaluations!$G$3:$G$10000,$A286)/C286,2))</f>
        <v/>
      </c>
      <c r="E286" s="10" t="str">
        <f>IF($A286="","",COUNTIFS(Evaluations!$G$3:$G$10000,$A286,Evaluations!$M$3:$M$10000,"پاسخ داده شده"))</f>
        <v/>
      </c>
      <c r="F286" s="10" t="str">
        <f>IF($A286="","",IFERROR(COUNTIFS(Evaluations!$G$3:$G$10000,$A286,Evaluations!$O$3:$O$10000,"رعایت شده")/(COUNTIFS(Evaluations!$G$3:$G$10000,$A286,Evaluations!$O$3:$O$10000,"رعایت شده")+COUNTIFS(Evaluations!$G$3:$G$10000,$A286,Evaluations!$O$3:$O$10000,"رعایت نشده")),""))</f>
        <v/>
      </c>
      <c r="G286" s="10" t="str">
        <f>IF($A286="","",IFERROR(ROUND(100*COUNTIFS(Evaluations!$G$3:$G$10000,$A286,Evaluations!$Q$3:$Q$10000,1)/(COUNTIFS(Evaluations!$G$3:$G$10000,$A286,Evaluations!$Q$3:$Q$10000,1)+COUNTIFS(Evaluations!$G$3:$G$10000,$A286,Evaluations!$Q$3:$Q$10000,0)),2),""))</f>
        <v/>
      </c>
      <c r="H286" s="10" t="str">
        <f>IF($A286="","",IFERROR(ROUND(100*COUNTIFS(Evaluations!$G$3:$G$10000,$A286,Evaluations!$R$3:$R$10000,1)/(COUNTIFS(Evaluations!$G$3:$G$10000,$A286,Evaluations!$R$3:$R$10000,1)+COUNTIFS(Evaluations!$G$3:$G$10000,$A286,Evaluations!$R$3:$R$10000,0)),2),""))</f>
        <v/>
      </c>
      <c r="I286" s="10" t="str">
        <f>IF($A286="","",IFERROR(ROUND(100*COUNTIFS(Evaluations!$G$3:$G$10000,$A286,Evaluations!$S$3:$S$10000,1)/(COUNTIFS(Evaluations!$G$3:$G$10000,$A286,Evaluations!$S$3:$S$10000,1)+COUNTIFS(Evaluations!$G$3:$G$10000,$A286,Evaluations!$S$3:$S$10000,0)),2),""))</f>
        <v/>
      </c>
      <c r="J286" s="10" t="str">
        <f>IF($A286="","",IFERROR(ROUND(100*COUNTIFS(Evaluations!$G$3:$G$10000,$A286,Evaluations!$T$3:$T$10000,1)/(COUNTIFS(Evaluations!$G$3:$G$10000,$A286,Evaluations!$T$3:$T$10000,1)+COUNTIFS(Evaluations!$G$3:$G$10000,$A286,Evaluations!$T$3:$T$10000,0)),2),""))</f>
        <v/>
      </c>
      <c r="K286" s="10" t="str">
        <f>IF($A286="","",COUNTIFS(Evaluations!$G$3:$G$10000,$A286,Evaluations!$M$3:$M$10000,"عدم پاسخ"))</f>
        <v/>
      </c>
      <c r="L286" s="10" t="str">
        <f>IF($A286="","",COUNTIFS(Evaluations!$G$3:$G$10000,$A286,Evaluations!$O$3:$O$10000,"رعایت نشده"))</f>
        <v/>
      </c>
    </row>
    <row r="287">
      <c r="A287" s="10"/>
      <c r="B287" s="10" t="str">
        <f t="array" ref="B287">_xlfn.XLOOKUP(A287,DATA!D:D,DATA!E:E,"")</f>
        <v/>
      </c>
      <c r="C287" s="10" t="str">
        <f>IF($A287="","",COUNTIFS(Evaluations!$G$3:$G$10000,$A287,Evaluations!$U$3:$U$10000,"&gt;=0",Evaluations!$U$3:$U$10000,"&lt;=100"))</f>
        <v/>
      </c>
      <c r="D287" s="10" t="str">
        <f>IF(OR($A287="",C287=0),"",ROUND(SUMIFS(Evaluations!$U$3:$U$10000,Evaluations!$G$3:$G$10000,$A287)/C287,2))</f>
        <v/>
      </c>
      <c r="E287" s="10" t="str">
        <f>IF($A287="","",COUNTIFS(Evaluations!$G$3:$G$10000,$A287,Evaluations!$M$3:$M$10000,"پاسخ داده شده"))</f>
        <v/>
      </c>
      <c r="F287" s="10" t="str">
        <f>IF($A287="","",IFERROR(COUNTIFS(Evaluations!$G$3:$G$10000,$A287,Evaluations!$O$3:$O$10000,"رعایت شده")/(COUNTIFS(Evaluations!$G$3:$G$10000,$A287,Evaluations!$O$3:$O$10000,"رعایت شده")+COUNTIFS(Evaluations!$G$3:$G$10000,$A287,Evaluations!$O$3:$O$10000,"رعایت نشده")),""))</f>
        <v/>
      </c>
      <c r="G287" s="10" t="str">
        <f>IF($A287="","",IFERROR(ROUND(100*COUNTIFS(Evaluations!$G$3:$G$10000,$A287,Evaluations!$Q$3:$Q$10000,1)/(COUNTIFS(Evaluations!$G$3:$G$10000,$A287,Evaluations!$Q$3:$Q$10000,1)+COUNTIFS(Evaluations!$G$3:$G$10000,$A287,Evaluations!$Q$3:$Q$10000,0)),2),""))</f>
        <v/>
      </c>
      <c r="H287" s="10" t="str">
        <f>IF($A287="","",IFERROR(ROUND(100*COUNTIFS(Evaluations!$G$3:$G$10000,$A287,Evaluations!$R$3:$R$10000,1)/(COUNTIFS(Evaluations!$G$3:$G$10000,$A287,Evaluations!$R$3:$R$10000,1)+COUNTIFS(Evaluations!$G$3:$G$10000,$A287,Evaluations!$R$3:$R$10000,0)),2),""))</f>
        <v/>
      </c>
      <c r="I287" s="10" t="str">
        <f>IF($A287="","",IFERROR(ROUND(100*COUNTIFS(Evaluations!$G$3:$G$10000,$A287,Evaluations!$S$3:$S$10000,1)/(COUNTIFS(Evaluations!$G$3:$G$10000,$A287,Evaluations!$S$3:$S$10000,1)+COUNTIFS(Evaluations!$G$3:$G$10000,$A287,Evaluations!$S$3:$S$10000,0)),2),""))</f>
        <v/>
      </c>
      <c r="J287" s="10" t="str">
        <f>IF($A287="","",IFERROR(ROUND(100*COUNTIFS(Evaluations!$G$3:$G$10000,$A287,Evaluations!$T$3:$T$10000,1)/(COUNTIFS(Evaluations!$G$3:$G$10000,$A287,Evaluations!$T$3:$T$10000,1)+COUNTIFS(Evaluations!$G$3:$G$10000,$A287,Evaluations!$T$3:$T$10000,0)),2),""))</f>
        <v/>
      </c>
      <c r="K287" s="10" t="str">
        <f>IF($A287="","",COUNTIFS(Evaluations!$G$3:$G$10000,$A287,Evaluations!$M$3:$M$10000,"عدم پاسخ"))</f>
        <v/>
      </c>
      <c r="L287" s="10" t="str">
        <f>IF($A287="","",COUNTIFS(Evaluations!$G$3:$G$10000,$A287,Evaluations!$O$3:$O$10000,"رعایت نشده"))</f>
        <v/>
      </c>
    </row>
    <row r="288">
      <c r="A288" s="10"/>
      <c r="B288" s="10" t="str">
        <f t="array" ref="B288">_xlfn.XLOOKUP(A288,DATA!D:D,DATA!E:E,"")</f>
        <v/>
      </c>
      <c r="C288" s="10" t="str">
        <f>IF($A288="","",COUNTIFS(Evaluations!$G$3:$G$10000,$A288,Evaluations!$U$3:$U$10000,"&gt;=0",Evaluations!$U$3:$U$10000,"&lt;=100"))</f>
        <v/>
      </c>
      <c r="D288" s="10" t="str">
        <f>IF(OR($A288="",C288=0),"",ROUND(SUMIFS(Evaluations!$U$3:$U$10000,Evaluations!$G$3:$G$10000,$A288)/C288,2))</f>
        <v/>
      </c>
      <c r="E288" s="10" t="str">
        <f>IF($A288="","",COUNTIFS(Evaluations!$G$3:$G$10000,$A288,Evaluations!$M$3:$M$10000,"پاسخ داده شده"))</f>
        <v/>
      </c>
      <c r="F288" s="10" t="str">
        <f>IF($A288="","",IFERROR(COUNTIFS(Evaluations!$G$3:$G$10000,$A288,Evaluations!$O$3:$O$10000,"رعایت شده")/(COUNTIFS(Evaluations!$G$3:$G$10000,$A288,Evaluations!$O$3:$O$10000,"رعایت شده")+COUNTIFS(Evaluations!$G$3:$G$10000,$A288,Evaluations!$O$3:$O$10000,"رعایت نشده")),""))</f>
        <v/>
      </c>
      <c r="G288" s="10" t="str">
        <f>IF($A288="","",IFERROR(ROUND(100*COUNTIFS(Evaluations!$G$3:$G$10000,$A288,Evaluations!$Q$3:$Q$10000,1)/(COUNTIFS(Evaluations!$G$3:$G$10000,$A288,Evaluations!$Q$3:$Q$10000,1)+COUNTIFS(Evaluations!$G$3:$G$10000,$A288,Evaluations!$Q$3:$Q$10000,0)),2),""))</f>
        <v/>
      </c>
      <c r="H288" s="10" t="str">
        <f>IF($A288="","",IFERROR(ROUND(100*COUNTIFS(Evaluations!$G$3:$G$10000,$A288,Evaluations!$R$3:$R$10000,1)/(COUNTIFS(Evaluations!$G$3:$G$10000,$A288,Evaluations!$R$3:$R$10000,1)+COUNTIFS(Evaluations!$G$3:$G$10000,$A288,Evaluations!$R$3:$R$10000,0)),2),""))</f>
        <v/>
      </c>
      <c r="I288" s="10" t="str">
        <f>IF($A288="","",IFERROR(ROUND(100*COUNTIFS(Evaluations!$G$3:$G$10000,$A288,Evaluations!$S$3:$S$10000,1)/(COUNTIFS(Evaluations!$G$3:$G$10000,$A288,Evaluations!$S$3:$S$10000,1)+COUNTIFS(Evaluations!$G$3:$G$10000,$A288,Evaluations!$S$3:$S$10000,0)),2),""))</f>
        <v/>
      </c>
      <c r="J288" s="10" t="str">
        <f>IF($A288="","",IFERROR(ROUND(100*COUNTIFS(Evaluations!$G$3:$G$10000,$A288,Evaluations!$T$3:$T$10000,1)/(COUNTIFS(Evaluations!$G$3:$G$10000,$A288,Evaluations!$T$3:$T$10000,1)+COUNTIFS(Evaluations!$G$3:$G$10000,$A288,Evaluations!$T$3:$T$10000,0)),2),""))</f>
        <v/>
      </c>
      <c r="K288" s="10" t="str">
        <f>IF($A288="","",COUNTIFS(Evaluations!$G$3:$G$10000,$A288,Evaluations!$M$3:$M$10000,"عدم پاسخ"))</f>
        <v/>
      </c>
      <c r="L288" s="10" t="str">
        <f>IF($A288="","",COUNTIFS(Evaluations!$G$3:$G$10000,$A288,Evaluations!$O$3:$O$10000,"رعایت نشده"))</f>
        <v/>
      </c>
    </row>
    <row r="289">
      <c r="A289" s="10"/>
      <c r="B289" s="10" t="str">
        <f t="array" ref="B289">_xlfn.XLOOKUP(A289,DATA!D:D,DATA!E:E,"")</f>
        <v/>
      </c>
      <c r="C289" s="10" t="str">
        <f>IF($A289="","",COUNTIFS(Evaluations!$G$3:$G$10000,$A289,Evaluations!$U$3:$U$10000,"&gt;=0",Evaluations!$U$3:$U$10000,"&lt;=100"))</f>
        <v/>
      </c>
      <c r="D289" s="10" t="str">
        <f>IF(OR($A289="",C289=0),"",ROUND(SUMIFS(Evaluations!$U$3:$U$10000,Evaluations!$G$3:$G$10000,$A289)/C289,2))</f>
        <v/>
      </c>
      <c r="E289" s="10" t="str">
        <f>IF($A289="","",COUNTIFS(Evaluations!$G$3:$G$10000,$A289,Evaluations!$M$3:$M$10000,"پاسخ داده شده"))</f>
        <v/>
      </c>
      <c r="F289" s="10" t="str">
        <f>IF($A289="","",IFERROR(COUNTIFS(Evaluations!$G$3:$G$10000,$A289,Evaluations!$O$3:$O$10000,"رعایت شده")/(COUNTIFS(Evaluations!$G$3:$G$10000,$A289,Evaluations!$O$3:$O$10000,"رعایت شده")+COUNTIFS(Evaluations!$G$3:$G$10000,$A289,Evaluations!$O$3:$O$10000,"رعایت نشده")),""))</f>
        <v/>
      </c>
      <c r="G289" s="10" t="str">
        <f>IF($A289="","",IFERROR(ROUND(100*COUNTIFS(Evaluations!$G$3:$G$10000,$A289,Evaluations!$Q$3:$Q$10000,1)/(COUNTIFS(Evaluations!$G$3:$G$10000,$A289,Evaluations!$Q$3:$Q$10000,1)+COUNTIFS(Evaluations!$G$3:$G$10000,$A289,Evaluations!$Q$3:$Q$10000,0)),2),""))</f>
        <v/>
      </c>
      <c r="H289" s="10" t="str">
        <f>IF($A289="","",IFERROR(ROUND(100*COUNTIFS(Evaluations!$G$3:$G$10000,$A289,Evaluations!$R$3:$R$10000,1)/(COUNTIFS(Evaluations!$G$3:$G$10000,$A289,Evaluations!$R$3:$R$10000,1)+COUNTIFS(Evaluations!$G$3:$G$10000,$A289,Evaluations!$R$3:$R$10000,0)),2),""))</f>
        <v/>
      </c>
      <c r="I289" s="10" t="str">
        <f>IF($A289="","",IFERROR(ROUND(100*COUNTIFS(Evaluations!$G$3:$G$10000,$A289,Evaluations!$S$3:$S$10000,1)/(COUNTIFS(Evaluations!$G$3:$G$10000,$A289,Evaluations!$S$3:$S$10000,1)+COUNTIFS(Evaluations!$G$3:$G$10000,$A289,Evaluations!$S$3:$S$10000,0)),2),""))</f>
        <v/>
      </c>
      <c r="J289" s="10" t="str">
        <f>IF($A289="","",IFERROR(ROUND(100*COUNTIFS(Evaluations!$G$3:$G$10000,$A289,Evaluations!$T$3:$T$10000,1)/(COUNTIFS(Evaluations!$G$3:$G$10000,$A289,Evaluations!$T$3:$T$10000,1)+COUNTIFS(Evaluations!$G$3:$G$10000,$A289,Evaluations!$T$3:$T$10000,0)),2),""))</f>
        <v/>
      </c>
      <c r="K289" s="10" t="str">
        <f>IF($A289="","",COUNTIFS(Evaluations!$G$3:$G$10000,$A289,Evaluations!$M$3:$M$10000,"عدم پاسخ"))</f>
        <v/>
      </c>
      <c r="L289" s="10" t="str">
        <f>IF($A289="","",COUNTIFS(Evaluations!$G$3:$G$10000,$A289,Evaluations!$O$3:$O$10000,"رعایت نشده"))</f>
        <v/>
      </c>
    </row>
    <row r="290">
      <c r="A290" s="10"/>
      <c r="B290" s="10" t="str">
        <f t="array" ref="B290">_xlfn.XLOOKUP(A290,DATA!D:D,DATA!E:E,"")</f>
        <v/>
      </c>
      <c r="C290" s="10" t="str">
        <f>IF($A290="","",COUNTIFS(Evaluations!$G$3:$G$10000,$A290,Evaluations!$U$3:$U$10000,"&gt;=0",Evaluations!$U$3:$U$10000,"&lt;=100"))</f>
        <v/>
      </c>
      <c r="D290" s="10" t="str">
        <f>IF(OR($A290="",C290=0),"",ROUND(SUMIFS(Evaluations!$U$3:$U$10000,Evaluations!$G$3:$G$10000,$A290)/C290,2))</f>
        <v/>
      </c>
      <c r="E290" s="10" t="str">
        <f>IF($A290="","",COUNTIFS(Evaluations!$G$3:$G$10000,$A290,Evaluations!$M$3:$M$10000,"پاسخ داده شده"))</f>
        <v/>
      </c>
      <c r="F290" s="10" t="str">
        <f>IF($A290="","",IFERROR(COUNTIFS(Evaluations!$G$3:$G$10000,$A290,Evaluations!$O$3:$O$10000,"رعایت شده")/(COUNTIFS(Evaluations!$G$3:$G$10000,$A290,Evaluations!$O$3:$O$10000,"رعایت شده")+COUNTIFS(Evaluations!$G$3:$G$10000,$A290,Evaluations!$O$3:$O$10000,"رعایت نشده")),""))</f>
        <v/>
      </c>
      <c r="G290" s="10" t="str">
        <f>IF($A290="","",IFERROR(ROUND(100*COUNTIFS(Evaluations!$G$3:$G$10000,$A290,Evaluations!$Q$3:$Q$10000,1)/(COUNTIFS(Evaluations!$G$3:$G$10000,$A290,Evaluations!$Q$3:$Q$10000,1)+COUNTIFS(Evaluations!$G$3:$G$10000,$A290,Evaluations!$Q$3:$Q$10000,0)),2),""))</f>
        <v/>
      </c>
      <c r="H290" s="10" t="str">
        <f>IF($A290="","",IFERROR(ROUND(100*COUNTIFS(Evaluations!$G$3:$G$10000,$A290,Evaluations!$R$3:$R$10000,1)/(COUNTIFS(Evaluations!$G$3:$G$10000,$A290,Evaluations!$R$3:$R$10000,1)+COUNTIFS(Evaluations!$G$3:$G$10000,$A290,Evaluations!$R$3:$R$10000,0)),2),""))</f>
        <v/>
      </c>
      <c r="I290" s="10" t="str">
        <f>IF($A290="","",IFERROR(ROUND(100*COUNTIFS(Evaluations!$G$3:$G$10000,$A290,Evaluations!$S$3:$S$10000,1)/(COUNTIFS(Evaluations!$G$3:$G$10000,$A290,Evaluations!$S$3:$S$10000,1)+COUNTIFS(Evaluations!$G$3:$G$10000,$A290,Evaluations!$S$3:$S$10000,0)),2),""))</f>
        <v/>
      </c>
      <c r="J290" s="10" t="str">
        <f>IF($A290="","",IFERROR(ROUND(100*COUNTIFS(Evaluations!$G$3:$G$10000,$A290,Evaluations!$T$3:$T$10000,1)/(COUNTIFS(Evaluations!$G$3:$G$10000,$A290,Evaluations!$T$3:$T$10000,1)+COUNTIFS(Evaluations!$G$3:$G$10000,$A290,Evaluations!$T$3:$T$10000,0)),2),""))</f>
        <v/>
      </c>
      <c r="K290" s="10" t="str">
        <f>IF($A290="","",COUNTIFS(Evaluations!$G$3:$G$10000,$A290,Evaluations!$M$3:$M$10000,"عدم پاسخ"))</f>
        <v/>
      </c>
      <c r="L290" s="10" t="str">
        <f>IF($A290="","",COUNTIFS(Evaluations!$G$3:$G$10000,$A290,Evaluations!$O$3:$O$10000,"رعایت نشده"))</f>
        <v/>
      </c>
    </row>
    <row r="291">
      <c r="A291" s="10"/>
      <c r="B291" s="10" t="str">
        <f t="array" ref="B291">_xlfn.XLOOKUP(A291,DATA!D:D,DATA!E:E,"")</f>
        <v/>
      </c>
      <c r="C291" s="10" t="str">
        <f>IF($A291="","",COUNTIFS(Evaluations!$G$3:$G$10000,$A291,Evaluations!$U$3:$U$10000,"&gt;=0",Evaluations!$U$3:$U$10000,"&lt;=100"))</f>
        <v/>
      </c>
      <c r="D291" s="10" t="str">
        <f>IF(OR($A291="",C291=0),"",ROUND(SUMIFS(Evaluations!$U$3:$U$10000,Evaluations!$G$3:$G$10000,$A291)/C291,2))</f>
        <v/>
      </c>
      <c r="E291" s="10" t="str">
        <f>IF($A291="","",COUNTIFS(Evaluations!$G$3:$G$10000,$A291,Evaluations!$M$3:$M$10000,"پاسخ داده شده"))</f>
        <v/>
      </c>
      <c r="F291" s="10" t="str">
        <f>IF($A291="","",IFERROR(COUNTIFS(Evaluations!$G$3:$G$10000,$A291,Evaluations!$O$3:$O$10000,"رعایت شده")/(COUNTIFS(Evaluations!$G$3:$G$10000,$A291,Evaluations!$O$3:$O$10000,"رعایت شده")+COUNTIFS(Evaluations!$G$3:$G$10000,$A291,Evaluations!$O$3:$O$10000,"رعایت نشده")),""))</f>
        <v/>
      </c>
      <c r="G291" s="10" t="str">
        <f>IF($A291="","",IFERROR(ROUND(100*COUNTIFS(Evaluations!$G$3:$G$10000,$A291,Evaluations!$Q$3:$Q$10000,1)/(COUNTIFS(Evaluations!$G$3:$G$10000,$A291,Evaluations!$Q$3:$Q$10000,1)+COUNTIFS(Evaluations!$G$3:$G$10000,$A291,Evaluations!$Q$3:$Q$10000,0)),2),""))</f>
        <v/>
      </c>
      <c r="H291" s="10" t="str">
        <f>IF($A291="","",IFERROR(ROUND(100*COUNTIFS(Evaluations!$G$3:$G$10000,$A291,Evaluations!$R$3:$R$10000,1)/(COUNTIFS(Evaluations!$G$3:$G$10000,$A291,Evaluations!$R$3:$R$10000,1)+COUNTIFS(Evaluations!$G$3:$G$10000,$A291,Evaluations!$R$3:$R$10000,0)),2),""))</f>
        <v/>
      </c>
      <c r="I291" s="10" t="str">
        <f>IF($A291="","",IFERROR(ROUND(100*COUNTIFS(Evaluations!$G$3:$G$10000,$A291,Evaluations!$S$3:$S$10000,1)/(COUNTIFS(Evaluations!$G$3:$G$10000,$A291,Evaluations!$S$3:$S$10000,1)+COUNTIFS(Evaluations!$G$3:$G$10000,$A291,Evaluations!$S$3:$S$10000,0)),2),""))</f>
        <v/>
      </c>
      <c r="J291" s="10" t="str">
        <f>IF($A291="","",IFERROR(ROUND(100*COUNTIFS(Evaluations!$G$3:$G$10000,$A291,Evaluations!$T$3:$T$10000,1)/(COUNTIFS(Evaluations!$G$3:$G$10000,$A291,Evaluations!$T$3:$T$10000,1)+COUNTIFS(Evaluations!$G$3:$G$10000,$A291,Evaluations!$T$3:$T$10000,0)),2),""))</f>
        <v/>
      </c>
      <c r="K291" s="10" t="str">
        <f>IF($A291="","",COUNTIFS(Evaluations!$G$3:$G$10000,$A291,Evaluations!$M$3:$M$10000,"عدم پاسخ"))</f>
        <v/>
      </c>
      <c r="L291" s="10" t="str">
        <f>IF($A291="","",COUNTIFS(Evaluations!$G$3:$G$10000,$A291,Evaluations!$O$3:$O$10000,"رعایت نشده"))</f>
        <v/>
      </c>
    </row>
    <row r="292">
      <c r="A292" s="10"/>
      <c r="B292" s="10" t="str">
        <f t="array" ref="B292">_xlfn.XLOOKUP(A292,DATA!D:D,DATA!E:E,"")</f>
        <v/>
      </c>
      <c r="C292" s="10" t="str">
        <f>IF($A292="","",COUNTIFS(Evaluations!$G$3:$G$10000,$A292,Evaluations!$U$3:$U$10000,"&gt;=0",Evaluations!$U$3:$U$10000,"&lt;=100"))</f>
        <v/>
      </c>
      <c r="D292" s="10" t="str">
        <f>IF(OR($A292="",C292=0),"",ROUND(SUMIFS(Evaluations!$U$3:$U$10000,Evaluations!$G$3:$G$10000,$A292)/C292,2))</f>
        <v/>
      </c>
      <c r="E292" s="10" t="str">
        <f>IF($A292="","",COUNTIFS(Evaluations!$G$3:$G$10000,$A292,Evaluations!$M$3:$M$10000,"پاسخ داده شده"))</f>
        <v/>
      </c>
      <c r="F292" s="10" t="str">
        <f>IF($A292="","",IFERROR(COUNTIFS(Evaluations!$G$3:$G$10000,$A292,Evaluations!$O$3:$O$10000,"رعایت شده")/(COUNTIFS(Evaluations!$G$3:$G$10000,$A292,Evaluations!$O$3:$O$10000,"رعایت شده")+COUNTIFS(Evaluations!$G$3:$G$10000,$A292,Evaluations!$O$3:$O$10000,"رعایت نشده")),""))</f>
        <v/>
      </c>
      <c r="G292" s="10" t="str">
        <f>IF($A292="","",IFERROR(ROUND(100*COUNTIFS(Evaluations!$G$3:$G$10000,$A292,Evaluations!$Q$3:$Q$10000,1)/(COUNTIFS(Evaluations!$G$3:$G$10000,$A292,Evaluations!$Q$3:$Q$10000,1)+COUNTIFS(Evaluations!$G$3:$G$10000,$A292,Evaluations!$Q$3:$Q$10000,0)),2),""))</f>
        <v/>
      </c>
      <c r="H292" s="10" t="str">
        <f>IF($A292="","",IFERROR(ROUND(100*COUNTIFS(Evaluations!$G$3:$G$10000,$A292,Evaluations!$R$3:$R$10000,1)/(COUNTIFS(Evaluations!$G$3:$G$10000,$A292,Evaluations!$R$3:$R$10000,1)+COUNTIFS(Evaluations!$G$3:$G$10000,$A292,Evaluations!$R$3:$R$10000,0)),2),""))</f>
        <v/>
      </c>
      <c r="I292" s="10" t="str">
        <f>IF($A292="","",IFERROR(ROUND(100*COUNTIFS(Evaluations!$G$3:$G$10000,$A292,Evaluations!$S$3:$S$10000,1)/(COUNTIFS(Evaluations!$G$3:$G$10000,$A292,Evaluations!$S$3:$S$10000,1)+COUNTIFS(Evaluations!$G$3:$G$10000,$A292,Evaluations!$S$3:$S$10000,0)),2),""))</f>
        <v/>
      </c>
      <c r="J292" s="10" t="str">
        <f>IF($A292="","",IFERROR(ROUND(100*COUNTIFS(Evaluations!$G$3:$G$10000,$A292,Evaluations!$T$3:$T$10000,1)/(COUNTIFS(Evaluations!$G$3:$G$10000,$A292,Evaluations!$T$3:$T$10000,1)+COUNTIFS(Evaluations!$G$3:$G$10000,$A292,Evaluations!$T$3:$T$10000,0)),2),""))</f>
        <v/>
      </c>
      <c r="K292" s="10" t="str">
        <f>IF($A292="","",COUNTIFS(Evaluations!$G$3:$G$10000,$A292,Evaluations!$M$3:$M$10000,"عدم پاسخ"))</f>
        <v/>
      </c>
      <c r="L292" s="10" t="str">
        <f>IF($A292="","",COUNTIFS(Evaluations!$G$3:$G$10000,$A292,Evaluations!$O$3:$O$10000,"رعایت نشده"))</f>
        <v/>
      </c>
    </row>
    <row r="293">
      <c r="A293" s="10"/>
      <c r="B293" s="10" t="str">
        <f t="array" ref="B293">_xlfn.XLOOKUP(A293,DATA!D:D,DATA!E:E,"")</f>
        <v/>
      </c>
      <c r="C293" s="10" t="str">
        <f>IF($A293="","",COUNTIFS(Evaluations!$G$3:$G$10000,$A293,Evaluations!$U$3:$U$10000,"&gt;=0",Evaluations!$U$3:$U$10000,"&lt;=100"))</f>
        <v/>
      </c>
      <c r="D293" s="10" t="str">
        <f>IF(OR($A293="",C293=0),"",ROUND(SUMIFS(Evaluations!$U$3:$U$10000,Evaluations!$G$3:$G$10000,$A293)/C293,2))</f>
        <v/>
      </c>
      <c r="E293" s="10" t="str">
        <f>IF($A293="","",COUNTIFS(Evaluations!$G$3:$G$10000,$A293,Evaluations!$M$3:$M$10000,"پاسخ داده شده"))</f>
        <v/>
      </c>
      <c r="F293" s="10" t="str">
        <f>IF($A293="","",IFERROR(COUNTIFS(Evaluations!$G$3:$G$10000,$A293,Evaluations!$O$3:$O$10000,"رعایت شده")/(COUNTIFS(Evaluations!$G$3:$G$10000,$A293,Evaluations!$O$3:$O$10000,"رعایت شده")+COUNTIFS(Evaluations!$G$3:$G$10000,$A293,Evaluations!$O$3:$O$10000,"رعایت نشده")),""))</f>
        <v/>
      </c>
      <c r="G293" s="10" t="str">
        <f>IF($A293="","",IFERROR(ROUND(100*COUNTIFS(Evaluations!$G$3:$G$10000,$A293,Evaluations!$Q$3:$Q$10000,1)/(COUNTIFS(Evaluations!$G$3:$G$10000,$A293,Evaluations!$Q$3:$Q$10000,1)+COUNTIFS(Evaluations!$G$3:$G$10000,$A293,Evaluations!$Q$3:$Q$10000,0)),2),""))</f>
        <v/>
      </c>
      <c r="H293" s="10" t="str">
        <f>IF($A293="","",IFERROR(ROUND(100*COUNTIFS(Evaluations!$G$3:$G$10000,$A293,Evaluations!$R$3:$R$10000,1)/(COUNTIFS(Evaluations!$G$3:$G$10000,$A293,Evaluations!$R$3:$R$10000,1)+COUNTIFS(Evaluations!$G$3:$G$10000,$A293,Evaluations!$R$3:$R$10000,0)),2),""))</f>
        <v/>
      </c>
      <c r="I293" s="10" t="str">
        <f>IF($A293="","",IFERROR(ROUND(100*COUNTIFS(Evaluations!$G$3:$G$10000,$A293,Evaluations!$S$3:$S$10000,1)/(COUNTIFS(Evaluations!$G$3:$G$10000,$A293,Evaluations!$S$3:$S$10000,1)+COUNTIFS(Evaluations!$G$3:$G$10000,$A293,Evaluations!$S$3:$S$10000,0)),2),""))</f>
        <v/>
      </c>
      <c r="J293" s="10" t="str">
        <f>IF($A293="","",IFERROR(ROUND(100*COUNTIFS(Evaluations!$G$3:$G$10000,$A293,Evaluations!$T$3:$T$10000,1)/(COUNTIFS(Evaluations!$G$3:$G$10000,$A293,Evaluations!$T$3:$T$10000,1)+COUNTIFS(Evaluations!$G$3:$G$10000,$A293,Evaluations!$T$3:$T$10000,0)),2),""))</f>
        <v/>
      </c>
      <c r="K293" s="10" t="str">
        <f>IF($A293="","",COUNTIFS(Evaluations!$G$3:$G$10000,$A293,Evaluations!$M$3:$M$10000,"عدم پاسخ"))</f>
        <v/>
      </c>
      <c r="L293" s="10" t="str">
        <f>IF($A293="","",COUNTIFS(Evaluations!$G$3:$G$10000,$A293,Evaluations!$O$3:$O$10000,"رعایت نشده"))</f>
        <v/>
      </c>
    </row>
    <row r="294">
      <c r="A294" s="10"/>
      <c r="B294" s="10" t="str">
        <f t="array" ref="B294">_xlfn.XLOOKUP(A294,DATA!D:D,DATA!E:E,"")</f>
        <v/>
      </c>
      <c r="C294" s="10" t="str">
        <f>IF($A294="","",COUNTIFS(Evaluations!$G$3:$G$10000,$A294,Evaluations!$U$3:$U$10000,"&gt;=0",Evaluations!$U$3:$U$10000,"&lt;=100"))</f>
        <v/>
      </c>
      <c r="D294" s="10" t="str">
        <f>IF(OR($A294="",C294=0),"",ROUND(SUMIFS(Evaluations!$U$3:$U$10000,Evaluations!$G$3:$G$10000,$A294)/C294,2))</f>
        <v/>
      </c>
      <c r="E294" s="10" t="str">
        <f>IF($A294="","",COUNTIFS(Evaluations!$G$3:$G$10000,$A294,Evaluations!$M$3:$M$10000,"پاسخ داده شده"))</f>
        <v/>
      </c>
      <c r="F294" s="10" t="str">
        <f>IF($A294="","",IFERROR(COUNTIFS(Evaluations!$G$3:$G$10000,$A294,Evaluations!$O$3:$O$10000,"رعایت شده")/(COUNTIFS(Evaluations!$G$3:$G$10000,$A294,Evaluations!$O$3:$O$10000,"رعایت شده")+COUNTIFS(Evaluations!$G$3:$G$10000,$A294,Evaluations!$O$3:$O$10000,"رعایت نشده")),""))</f>
        <v/>
      </c>
      <c r="G294" s="10" t="str">
        <f>IF($A294="","",IFERROR(ROUND(100*COUNTIFS(Evaluations!$G$3:$G$10000,$A294,Evaluations!$Q$3:$Q$10000,1)/(COUNTIFS(Evaluations!$G$3:$G$10000,$A294,Evaluations!$Q$3:$Q$10000,1)+COUNTIFS(Evaluations!$G$3:$G$10000,$A294,Evaluations!$Q$3:$Q$10000,0)),2),""))</f>
        <v/>
      </c>
      <c r="H294" s="10" t="str">
        <f>IF($A294="","",IFERROR(ROUND(100*COUNTIFS(Evaluations!$G$3:$G$10000,$A294,Evaluations!$R$3:$R$10000,1)/(COUNTIFS(Evaluations!$G$3:$G$10000,$A294,Evaluations!$R$3:$R$10000,1)+COUNTIFS(Evaluations!$G$3:$G$10000,$A294,Evaluations!$R$3:$R$10000,0)),2),""))</f>
        <v/>
      </c>
      <c r="I294" s="10" t="str">
        <f>IF($A294="","",IFERROR(ROUND(100*COUNTIFS(Evaluations!$G$3:$G$10000,$A294,Evaluations!$S$3:$S$10000,1)/(COUNTIFS(Evaluations!$G$3:$G$10000,$A294,Evaluations!$S$3:$S$10000,1)+COUNTIFS(Evaluations!$G$3:$G$10000,$A294,Evaluations!$S$3:$S$10000,0)),2),""))</f>
        <v/>
      </c>
      <c r="J294" s="10" t="str">
        <f>IF($A294="","",IFERROR(ROUND(100*COUNTIFS(Evaluations!$G$3:$G$10000,$A294,Evaluations!$T$3:$T$10000,1)/(COUNTIFS(Evaluations!$G$3:$G$10000,$A294,Evaluations!$T$3:$T$10000,1)+COUNTIFS(Evaluations!$G$3:$G$10000,$A294,Evaluations!$T$3:$T$10000,0)),2),""))</f>
        <v/>
      </c>
      <c r="K294" s="10" t="str">
        <f>IF($A294="","",COUNTIFS(Evaluations!$G$3:$G$10000,$A294,Evaluations!$M$3:$M$10000,"عدم پاسخ"))</f>
        <v/>
      </c>
      <c r="L294" s="10" t="str">
        <f>IF($A294="","",COUNTIFS(Evaluations!$G$3:$G$10000,$A294,Evaluations!$O$3:$O$10000,"رعایت نشده"))</f>
        <v/>
      </c>
    </row>
    <row r="295">
      <c r="A295" s="10"/>
      <c r="B295" s="10" t="str">
        <f t="array" ref="B295">_xlfn.XLOOKUP(A295,DATA!D:D,DATA!E:E,"")</f>
        <v/>
      </c>
      <c r="C295" s="10" t="str">
        <f>IF($A295="","",COUNTIFS(Evaluations!$G$3:$G$10000,$A295,Evaluations!$U$3:$U$10000,"&gt;=0",Evaluations!$U$3:$U$10000,"&lt;=100"))</f>
        <v/>
      </c>
      <c r="D295" s="10" t="str">
        <f>IF(OR($A295="",C295=0),"",ROUND(SUMIFS(Evaluations!$U$3:$U$10000,Evaluations!$G$3:$G$10000,$A295)/C295,2))</f>
        <v/>
      </c>
      <c r="E295" s="10" t="str">
        <f>IF($A295="","",COUNTIFS(Evaluations!$G$3:$G$10000,$A295,Evaluations!$M$3:$M$10000,"پاسخ داده شده"))</f>
        <v/>
      </c>
      <c r="F295" s="10" t="str">
        <f>IF($A295="","",IFERROR(COUNTIFS(Evaluations!$G$3:$G$10000,$A295,Evaluations!$O$3:$O$10000,"رعایت شده")/(COUNTIFS(Evaluations!$G$3:$G$10000,$A295,Evaluations!$O$3:$O$10000,"رعایت شده")+COUNTIFS(Evaluations!$G$3:$G$10000,$A295,Evaluations!$O$3:$O$10000,"رعایت نشده")),""))</f>
        <v/>
      </c>
      <c r="G295" s="10" t="str">
        <f>IF($A295="","",IFERROR(ROUND(100*COUNTIFS(Evaluations!$G$3:$G$10000,$A295,Evaluations!$Q$3:$Q$10000,1)/(COUNTIFS(Evaluations!$G$3:$G$10000,$A295,Evaluations!$Q$3:$Q$10000,1)+COUNTIFS(Evaluations!$G$3:$G$10000,$A295,Evaluations!$Q$3:$Q$10000,0)),2),""))</f>
        <v/>
      </c>
      <c r="H295" s="10" t="str">
        <f>IF($A295="","",IFERROR(ROUND(100*COUNTIFS(Evaluations!$G$3:$G$10000,$A295,Evaluations!$R$3:$R$10000,1)/(COUNTIFS(Evaluations!$G$3:$G$10000,$A295,Evaluations!$R$3:$R$10000,1)+COUNTIFS(Evaluations!$G$3:$G$10000,$A295,Evaluations!$R$3:$R$10000,0)),2),""))</f>
        <v/>
      </c>
      <c r="I295" s="10" t="str">
        <f>IF($A295="","",IFERROR(ROUND(100*COUNTIFS(Evaluations!$G$3:$G$10000,$A295,Evaluations!$S$3:$S$10000,1)/(COUNTIFS(Evaluations!$G$3:$G$10000,$A295,Evaluations!$S$3:$S$10000,1)+COUNTIFS(Evaluations!$G$3:$G$10000,$A295,Evaluations!$S$3:$S$10000,0)),2),""))</f>
        <v/>
      </c>
      <c r="J295" s="10" t="str">
        <f>IF($A295="","",IFERROR(ROUND(100*COUNTIFS(Evaluations!$G$3:$G$10000,$A295,Evaluations!$T$3:$T$10000,1)/(COUNTIFS(Evaluations!$G$3:$G$10000,$A295,Evaluations!$T$3:$T$10000,1)+COUNTIFS(Evaluations!$G$3:$G$10000,$A295,Evaluations!$T$3:$T$10000,0)),2),""))</f>
        <v/>
      </c>
      <c r="K295" s="10" t="str">
        <f>IF($A295="","",COUNTIFS(Evaluations!$G$3:$G$10000,$A295,Evaluations!$M$3:$M$10000,"عدم پاسخ"))</f>
        <v/>
      </c>
      <c r="L295" s="10" t="str">
        <f>IF($A295="","",COUNTIFS(Evaluations!$G$3:$G$10000,$A295,Evaluations!$O$3:$O$10000,"رعایت نشده"))</f>
        <v/>
      </c>
    </row>
    <row r="296">
      <c r="A296" s="10"/>
      <c r="B296" s="10" t="str">
        <f t="array" ref="B296">_xlfn.XLOOKUP(A296,DATA!D:D,DATA!E:E,"")</f>
        <v/>
      </c>
      <c r="C296" s="10" t="str">
        <f>IF($A296="","",COUNTIFS(Evaluations!$G$3:$G$10000,$A296,Evaluations!$U$3:$U$10000,"&gt;=0",Evaluations!$U$3:$U$10000,"&lt;=100"))</f>
        <v/>
      </c>
      <c r="D296" s="10" t="str">
        <f>IF(OR($A296="",C296=0),"",ROUND(SUMIFS(Evaluations!$U$3:$U$10000,Evaluations!$G$3:$G$10000,$A296)/C296,2))</f>
        <v/>
      </c>
      <c r="E296" s="10" t="str">
        <f>IF($A296="","",COUNTIFS(Evaluations!$G$3:$G$10000,$A296,Evaluations!$M$3:$M$10000,"پاسخ داده شده"))</f>
        <v/>
      </c>
      <c r="F296" s="10" t="str">
        <f>IF($A296="","",IFERROR(COUNTIFS(Evaluations!$G$3:$G$10000,$A296,Evaluations!$O$3:$O$10000,"رعایت شده")/(COUNTIFS(Evaluations!$G$3:$G$10000,$A296,Evaluations!$O$3:$O$10000,"رعایت شده")+COUNTIFS(Evaluations!$G$3:$G$10000,$A296,Evaluations!$O$3:$O$10000,"رعایت نشده")),""))</f>
        <v/>
      </c>
      <c r="G296" s="10" t="str">
        <f>IF($A296="","",IFERROR(ROUND(100*COUNTIFS(Evaluations!$G$3:$G$10000,$A296,Evaluations!$Q$3:$Q$10000,1)/(COUNTIFS(Evaluations!$G$3:$G$10000,$A296,Evaluations!$Q$3:$Q$10000,1)+COUNTIFS(Evaluations!$G$3:$G$10000,$A296,Evaluations!$Q$3:$Q$10000,0)),2),""))</f>
        <v/>
      </c>
      <c r="H296" s="10" t="str">
        <f>IF($A296="","",IFERROR(ROUND(100*COUNTIFS(Evaluations!$G$3:$G$10000,$A296,Evaluations!$R$3:$R$10000,1)/(COUNTIFS(Evaluations!$G$3:$G$10000,$A296,Evaluations!$R$3:$R$10000,1)+COUNTIFS(Evaluations!$G$3:$G$10000,$A296,Evaluations!$R$3:$R$10000,0)),2),""))</f>
        <v/>
      </c>
      <c r="I296" s="10" t="str">
        <f>IF($A296="","",IFERROR(ROUND(100*COUNTIFS(Evaluations!$G$3:$G$10000,$A296,Evaluations!$S$3:$S$10000,1)/(COUNTIFS(Evaluations!$G$3:$G$10000,$A296,Evaluations!$S$3:$S$10000,1)+COUNTIFS(Evaluations!$G$3:$G$10000,$A296,Evaluations!$S$3:$S$10000,0)),2),""))</f>
        <v/>
      </c>
      <c r="J296" s="10" t="str">
        <f>IF($A296="","",IFERROR(ROUND(100*COUNTIFS(Evaluations!$G$3:$G$10000,$A296,Evaluations!$T$3:$T$10000,1)/(COUNTIFS(Evaluations!$G$3:$G$10000,$A296,Evaluations!$T$3:$T$10000,1)+COUNTIFS(Evaluations!$G$3:$G$10000,$A296,Evaluations!$T$3:$T$10000,0)),2),""))</f>
        <v/>
      </c>
      <c r="K296" s="10" t="str">
        <f>IF($A296="","",COUNTIFS(Evaluations!$G$3:$G$10000,$A296,Evaluations!$M$3:$M$10000,"عدم پاسخ"))</f>
        <v/>
      </c>
      <c r="L296" s="10" t="str">
        <f>IF($A296="","",COUNTIFS(Evaluations!$G$3:$G$10000,$A296,Evaluations!$O$3:$O$10000,"رعایت نشده"))</f>
        <v/>
      </c>
    </row>
    <row r="297">
      <c r="A297" s="10"/>
      <c r="B297" s="10" t="str">
        <f t="array" ref="B297">_xlfn.XLOOKUP(A297,DATA!D:D,DATA!E:E,"")</f>
        <v/>
      </c>
      <c r="C297" s="10" t="str">
        <f>IF($A297="","",COUNTIFS(Evaluations!$G$3:$G$10000,$A297,Evaluations!$U$3:$U$10000,"&gt;=0",Evaluations!$U$3:$U$10000,"&lt;=100"))</f>
        <v/>
      </c>
      <c r="D297" s="10" t="str">
        <f>IF(OR($A297="",C297=0),"",ROUND(SUMIFS(Evaluations!$U$3:$U$10000,Evaluations!$G$3:$G$10000,$A297)/C297,2))</f>
        <v/>
      </c>
      <c r="E297" s="10" t="str">
        <f>IF($A297="","",COUNTIFS(Evaluations!$G$3:$G$10000,$A297,Evaluations!$M$3:$M$10000,"پاسخ داده شده"))</f>
        <v/>
      </c>
      <c r="F297" s="10" t="str">
        <f>IF($A297="","",IFERROR(COUNTIFS(Evaluations!$G$3:$G$10000,$A297,Evaluations!$O$3:$O$10000,"رعایت شده")/(COUNTIFS(Evaluations!$G$3:$G$10000,$A297,Evaluations!$O$3:$O$10000,"رعایت شده")+COUNTIFS(Evaluations!$G$3:$G$10000,$A297,Evaluations!$O$3:$O$10000,"رعایت نشده")),""))</f>
        <v/>
      </c>
      <c r="G297" s="10" t="str">
        <f>IF($A297="","",IFERROR(ROUND(100*COUNTIFS(Evaluations!$G$3:$G$10000,$A297,Evaluations!$Q$3:$Q$10000,1)/(COUNTIFS(Evaluations!$G$3:$G$10000,$A297,Evaluations!$Q$3:$Q$10000,1)+COUNTIFS(Evaluations!$G$3:$G$10000,$A297,Evaluations!$Q$3:$Q$10000,0)),2),""))</f>
        <v/>
      </c>
      <c r="H297" s="10" t="str">
        <f>IF($A297="","",IFERROR(ROUND(100*COUNTIFS(Evaluations!$G$3:$G$10000,$A297,Evaluations!$R$3:$R$10000,1)/(COUNTIFS(Evaluations!$G$3:$G$10000,$A297,Evaluations!$R$3:$R$10000,1)+COUNTIFS(Evaluations!$G$3:$G$10000,$A297,Evaluations!$R$3:$R$10000,0)),2),""))</f>
        <v/>
      </c>
      <c r="I297" s="10" t="str">
        <f>IF($A297="","",IFERROR(ROUND(100*COUNTIFS(Evaluations!$G$3:$G$10000,$A297,Evaluations!$S$3:$S$10000,1)/(COUNTIFS(Evaluations!$G$3:$G$10000,$A297,Evaluations!$S$3:$S$10000,1)+COUNTIFS(Evaluations!$G$3:$G$10000,$A297,Evaluations!$S$3:$S$10000,0)),2),""))</f>
        <v/>
      </c>
      <c r="J297" s="10" t="str">
        <f>IF($A297="","",IFERROR(ROUND(100*COUNTIFS(Evaluations!$G$3:$G$10000,$A297,Evaluations!$T$3:$T$10000,1)/(COUNTIFS(Evaluations!$G$3:$G$10000,$A297,Evaluations!$T$3:$T$10000,1)+COUNTIFS(Evaluations!$G$3:$G$10000,$A297,Evaluations!$T$3:$T$10000,0)),2),""))</f>
        <v/>
      </c>
      <c r="K297" s="10" t="str">
        <f>IF($A297="","",COUNTIFS(Evaluations!$G$3:$G$10000,$A297,Evaluations!$M$3:$M$10000,"عدم پاسخ"))</f>
        <v/>
      </c>
      <c r="L297" s="10" t="str">
        <f>IF($A297="","",COUNTIFS(Evaluations!$G$3:$G$10000,$A297,Evaluations!$O$3:$O$10000,"رعایت نشده"))</f>
        <v/>
      </c>
    </row>
    <row r="298">
      <c r="A298" s="10"/>
      <c r="B298" s="10" t="str">
        <f t="array" ref="B298">_xlfn.XLOOKUP(A298,DATA!D:D,DATA!E:E,"")</f>
        <v/>
      </c>
      <c r="C298" s="10" t="str">
        <f>IF($A298="","",COUNTIFS(Evaluations!$G$3:$G$10000,$A298,Evaluations!$U$3:$U$10000,"&gt;=0",Evaluations!$U$3:$U$10000,"&lt;=100"))</f>
        <v/>
      </c>
      <c r="D298" s="10" t="str">
        <f>IF(OR($A298="",C298=0),"",ROUND(SUMIFS(Evaluations!$U$3:$U$10000,Evaluations!$G$3:$G$10000,$A298)/C298,2))</f>
        <v/>
      </c>
      <c r="E298" s="10" t="str">
        <f>IF($A298="","",COUNTIFS(Evaluations!$G$3:$G$10000,$A298,Evaluations!$M$3:$M$10000,"پاسخ داده شده"))</f>
        <v/>
      </c>
      <c r="F298" s="10" t="str">
        <f>IF($A298="","",IFERROR(COUNTIFS(Evaluations!$G$3:$G$10000,$A298,Evaluations!$O$3:$O$10000,"رعایت شده")/(COUNTIFS(Evaluations!$G$3:$G$10000,$A298,Evaluations!$O$3:$O$10000,"رعایت شده")+COUNTIFS(Evaluations!$G$3:$G$10000,$A298,Evaluations!$O$3:$O$10000,"رعایت نشده")),""))</f>
        <v/>
      </c>
      <c r="G298" s="10" t="str">
        <f>IF($A298="","",IFERROR(ROUND(100*COUNTIFS(Evaluations!$G$3:$G$10000,$A298,Evaluations!$Q$3:$Q$10000,1)/(COUNTIFS(Evaluations!$G$3:$G$10000,$A298,Evaluations!$Q$3:$Q$10000,1)+COUNTIFS(Evaluations!$G$3:$G$10000,$A298,Evaluations!$Q$3:$Q$10000,0)),2),""))</f>
        <v/>
      </c>
      <c r="H298" s="10" t="str">
        <f>IF($A298="","",IFERROR(ROUND(100*COUNTIFS(Evaluations!$G$3:$G$10000,$A298,Evaluations!$R$3:$R$10000,1)/(COUNTIFS(Evaluations!$G$3:$G$10000,$A298,Evaluations!$R$3:$R$10000,1)+COUNTIFS(Evaluations!$G$3:$G$10000,$A298,Evaluations!$R$3:$R$10000,0)),2),""))</f>
        <v/>
      </c>
      <c r="I298" s="10" t="str">
        <f>IF($A298="","",IFERROR(ROUND(100*COUNTIFS(Evaluations!$G$3:$G$10000,$A298,Evaluations!$S$3:$S$10000,1)/(COUNTIFS(Evaluations!$G$3:$G$10000,$A298,Evaluations!$S$3:$S$10000,1)+COUNTIFS(Evaluations!$G$3:$G$10000,$A298,Evaluations!$S$3:$S$10000,0)),2),""))</f>
        <v/>
      </c>
      <c r="J298" s="10" t="str">
        <f>IF($A298="","",IFERROR(ROUND(100*COUNTIFS(Evaluations!$G$3:$G$10000,$A298,Evaluations!$T$3:$T$10000,1)/(COUNTIFS(Evaluations!$G$3:$G$10000,$A298,Evaluations!$T$3:$T$10000,1)+COUNTIFS(Evaluations!$G$3:$G$10000,$A298,Evaluations!$T$3:$T$10000,0)),2),""))</f>
        <v/>
      </c>
      <c r="K298" s="10" t="str">
        <f>IF($A298="","",COUNTIFS(Evaluations!$G$3:$G$10000,$A298,Evaluations!$M$3:$M$10000,"عدم پاسخ"))</f>
        <v/>
      </c>
      <c r="L298" s="10" t="str">
        <f>IF($A298="","",COUNTIFS(Evaluations!$G$3:$G$10000,$A298,Evaluations!$O$3:$O$10000,"رعایت نشده"))</f>
        <v/>
      </c>
    </row>
    <row r="299">
      <c r="A299" s="10"/>
      <c r="B299" s="10" t="str">
        <f t="array" ref="B299">_xlfn.XLOOKUP(A299,DATA!D:D,DATA!E:E,"")</f>
        <v/>
      </c>
      <c r="C299" s="10" t="str">
        <f>IF($A299="","",COUNTIFS(Evaluations!$G$3:$G$10000,$A299,Evaluations!$U$3:$U$10000,"&gt;=0",Evaluations!$U$3:$U$10000,"&lt;=100"))</f>
        <v/>
      </c>
      <c r="D299" s="10" t="str">
        <f>IF(OR($A299="",C299=0),"",ROUND(SUMIFS(Evaluations!$U$3:$U$10000,Evaluations!$G$3:$G$10000,$A299)/C299,2))</f>
        <v/>
      </c>
      <c r="E299" s="10" t="str">
        <f>IF($A299="","",COUNTIFS(Evaluations!$G$3:$G$10000,$A299,Evaluations!$M$3:$M$10000,"پاسخ داده شده"))</f>
        <v/>
      </c>
      <c r="F299" s="10" t="str">
        <f>IF($A299="","",IFERROR(COUNTIFS(Evaluations!$G$3:$G$10000,$A299,Evaluations!$O$3:$O$10000,"رعایت شده")/(COUNTIFS(Evaluations!$G$3:$G$10000,$A299,Evaluations!$O$3:$O$10000,"رعایت شده")+COUNTIFS(Evaluations!$G$3:$G$10000,$A299,Evaluations!$O$3:$O$10000,"رعایت نشده")),""))</f>
        <v/>
      </c>
      <c r="G299" s="10" t="str">
        <f>IF($A299="","",IFERROR(ROUND(100*COUNTIFS(Evaluations!$G$3:$G$10000,$A299,Evaluations!$Q$3:$Q$10000,1)/(COUNTIFS(Evaluations!$G$3:$G$10000,$A299,Evaluations!$Q$3:$Q$10000,1)+COUNTIFS(Evaluations!$G$3:$G$10000,$A299,Evaluations!$Q$3:$Q$10000,0)),2),""))</f>
        <v/>
      </c>
      <c r="H299" s="10" t="str">
        <f>IF($A299="","",IFERROR(ROUND(100*COUNTIFS(Evaluations!$G$3:$G$10000,$A299,Evaluations!$R$3:$R$10000,1)/(COUNTIFS(Evaluations!$G$3:$G$10000,$A299,Evaluations!$R$3:$R$10000,1)+COUNTIFS(Evaluations!$G$3:$G$10000,$A299,Evaluations!$R$3:$R$10000,0)),2),""))</f>
        <v/>
      </c>
      <c r="I299" s="10" t="str">
        <f>IF($A299="","",IFERROR(ROUND(100*COUNTIFS(Evaluations!$G$3:$G$10000,$A299,Evaluations!$S$3:$S$10000,1)/(COUNTIFS(Evaluations!$G$3:$G$10000,$A299,Evaluations!$S$3:$S$10000,1)+COUNTIFS(Evaluations!$G$3:$G$10000,$A299,Evaluations!$S$3:$S$10000,0)),2),""))</f>
        <v/>
      </c>
      <c r="J299" s="10" t="str">
        <f>IF($A299="","",IFERROR(ROUND(100*COUNTIFS(Evaluations!$G$3:$G$10000,$A299,Evaluations!$T$3:$T$10000,1)/(COUNTIFS(Evaluations!$G$3:$G$10000,$A299,Evaluations!$T$3:$T$10000,1)+COUNTIFS(Evaluations!$G$3:$G$10000,$A299,Evaluations!$T$3:$T$10000,0)),2),""))</f>
        <v/>
      </c>
      <c r="K299" s="10" t="str">
        <f>IF($A299="","",COUNTIFS(Evaluations!$G$3:$G$10000,$A299,Evaluations!$M$3:$M$10000,"عدم پاسخ"))</f>
        <v/>
      </c>
      <c r="L299" s="10" t="str">
        <f>IF($A299="","",COUNTIFS(Evaluations!$G$3:$G$10000,$A299,Evaluations!$O$3:$O$10000,"رعایت نشده"))</f>
        <v/>
      </c>
    </row>
    <row r="300">
      <c r="A300" s="10"/>
      <c r="B300" s="10" t="str">
        <f t="array" ref="B300">_xlfn.XLOOKUP(A300,DATA!D:D,DATA!E:E,"")</f>
        <v/>
      </c>
      <c r="C300" s="10" t="str">
        <f>IF($A300="","",COUNTIFS(Evaluations!$G$3:$G$10000,$A300,Evaluations!$U$3:$U$10000,"&gt;=0",Evaluations!$U$3:$U$10000,"&lt;=100"))</f>
        <v/>
      </c>
      <c r="D300" s="10" t="str">
        <f>IF(OR($A300="",C300=0),"",ROUND(SUMIFS(Evaluations!$U$3:$U$10000,Evaluations!$G$3:$G$10000,$A300)/C300,2))</f>
        <v/>
      </c>
      <c r="E300" s="10" t="str">
        <f>IF($A300="","",COUNTIFS(Evaluations!$G$3:$G$10000,$A300,Evaluations!$M$3:$M$10000,"پاسخ داده شده"))</f>
        <v/>
      </c>
      <c r="F300" s="10" t="str">
        <f>IF($A300="","",IFERROR(COUNTIFS(Evaluations!$G$3:$G$10000,$A300,Evaluations!$O$3:$O$10000,"رعایت شده")/(COUNTIFS(Evaluations!$G$3:$G$10000,$A300,Evaluations!$O$3:$O$10000,"رعایت شده")+COUNTIFS(Evaluations!$G$3:$G$10000,$A300,Evaluations!$O$3:$O$10000,"رعایت نشده")),""))</f>
        <v/>
      </c>
      <c r="G300" s="10" t="str">
        <f>IF($A300="","",IFERROR(ROUND(100*COUNTIFS(Evaluations!$G$3:$G$10000,$A300,Evaluations!$Q$3:$Q$10000,1)/(COUNTIFS(Evaluations!$G$3:$G$10000,$A300,Evaluations!$Q$3:$Q$10000,1)+COUNTIFS(Evaluations!$G$3:$G$10000,$A300,Evaluations!$Q$3:$Q$10000,0)),2),""))</f>
        <v/>
      </c>
      <c r="H300" s="10" t="str">
        <f>IF($A300="","",IFERROR(ROUND(100*COUNTIFS(Evaluations!$G$3:$G$10000,$A300,Evaluations!$R$3:$R$10000,1)/(COUNTIFS(Evaluations!$G$3:$G$10000,$A300,Evaluations!$R$3:$R$10000,1)+COUNTIFS(Evaluations!$G$3:$G$10000,$A300,Evaluations!$R$3:$R$10000,0)),2),""))</f>
        <v/>
      </c>
      <c r="I300" s="10" t="str">
        <f>IF($A300="","",IFERROR(ROUND(100*COUNTIFS(Evaluations!$G$3:$G$10000,$A300,Evaluations!$S$3:$S$10000,1)/(COUNTIFS(Evaluations!$G$3:$G$10000,$A300,Evaluations!$S$3:$S$10000,1)+COUNTIFS(Evaluations!$G$3:$G$10000,$A300,Evaluations!$S$3:$S$10000,0)),2),""))</f>
        <v/>
      </c>
      <c r="J300" s="10" t="str">
        <f>IF($A300="","",IFERROR(ROUND(100*COUNTIFS(Evaluations!$G$3:$G$10000,$A300,Evaluations!$T$3:$T$10000,1)/(COUNTIFS(Evaluations!$G$3:$G$10000,$A300,Evaluations!$T$3:$T$10000,1)+COUNTIFS(Evaluations!$G$3:$G$10000,$A300,Evaluations!$T$3:$T$10000,0)),2),""))</f>
        <v/>
      </c>
      <c r="K300" s="10" t="str">
        <f>IF($A300="","",COUNTIFS(Evaluations!$G$3:$G$10000,$A300,Evaluations!$M$3:$M$10000,"عدم پاسخ"))</f>
        <v/>
      </c>
      <c r="L300" s="10" t="str">
        <f>IF($A300="","",COUNTIFS(Evaluations!$G$3:$G$10000,$A300,Evaluations!$O$3:$O$10000,"رعایت نشده"))</f>
        <v/>
      </c>
    </row>
    <row r="301">
      <c r="A301" s="10"/>
      <c r="B301" s="10" t="str">
        <f t="array" ref="B301">_xlfn.XLOOKUP(A301,DATA!D:D,DATA!E:E,"")</f>
        <v/>
      </c>
      <c r="C301" s="10" t="str">
        <f>IF($A301="","",COUNTIFS(Evaluations!$G$3:$G$10000,$A301,Evaluations!$U$3:$U$10000,"&gt;=0",Evaluations!$U$3:$U$10000,"&lt;=100"))</f>
        <v/>
      </c>
      <c r="D301" s="10" t="str">
        <f>IF(OR($A301="",C301=0),"",ROUND(SUMIFS(Evaluations!$U$3:$U$10000,Evaluations!$G$3:$G$10000,$A301)/C301,2))</f>
        <v/>
      </c>
      <c r="E301" s="10" t="str">
        <f>IF($A301="","",COUNTIFS(Evaluations!$G$3:$G$10000,$A301,Evaluations!$M$3:$M$10000,"پاسخ داده شده"))</f>
        <v/>
      </c>
      <c r="F301" s="10" t="str">
        <f>IF($A301="","",IFERROR(COUNTIFS(Evaluations!$G$3:$G$10000,$A301,Evaluations!$O$3:$O$10000,"رعایت شده")/(COUNTIFS(Evaluations!$G$3:$G$10000,$A301,Evaluations!$O$3:$O$10000,"رعایت شده")+COUNTIFS(Evaluations!$G$3:$G$10000,$A301,Evaluations!$O$3:$O$10000,"رعایت نشده")),""))</f>
        <v/>
      </c>
      <c r="G301" s="10" t="str">
        <f>IF($A301="","",IFERROR(ROUND(100*COUNTIFS(Evaluations!$G$3:$G$10000,$A301,Evaluations!$Q$3:$Q$10000,1)/(COUNTIFS(Evaluations!$G$3:$G$10000,$A301,Evaluations!$Q$3:$Q$10000,1)+COUNTIFS(Evaluations!$G$3:$G$10000,$A301,Evaluations!$Q$3:$Q$10000,0)),2),""))</f>
        <v/>
      </c>
      <c r="H301" s="10" t="str">
        <f>IF($A301="","",IFERROR(ROUND(100*COUNTIFS(Evaluations!$G$3:$G$10000,$A301,Evaluations!$R$3:$R$10000,1)/(COUNTIFS(Evaluations!$G$3:$G$10000,$A301,Evaluations!$R$3:$R$10000,1)+COUNTIFS(Evaluations!$G$3:$G$10000,$A301,Evaluations!$R$3:$R$10000,0)),2),""))</f>
        <v/>
      </c>
      <c r="I301" s="10" t="str">
        <f>IF($A301="","",IFERROR(ROUND(100*COUNTIFS(Evaluations!$G$3:$G$10000,$A301,Evaluations!$S$3:$S$10000,1)/(COUNTIFS(Evaluations!$G$3:$G$10000,$A301,Evaluations!$S$3:$S$10000,1)+COUNTIFS(Evaluations!$G$3:$G$10000,$A301,Evaluations!$S$3:$S$10000,0)),2),""))</f>
        <v/>
      </c>
      <c r="J301" s="10" t="str">
        <f>IF($A301="","",IFERROR(ROUND(100*COUNTIFS(Evaluations!$G$3:$G$10000,$A301,Evaluations!$T$3:$T$10000,1)/(COUNTIFS(Evaluations!$G$3:$G$10000,$A301,Evaluations!$T$3:$T$10000,1)+COUNTIFS(Evaluations!$G$3:$G$10000,$A301,Evaluations!$T$3:$T$10000,0)),2),""))</f>
        <v/>
      </c>
      <c r="K301" s="10" t="str">
        <f>IF($A301="","",COUNTIFS(Evaluations!$G$3:$G$10000,$A301,Evaluations!$M$3:$M$10000,"عدم پاسخ"))</f>
        <v/>
      </c>
      <c r="L301" s="10" t="str">
        <f>IF($A301="","",COUNTIFS(Evaluations!$G$3:$G$10000,$A301,Evaluations!$O$3:$O$10000,"رعایت نشده"))</f>
        <v/>
      </c>
    </row>
    <row r="302">
      <c r="A302" s="10"/>
      <c r="B302" s="10" t="str">
        <f t="array" ref="B302">_xlfn.XLOOKUP(A302,DATA!D:D,DATA!E:E,"")</f>
        <v/>
      </c>
      <c r="C302" s="10" t="str">
        <f>IF($A302="","",COUNTIFS(Evaluations!$G$3:$G$10000,$A302,Evaluations!$U$3:$U$10000,"&gt;=0",Evaluations!$U$3:$U$10000,"&lt;=100"))</f>
        <v/>
      </c>
      <c r="D302" s="10" t="str">
        <f>IF(OR($A302="",C302=0),"",ROUND(SUMIFS(Evaluations!$U$3:$U$10000,Evaluations!$G$3:$G$10000,$A302)/C302,2))</f>
        <v/>
      </c>
      <c r="E302" s="10" t="str">
        <f>IF($A302="","",COUNTIFS(Evaluations!$G$3:$G$10000,$A302,Evaluations!$M$3:$M$10000,"پاسخ داده شده"))</f>
        <v/>
      </c>
      <c r="F302" s="10" t="str">
        <f>IF($A302="","",IFERROR(COUNTIFS(Evaluations!$G$3:$G$10000,$A302,Evaluations!$O$3:$O$10000,"رعایت شده")/(COUNTIFS(Evaluations!$G$3:$G$10000,$A302,Evaluations!$O$3:$O$10000,"رعایت شده")+COUNTIFS(Evaluations!$G$3:$G$10000,$A302,Evaluations!$O$3:$O$10000,"رعایت نشده")),""))</f>
        <v/>
      </c>
      <c r="G302" s="10" t="str">
        <f>IF($A302="","",IFERROR(ROUND(100*COUNTIFS(Evaluations!$G$3:$G$10000,$A302,Evaluations!$Q$3:$Q$10000,1)/(COUNTIFS(Evaluations!$G$3:$G$10000,$A302,Evaluations!$Q$3:$Q$10000,1)+COUNTIFS(Evaluations!$G$3:$G$10000,$A302,Evaluations!$Q$3:$Q$10000,0)),2),""))</f>
        <v/>
      </c>
      <c r="H302" s="10" t="str">
        <f>IF($A302="","",IFERROR(ROUND(100*COUNTIFS(Evaluations!$G$3:$G$10000,$A302,Evaluations!$R$3:$R$10000,1)/(COUNTIFS(Evaluations!$G$3:$G$10000,$A302,Evaluations!$R$3:$R$10000,1)+COUNTIFS(Evaluations!$G$3:$G$10000,$A302,Evaluations!$R$3:$R$10000,0)),2),""))</f>
        <v/>
      </c>
      <c r="I302" s="10" t="str">
        <f>IF($A302="","",IFERROR(ROUND(100*COUNTIFS(Evaluations!$G$3:$G$10000,$A302,Evaluations!$S$3:$S$10000,1)/(COUNTIFS(Evaluations!$G$3:$G$10000,$A302,Evaluations!$S$3:$S$10000,1)+COUNTIFS(Evaluations!$G$3:$G$10000,$A302,Evaluations!$S$3:$S$10000,0)),2),""))</f>
        <v/>
      </c>
      <c r="J302" s="10" t="str">
        <f>IF($A302="","",IFERROR(ROUND(100*COUNTIFS(Evaluations!$G$3:$G$10000,$A302,Evaluations!$T$3:$T$10000,1)/(COUNTIFS(Evaluations!$G$3:$G$10000,$A302,Evaluations!$T$3:$T$10000,1)+COUNTIFS(Evaluations!$G$3:$G$10000,$A302,Evaluations!$T$3:$T$10000,0)),2),""))</f>
        <v/>
      </c>
      <c r="K302" s="10" t="str">
        <f>IF($A302="","",COUNTIFS(Evaluations!$G$3:$G$10000,$A302,Evaluations!$M$3:$M$10000,"عدم پاسخ"))</f>
        <v/>
      </c>
      <c r="L302" s="10" t="str">
        <f>IF($A302="","",COUNTIFS(Evaluations!$G$3:$G$10000,$A302,Evaluations!$O$3:$O$10000,"رعایت نشده"))</f>
        <v/>
      </c>
    </row>
    <row r="303">
      <c r="A303" s="10"/>
      <c r="B303" s="10" t="str">
        <f t="array" ref="B303">_xlfn.XLOOKUP(A303,DATA!D:D,DATA!E:E,"")</f>
        <v/>
      </c>
      <c r="C303" s="10" t="str">
        <f>IF($A303="","",COUNTIFS(Evaluations!$G$3:$G$10000,$A303,Evaluations!$U$3:$U$10000,"&gt;=0",Evaluations!$U$3:$U$10000,"&lt;=100"))</f>
        <v/>
      </c>
      <c r="D303" s="10" t="str">
        <f>IF(OR($A303="",C303=0),"",ROUND(SUMIFS(Evaluations!$U$3:$U$10000,Evaluations!$G$3:$G$10000,$A303)/C303,2))</f>
        <v/>
      </c>
      <c r="E303" s="10" t="str">
        <f>IF($A303="","",COUNTIFS(Evaluations!$G$3:$G$10000,$A303,Evaluations!$M$3:$M$10000,"پاسخ داده شده"))</f>
        <v/>
      </c>
      <c r="F303" s="10" t="str">
        <f>IF($A303="","",IFERROR(COUNTIFS(Evaluations!$G$3:$G$10000,$A303,Evaluations!$O$3:$O$10000,"رعایت شده")/(COUNTIFS(Evaluations!$G$3:$G$10000,$A303,Evaluations!$O$3:$O$10000,"رعایت شده")+COUNTIFS(Evaluations!$G$3:$G$10000,$A303,Evaluations!$O$3:$O$10000,"رعایت نشده")),""))</f>
        <v/>
      </c>
      <c r="G303" s="10" t="str">
        <f>IF($A303="","",IFERROR(ROUND(100*COUNTIFS(Evaluations!$G$3:$G$10000,$A303,Evaluations!$Q$3:$Q$10000,1)/(COUNTIFS(Evaluations!$G$3:$G$10000,$A303,Evaluations!$Q$3:$Q$10000,1)+COUNTIFS(Evaluations!$G$3:$G$10000,$A303,Evaluations!$Q$3:$Q$10000,0)),2),""))</f>
        <v/>
      </c>
      <c r="H303" s="10" t="str">
        <f>IF($A303="","",IFERROR(ROUND(100*COUNTIFS(Evaluations!$G$3:$G$10000,$A303,Evaluations!$R$3:$R$10000,1)/(COUNTIFS(Evaluations!$G$3:$G$10000,$A303,Evaluations!$R$3:$R$10000,1)+COUNTIFS(Evaluations!$G$3:$G$10000,$A303,Evaluations!$R$3:$R$10000,0)),2),""))</f>
        <v/>
      </c>
      <c r="I303" s="10" t="str">
        <f>IF($A303="","",IFERROR(ROUND(100*COUNTIFS(Evaluations!$G$3:$G$10000,$A303,Evaluations!$S$3:$S$10000,1)/(COUNTIFS(Evaluations!$G$3:$G$10000,$A303,Evaluations!$S$3:$S$10000,1)+COUNTIFS(Evaluations!$G$3:$G$10000,$A303,Evaluations!$S$3:$S$10000,0)),2),""))</f>
        <v/>
      </c>
      <c r="J303" s="10" t="str">
        <f>IF($A303="","",IFERROR(ROUND(100*COUNTIFS(Evaluations!$G$3:$G$10000,$A303,Evaluations!$T$3:$T$10000,1)/(COUNTIFS(Evaluations!$G$3:$G$10000,$A303,Evaluations!$T$3:$T$10000,1)+COUNTIFS(Evaluations!$G$3:$G$10000,$A303,Evaluations!$T$3:$T$10000,0)),2),""))</f>
        <v/>
      </c>
      <c r="K303" s="10" t="str">
        <f>IF($A303="","",COUNTIFS(Evaluations!$G$3:$G$10000,$A303,Evaluations!$M$3:$M$10000,"عدم پاسخ"))</f>
        <v/>
      </c>
      <c r="L303" s="10" t="str">
        <f>IF($A303="","",COUNTIFS(Evaluations!$G$3:$G$10000,$A303,Evaluations!$O$3:$O$10000,"رعایت نشده"))</f>
        <v/>
      </c>
    </row>
    <row r="304">
      <c r="A304" s="10"/>
      <c r="B304" s="10" t="str">
        <f t="array" ref="B304">_xlfn.XLOOKUP(A304,DATA!D:D,DATA!E:E,"")</f>
        <v/>
      </c>
      <c r="C304" s="10" t="str">
        <f>IF($A304="","",COUNTIFS(Evaluations!$G$3:$G$10000,$A304,Evaluations!$U$3:$U$10000,"&gt;=0",Evaluations!$U$3:$U$10000,"&lt;=100"))</f>
        <v/>
      </c>
      <c r="D304" s="10" t="str">
        <f>IF(OR($A304="",C304=0),"",ROUND(SUMIFS(Evaluations!$U$3:$U$10000,Evaluations!$G$3:$G$10000,$A304)/C304,2))</f>
        <v/>
      </c>
      <c r="E304" s="10" t="str">
        <f>IF($A304="","",COUNTIFS(Evaluations!$G$3:$G$10000,$A304,Evaluations!$M$3:$M$10000,"پاسخ داده شده"))</f>
        <v/>
      </c>
      <c r="F304" s="10" t="str">
        <f>IF($A304="","",IFERROR(COUNTIFS(Evaluations!$G$3:$G$10000,$A304,Evaluations!$O$3:$O$10000,"رعایت شده")/(COUNTIFS(Evaluations!$G$3:$G$10000,$A304,Evaluations!$O$3:$O$10000,"رعایت شده")+COUNTIFS(Evaluations!$G$3:$G$10000,$A304,Evaluations!$O$3:$O$10000,"رعایت نشده")),""))</f>
        <v/>
      </c>
      <c r="G304" s="10" t="str">
        <f>IF($A304="","",IFERROR(ROUND(100*COUNTIFS(Evaluations!$G$3:$G$10000,$A304,Evaluations!$Q$3:$Q$10000,1)/(COUNTIFS(Evaluations!$G$3:$G$10000,$A304,Evaluations!$Q$3:$Q$10000,1)+COUNTIFS(Evaluations!$G$3:$G$10000,$A304,Evaluations!$Q$3:$Q$10000,0)),2),""))</f>
        <v/>
      </c>
      <c r="H304" s="10" t="str">
        <f>IF($A304="","",IFERROR(ROUND(100*COUNTIFS(Evaluations!$G$3:$G$10000,$A304,Evaluations!$R$3:$R$10000,1)/(COUNTIFS(Evaluations!$G$3:$G$10000,$A304,Evaluations!$R$3:$R$10000,1)+COUNTIFS(Evaluations!$G$3:$G$10000,$A304,Evaluations!$R$3:$R$10000,0)),2),""))</f>
        <v/>
      </c>
      <c r="I304" s="10" t="str">
        <f>IF($A304="","",IFERROR(ROUND(100*COUNTIFS(Evaluations!$G$3:$G$10000,$A304,Evaluations!$S$3:$S$10000,1)/(COUNTIFS(Evaluations!$G$3:$G$10000,$A304,Evaluations!$S$3:$S$10000,1)+COUNTIFS(Evaluations!$G$3:$G$10000,$A304,Evaluations!$S$3:$S$10000,0)),2),""))</f>
        <v/>
      </c>
      <c r="J304" s="10" t="str">
        <f>IF($A304="","",IFERROR(ROUND(100*COUNTIFS(Evaluations!$G$3:$G$10000,$A304,Evaluations!$T$3:$T$10000,1)/(COUNTIFS(Evaluations!$G$3:$G$10000,$A304,Evaluations!$T$3:$T$10000,1)+COUNTIFS(Evaluations!$G$3:$G$10000,$A304,Evaluations!$T$3:$T$10000,0)),2),""))</f>
        <v/>
      </c>
      <c r="K304" s="10" t="str">
        <f>IF($A304="","",COUNTIFS(Evaluations!$G$3:$G$10000,$A304,Evaluations!$M$3:$M$10000,"عدم پاسخ"))</f>
        <v/>
      </c>
      <c r="L304" s="10" t="str">
        <f>IF($A304="","",COUNTIFS(Evaluations!$G$3:$G$10000,$A304,Evaluations!$O$3:$O$10000,"رعایت نشده"))</f>
        <v/>
      </c>
    </row>
    <row r="305">
      <c r="A305" s="10"/>
      <c r="B305" s="10" t="str">
        <f t="array" ref="B305">_xlfn.XLOOKUP(A305,DATA!D:D,DATA!E:E,"")</f>
        <v/>
      </c>
      <c r="C305" s="10" t="str">
        <f>IF($A305="","",COUNTIFS(Evaluations!$G$3:$G$10000,$A305,Evaluations!$U$3:$U$10000,"&gt;=0",Evaluations!$U$3:$U$10000,"&lt;=100"))</f>
        <v/>
      </c>
      <c r="D305" s="10" t="str">
        <f>IF(OR($A305="",C305=0),"",ROUND(SUMIFS(Evaluations!$U$3:$U$10000,Evaluations!$G$3:$G$10000,$A305)/C305,2))</f>
        <v/>
      </c>
      <c r="E305" s="10" t="str">
        <f>IF($A305="","",COUNTIFS(Evaluations!$G$3:$G$10000,$A305,Evaluations!$M$3:$M$10000,"پاسخ داده شده"))</f>
        <v/>
      </c>
      <c r="F305" s="10" t="str">
        <f>IF($A305="","",IFERROR(COUNTIFS(Evaluations!$G$3:$G$10000,$A305,Evaluations!$O$3:$O$10000,"رعایت شده")/(COUNTIFS(Evaluations!$G$3:$G$10000,$A305,Evaluations!$O$3:$O$10000,"رعایت شده")+COUNTIFS(Evaluations!$G$3:$G$10000,$A305,Evaluations!$O$3:$O$10000,"رعایت نشده")),""))</f>
        <v/>
      </c>
      <c r="G305" s="10" t="str">
        <f>IF($A305="","",IFERROR(ROUND(100*COUNTIFS(Evaluations!$G$3:$G$10000,$A305,Evaluations!$Q$3:$Q$10000,1)/(COUNTIFS(Evaluations!$G$3:$G$10000,$A305,Evaluations!$Q$3:$Q$10000,1)+COUNTIFS(Evaluations!$G$3:$G$10000,$A305,Evaluations!$Q$3:$Q$10000,0)),2),""))</f>
        <v/>
      </c>
      <c r="H305" s="10" t="str">
        <f>IF($A305="","",IFERROR(ROUND(100*COUNTIFS(Evaluations!$G$3:$G$10000,$A305,Evaluations!$R$3:$R$10000,1)/(COUNTIFS(Evaluations!$G$3:$G$10000,$A305,Evaluations!$R$3:$R$10000,1)+COUNTIFS(Evaluations!$G$3:$G$10000,$A305,Evaluations!$R$3:$R$10000,0)),2),""))</f>
        <v/>
      </c>
      <c r="I305" s="10" t="str">
        <f>IF($A305="","",IFERROR(ROUND(100*COUNTIFS(Evaluations!$G$3:$G$10000,$A305,Evaluations!$S$3:$S$10000,1)/(COUNTIFS(Evaluations!$G$3:$G$10000,$A305,Evaluations!$S$3:$S$10000,1)+COUNTIFS(Evaluations!$G$3:$G$10000,$A305,Evaluations!$S$3:$S$10000,0)),2),""))</f>
        <v/>
      </c>
      <c r="J305" s="10" t="str">
        <f>IF($A305="","",IFERROR(ROUND(100*COUNTIFS(Evaluations!$G$3:$G$10000,$A305,Evaluations!$T$3:$T$10000,1)/(COUNTIFS(Evaluations!$G$3:$G$10000,$A305,Evaluations!$T$3:$T$10000,1)+COUNTIFS(Evaluations!$G$3:$G$10000,$A305,Evaluations!$T$3:$T$10000,0)),2),""))</f>
        <v/>
      </c>
      <c r="K305" s="10" t="str">
        <f>IF($A305="","",COUNTIFS(Evaluations!$G$3:$G$10000,$A305,Evaluations!$M$3:$M$10000,"عدم پاسخ"))</f>
        <v/>
      </c>
      <c r="L305" s="10" t="str">
        <f>IF($A305="","",COUNTIFS(Evaluations!$G$3:$G$10000,$A305,Evaluations!$O$3:$O$10000,"رعایت نشده"))</f>
        <v/>
      </c>
    </row>
    <row r="306">
      <c r="A306" s="10"/>
      <c r="B306" s="10" t="str">
        <f t="array" ref="B306">_xlfn.XLOOKUP(A306,DATA!D:D,DATA!E:E,"")</f>
        <v/>
      </c>
      <c r="C306" s="10" t="str">
        <f>IF($A306="","",COUNTIFS(Evaluations!$G$3:$G$10000,$A306,Evaluations!$U$3:$U$10000,"&gt;=0",Evaluations!$U$3:$U$10000,"&lt;=100"))</f>
        <v/>
      </c>
      <c r="D306" s="10" t="str">
        <f>IF(OR($A306="",C306=0),"",ROUND(SUMIFS(Evaluations!$U$3:$U$10000,Evaluations!$G$3:$G$10000,$A306)/C306,2))</f>
        <v/>
      </c>
      <c r="E306" s="10" t="str">
        <f>IF($A306="","",COUNTIFS(Evaluations!$G$3:$G$10000,$A306,Evaluations!$M$3:$M$10000,"پاسخ داده شده"))</f>
        <v/>
      </c>
      <c r="F306" s="10" t="str">
        <f>IF($A306="","",IFERROR(COUNTIFS(Evaluations!$G$3:$G$10000,$A306,Evaluations!$O$3:$O$10000,"رعایت شده")/(COUNTIFS(Evaluations!$G$3:$G$10000,$A306,Evaluations!$O$3:$O$10000,"رعایت شده")+COUNTIFS(Evaluations!$G$3:$G$10000,$A306,Evaluations!$O$3:$O$10000,"رعایت نشده")),""))</f>
        <v/>
      </c>
      <c r="G306" s="10" t="str">
        <f>IF($A306="","",IFERROR(ROUND(100*COUNTIFS(Evaluations!$G$3:$G$10000,$A306,Evaluations!$Q$3:$Q$10000,1)/(COUNTIFS(Evaluations!$G$3:$G$10000,$A306,Evaluations!$Q$3:$Q$10000,1)+COUNTIFS(Evaluations!$G$3:$G$10000,$A306,Evaluations!$Q$3:$Q$10000,0)),2),""))</f>
        <v/>
      </c>
      <c r="H306" s="10" t="str">
        <f>IF($A306="","",IFERROR(ROUND(100*COUNTIFS(Evaluations!$G$3:$G$10000,$A306,Evaluations!$R$3:$R$10000,1)/(COUNTIFS(Evaluations!$G$3:$G$10000,$A306,Evaluations!$R$3:$R$10000,1)+COUNTIFS(Evaluations!$G$3:$G$10000,$A306,Evaluations!$R$3:$R$10000,0)),2),""))</f>
        <v/>
      </c>
      <c r="I306" s="10" t="str">
        <f>IF($A306="","",IFERROR(ROUND(100*COUNTIFS(Evaluations!$G$3:$G$10000,$A306,Evaluations!$S$3:$S$10000,1)/(COUNTIFS(Evaluations!$G$3:$G$10000,$A306,Evaluations!$S$3:$S$10000,1)+COUNTIFS(Evaluations!$G$3:$G$10000,$A306,Evaluations!$S$3:$S$10000,0)),2),""))</f>
        <v/>
      </c>
      <c r="J306" s="10" t="str">
        <f>IF($A306="","",IFERROR(ROUND(100*COUNTIFS(Evaluations!$G$3:$G$10000,$A306,Evaluations!$T$3:$T$10000,1)/(COUNTIFS(Evaluations!$G$3:$G$10000,$A306,Evaluations!$T$3:$T$10000,1)+COUNTIFS(Evaluations!$G$3:$G$10000,$A306,Evaluations!$T$3:$T$10000,0)),2),""))</f>
        <v/>
      </c>
      <c r="K306" s="10" t="str">
        <f>IF($A306="","",COUNTIFS(Evaluations!$G$3:$G$10000,$A306,Evaluations!$M$3:$M$10000,"عدم پاسخ"))</f>
        <v/>
      </c>
      <c r="L306" s="10" t="str">
        <f>IF($A306="","",COUNTIFS(Evaluations!$G$3:$G$10000,$A306,Evaluations!$O$3:$O$10000,"رعایت نشده"))</f>
        <v/>
      </c>
    </row>
    <row r="307">
      <c r="A307" s="10"/>
      <c r="B307" s="10" t="str">
        <f t="array" ref="B307">_xlfn.XLOOKUP(A307,DATA!D:D,DATA!E:E,"")</f>
        <v/>
      </c>
      <c r="C307" s="10" t="str">
        <f>IF($A307="","",COUNTIFS(Evaluations!$G$3:$G$10000,$A307,Evaluations!$U$3:$U$10000,"&gt;=0",Evaluations!$U$3:$U$10000,"&lt;=100"))</f>
        <v/>
      </c>
      <c r="D307" s="10" t="str">
        <f>IF(OR($A307="",C307=0),"",ROUND(SUMIFS(Evaluations!$U$3:$U$10000,Evaluations!$G$3:$G$10000,$A307)/C307,2))</f>
        <v/>
      </c>
      <c r="E307" s="10" t="str">
        <f>IF($A307="","",COUNTIFS(Evaluations!$G$3:$G$10000,$A307,Evaluations!$M$3:$M$10000,"پاسخ داده شده"))</f>
        <v/>
      </c>
      <c r="F307" s="10" t="str">
        <f>IF($A307="","",IFERROR(COUNTIFS(Evaluations!$G$3:$G$10000,$A307,Evaluations!$O$3:$O$10000,"رعایت شده")/(COUNTIFS(Evaluations!$G$3:$G$10000,$A307,Evaluations!$O$3:$O$10000,"رعایت شده")+COUNTIFS(Evaluations!$G$3:$G$10000,$A307,Evaluations!$O$3:$O$10000,"رعایت نشده")),""))</f>
        <v/>
      </c>
      <c r="G307" s="10" t="str">
        <f>IF($A307="","",IFERROR(ROUND(100*COUNTIFS(Evaluations!$G$3:$G$10000,$A307,Evaluations!$Q$3:$Q$10000,1)/(COUNTIFS(Evaluations!$G$3:$G$10000,$A307,Evaluations!$Q$3:$Q$10000,1)+COUNTIFS(Evaluations!$G$3:$G$10000,$A307,Evaluations!$Q$3:$Q$10000,0)),2),""))</f>
        <v/>
      </c>
      <c r="H307" s="10" t="str">
        <f>IF($A307="","",IFERROR(ROUND(100*COUNTIFS(Evaluations!$G$3:$G$10000,$A307,Evaluations!$R$3:$R$10000,1)/(COUNTIFS(Evaluations!$G$3:$G$10000,$A307,Evaluations!$R$3:$R$10000,1)+COUNTIFS(Evaluations!$G$3:$G$10000,$A307,Evaluations!$R$3:$R$10000,0)),2),""))</f>
        <v/>
      </c>
      <c r="I307" s="10" t="str">
        <f>IF($A307="","",IFERROR(ROUND(100*COUNTIFS(Evaluations!$G$3:$G$10000,$A307,Evaluations!$S$3:$S$10000,1)/(COUNTIFS(Evaluations!$G$3:$G$10000,$A307,Evaluations!$S$3:$S$10000,1)+COUNTIFS(Evaluations!$G$3:$G$10000,$A307,Evaluations!$S$3:$S$10000,0)),2),""))</f>
        <v/>
      </c>
      <c r="J307" s="10" t="str">
        <f>IF($A307="","",IFERROR(ROUND(100*COUNTIFS(Evaluations!$G$3:$G$10000,$A307,Evaluations!$T$3:$T$10000,1)/(COUNTIFS(Evaluations!$G$3:$G$10000,$A307,Evaluations!$T$3:$T$10000,1)+COUNTIFS(Evaluations!$G$3:$G$10000,$A307,Evaluations!$T$3:$T$10000,0)),2),""))</f>
        <v/>
      </c>
      <c r="K307" s="10" t="str">
        <f>IF($A307="","",COUNTIFS(Evaluations!$G$3:$G$10000,$A307,Evaluations!$M$3:$M$10000,"عدم پاسخ"))</f>
        <v/>
      </c>
      <c r="L307" s="10" t="str">
        <f>IF($A307="","",COUNTIFS(Evaluations!$G$3:$G$10000,$A307,Evaluations!$O$3:$O$10000,"رعایت نشده"))</f>
        <v/>
      </c>
    </row>
    <row r="308">
      <c r="A308" s="10"/>
      <c r="B308" s="10" t="str">
        <f t="array" ref="B308">_xlfn.XLOOKUP(A308,DATA!D:D,DATA!E:E,"")</f>
        <v/>
      </c>
      <c r="C308" s="10" t="str">
        <f>IF($A308="","",COUNTIFS(Evaluations!$G$3:$G$10000,$A308,Evaluations!$U$3:$U$10000,"&gt;=0",Evaluations!$U$3:$U$10000,"&lt;=100"))</f>
        <v/>
      </c>
      <c r="D308" s="10" t="str">
        <f>IF(OR($A308="",C308=0),"",ROUND(SUMIFS(Evaluations!$U$3:$U$10000,Evaluations!$G$3:$G$10000,$A308)/C308,2))</f>
        <v/>
      </c>
      <c r="E308" s="10" t="str">
        <f>IF($A308="","",COUNTIFS(Evaluations!$G$3:$G$10000,$A308,Evaluations!$M$3:$M$10000,"پاسخ داده شده"))</f>
        <v/>
      </c>
      <c r="F308" s="10" t="str">
        <f>IF($A308="","",IFERROR(COUNTIFS(Evaluations!$G$3:$G$10000,$A308,Evaluations!$O$3:$O$10000,"رعایت شده")/(COUNTIFS(Evaluations!$G$3:$G$10000,$A308,Evaluations!$O$3:$O$10000,"رعایت شده")+COUNTIFS(Evaluations!$G$3:$G$10000,$A308,Evaluations!$O$3:$O$10000,"رعایت نشده")),""))</f>
        <v/>
      </c>
      <c r="G308" s="10" t="str">
        <f>IF($A308="","",IFERROR(ROUND(100*COUNTIFS(Evaluations!$G$3:$G$10000,$A308,Evaluations!$Q$3:$Q$10000,1)/(COUNTIFS(Evaluations!$G$3:$G$10000,$A308,Evaluations!$Q$3:$Q$10000,1)+COUNTIFS(Evaluations!$G$3:$G$10000,$A308,Evaluations!$Q$3:$Q$10000,0)),2),""))</f>
        <v/>
      </c>
      <c r="H308" s="10" t="str">
        <f>IF($A308="","",IFERROR(ROUND(100*COUNTIFS(Evaluations!$G$3:$G$10000,$A308,Evaluations!$R$3:$R$10000,1)/(COUNTIFS(Evaluations!$G$3:$G$10000,$A308,Evaluations!$R$3:$R$10000,1)+COUNTIFS(Evaluations!$G$3:$G$10000,$A308,Evaluations!$R$3:$R$10000,0)),2),""))</f>
        <v/>
      </c>
      <c r="I308" s="10" t="str">
        <f>IF($A308="","",IFERROR(ROUND(100*COUNTIFS(Evaluations!$G$3:$G$10000,$A308,Evaluations!$S$3:$S$10000,1)/(COUNTIFS(Evaluations!$G$3:$G$10000,$A308,Evaluations!$S$3:$S$10000,1)+COUNTIFS(Evaluations!$G$3:$G$10000,$A308,Evaluations!$S$3:$S$10000,0)),2),""))</f>
        <v/>
      </c>
      <c r="J308" s="10" t="str">
        <f>IF($A308="","",IFERROR(ROUND(100*COUNTIFS(Evaluations!$G$3:$G$10000,$A308,Evaluations!$T$3:$T$10000,1)/(COUNTIFS(Evaluations!$G$3:$G$10000,$A308,Evaluations!$T$3:$T$10000,1)+COUNTIFS(Evaluations!$G$3:$G$10000,$A308,Evaluations!$T$3:$T$10000,0)),2),""))</f>
        <v/>
      </c>
      <c r="K308" s="10" t="str">
        <f>IF($A308="","",COUNTIFS(Evaluations!$G$3:$G$10000,$A308,Evaluations!$M$3:$M$10000,"عدم پاسخ"))</f>
        <v/>
      </c>
      <c r="L308" s="10" t="str">
        <f>IF($A308="","",COUNTIFS(Evaluations!$G$3:$G$10000,$A308,Evaluations!$O$3:$O$10000,"رعایت نشده"))</f>
        <v/>
      </c>
    </row>
    <row r="309">
      <c r="A309" s="10"/>
      <c r="B309" s="10" t="str">
        <f t="array" ref="B309">_xlfn.XLOOKUP(A309,DATA!D:D,DATA!E:E,"")</f>
        <v/>
      </c>
      <c r="C309" s="10" t="str">
        <f>IF($A309="","",COUNTIFS(Evaluations!$G$3:$G$10000,$A309,Evaluations!$U$3:$U$10000,"&gt;=0",Evaluations!$U$3:$U$10000,"&lt;=100"))</f>
        <v/>
      </c>
      <c r="D309" s="10" t="str">
        <f>IF(OR($A309="",C309=0),"",ROUND(SUMIFS(Evaluations!$U$3:$U$10000,Evaluations!$G$3:$G$10000,$A309)/C309,2))</f>
        <v/>
      </c>
      <c r="E309" s="10" t="str">
        <f>IF($A309="","",COUNTIFS(Evaluations!$G$3:$G$10000,$A309,Evaluations!$M$3:$M$10000,"پاسخ داده شده"))</f>
        <v/>
      </c>
      <c r="F309" s="10" t="str">
        <f>IF($A309="","",IFERROR(COUNTIFS(Evaluations!$G$3:$G$10000,$A309,Evaluations!$O$3:$O$10000,"رعایت شده")/(COUNTIFS(Evaluations!$G$3:$G$10000,$A309,Evaluations!$O$3:$O$10000,"رعایت شده")+COUNTIFS(Evaluations!$G$3:$G$10000,$A309,Evaluations!$O$3:$O$10000,"رعایت نشده")),""))</f>
        <v/>
      </c>
      <c r="G309" s="10" t="str">
        <f>IF($A309="","",IFERROR(ROUND(100*COUNTIFS(Evaluations!$G$3:$G$10000,$A309,Evaluations!$Q$3:$Q$10000,1)/(COUNTIFS(Evaluations!$G$3:$G$10000,$A309,Evaluations!$Q$3:$Q$10000,1)+COUNTIFS(Evaluations!$G$3:$G$10000,$A309,Evaluations!$Q$3:$Q$10000,0)),2),""))</f>
        <v/>
      </c>
      <c r="H309" s="10" t="str">
        <f>IF($A309="","",IFERROR(ROUND(100*COUNTIFS(Evaluations!$G$3:$G$10000,$A309,Evaluations!$R$3:$R$10000,1)/(COUNTIFS(Evaluations!$G$3:$G$10000,$A309,Evaluations!$R$3:$R$10000,1)+COUNTIFS(Evaluations!$G$3:$G$10000,$A309,Evaluations!$R$3:$R$10000,0)),2),""))</f>
        <v/>
      </c>
      <c r="I309" s="10" t="str">
        <f>IF($A309="","",IFERROR(ROUND(100*COUNTIFS(Evaluations!$G$3:$G$10000,$A309,Evaluations!$S$3:$S$10000,1)/(COUNTIFS(Evaluations!$G$3:$G$10000,$A309,Evaluations!$S$3:$S$10000,1)+COUNTIFS(Evaluations!$G$3:$G$10000,$A309,Evaluations!$S$3:$S$10000,0)),2),""))</f>
        <v/>
      </c>
      <c r="J309" s="10" t="str">
        <f>IF($A309="","",IFERROR(ROUND(100*COUNTIFS(Evaluations!$G$3:$G$10000,$A309,Evaluations!$T$3:$T$10000,1)/(COUNTIFS(Evaluations!$G$3:$G$10000,$A309,Evaluations!$T$3:$T$10000,1)+COUNTIFS(Evaluations!$G$3:$G$10000,$A309,Evaluations!$T$3:$T$10000,0)),2),""))</f>
        <v/>
      </c>
      <c r="K309" s="10" t="str">
        <f>IF($A309="","",COUNTIFS(Evaluations!$G$3:$G$10000,$A309,Evaluations!$M$3:$M$10000,"عدم پاسخ"))</f>
        <v/>
      </c>
      <c r="L309" s="10" t="str">
        <f>IF($A309="","",COUNTIFS(Evaluations!$G$3:$G$10000,$A309,Evaluations!$O$3:$O$10000,"رعایت نشده"))</f>
        <v/>
      </c>
    </row>
    <row r="310">
      <c r="A310" s="10"/>
      <c r="B310" s="10" t="str">
        <f t="array" ref="B310">_xlfn.XLOOKUP(A310,DATA!D:D,DATA!E:E,"")</f>
        <v/>
      </c>
      <c r="C310" s="10" t="str">
        <f>IF($A310="","",COUNTIFS(Evaluations!$G$3:$G$10000,$A310,Evaluations!$U$3:$U$10000,"&gt;=0",Evaluations!$U$3:$U$10000,"&lt;=100"))</f>
        <v/>
      </c>
      <c r="D310" s="10" t="str">
        <f>IF(OR($A310="",C310=0),"",ROUND(SUMIFS(Evaluations!$U$3:$U$10000,Evaluations!$G$3:$G$10000,$A310)/C310,2))</f>
        <v/>
      </c>
      <c r="E310" s="10" t="str">
        <f>IF($A310="","",COUNTIFS(Evaluations!$G$3:$G$10000,$A310,Evaluations!$M$3:$M$10000,"پاسخ داده شده"))</f>
        <v/>
      </c>
      <c r="F310" s="10" t="str">
        <f>IF($A310="","",IFERROR(COUNTIFS(Evaluations!$G$3:$G$10000,$A310,Evaluations!$O$3:$O$10000,"رعایت شده")/(COUNTIFS(Evaluations!$G$3:$G$10000,$A310,Evaluations!$O$3:$O$10000,"رعایت شده")+COUNTIFS(Evaluations!$G$3:$G$10000,$A310,Evaluations!$O$3:$O$10000,"رعایت نشده")),""))</f>
        <v/>
      </c>
      <c r="G310" s="10" t="str">
        <f>IF($A310="","",IFERROR(ROUND(100*COUNTIFS(Evaluations!$G$3:$G$10000,$A310,Evaluations!$Q$3:$Q$10000,1)/(COUNTIFS(Evaluations!$G$3:$G$10000,$A310,Evaluations!$Q$3:$Q$10000,1)+COUNTIFS(Evaluations!$G$3:$G$10000,$A310,Evaluations!$Q$3:$Q$10000,0)),2),""))</f>
        <v/>
      </c>
      <c r="H310" s="10" t="str">
        <f>IF($A310="","",IFERROR(ROUND(100*COUNTIFS(Evaluations!$G$3:$G$10000,$A310,Evaluations!$R$3:$R$10000,1)/(COUNTIFS(Evaluations!$G$3:$G$10000,$A310,Evaluations!$R$3:$R$10000,1)+COUNTIFS(Evaluations!$G$3:$G$10000,$A310,Evaluations!$R$3:$R$10000,0)),2),""))</f>
        <v/>
      </c>
      <c r="I310" s="10" t="str">
        <f>IF($A310="","",IFERROR(ROUND(100*COUNTIFS(Evaluations!$G$3:$G$10000,$A310,Evaluations!$S$3:$S$10000,1)/(COUNTIFS(Evaluations!$G$3:$G$10000,$A310,Evaluations!$S$3:$S$10000,1)+COUNTIFS(Evaluations!$G$3:$G$10000,$A310,Evaluations!$S$3:$S$10000,0)),2),""))</f>
        <v/>
      </c>
      <c r="J310" s="10" t="str">
        <f>IF($A310="","",IFERROR(ROUND(100*COUNTIFS(Evaluations!$G$3:$G$10000,$A310,Evaluations!$T$3:$T$10000,1)/(COUNTIFS(Evaluations!$G$3:$G$10000,$A310,Evaluations!$T$3:$T$10000,1)+COUNTIFS(Evaluations!$G$3:$G$10000,$A310,Evaluations!$T$3:$T$10000,0)),2),""))</f>
        <v/>
      </c>
      <c r="K310" s="10" t="str">
        <f>IF($A310="","",COUNTIFS(Evaluations!$G$3:$G$10000,$A310,Evaluations!$M$3:$M$10000,"عدم پاسخ"))</f>
        <v/>
      </c>
      <c r="L310" s="10" t="str">
        <f>IF($A310="","",COUNTIFS(Evaluations!$G$3:$G$10000,$A310,Evaluations!$O$3:$O$10000,"رعایت نشده"))</f>
        <v/>
      </c>
    </row>
    <row r="311">
      <c r="A311" s="10"/>
      <c r="B311" s="10" t="str">
        <f t="array" ref="B311">_xlfn.XLOOKUP(A311,DATA!D:D,DATA!E:E,"")</f>
        <v/>
      </c>
      <c r="C311" s="10" t="str">
        <f>IF($A311="","",COUNTIFS(Evaluations!$G$3:$G$10000,$A311,Evaluations!$U$3:$U$10000,"&gt;=0",Evaluations!$U$3:$U$10000,"&lt;=100"))</f>
        <v/>
      </c>
      <c r="D311" s="10" t="str">
        <f>IF(OR($A311="",C311=0),"",ROUND(SUMIFS(Evaluations!$U$3:$U$10000,Evaluations!$G$3:$G$10000,$A311)/C311,2))</f>
        <v/>
      </c>
      <c r="E311" s="10" t="str">
        <f>IF($A311="","",COUNTIFS(Evaluations!$G$3:$G$10000,$A311,Evaluations!$M$3:$M$10000,"پاسخ داده شده"))</f>
        <v/>
      </c>
      <c r="F311" s="10" t="str">
        <f>IF($A311="","",IFERROR(COUNTIFS(Evaluations!$G$3:$G$10000,$A311,Evaluations!$O$3:$O$10000,"رعایت شده")/(COUNTIFS(Evaluations!$G$3:$G$10000,$A311,Evaluations!$O$3:$O$10000,"رعایت شده")+COUNTIFS(Evaluations!$G$3:$G$10000,$A311,Evaluations!$O$3:$O$10000,"رعایت نشده")),""))</f>
        <v/>
      </c>
      <c r="G311" s="10" t="str">
        <f>IF($A311="","",IFERROR(ROUND(100*COUNTIFS(Evaluations!$G$3:$G$10000,$A311,Evaluations!$Q$3:$Q$10000,1)/(COUNTIFS(Evaluations!$G$3:$G$10000,$A311,Evaluations!$Q$3:$Q$10000,1)+COUNTIFS(Evaluations!$G$3:$G$10000,$A311,Evaluations!$Q$3:$Q$10000,0)),2),""))</f>
        <v/>
      </c>
      <c r="H311" s="10" t="str">
        <f>IF($A311="","",IFERROR(ROUND(100*COUNTIFS(Evaluations!$G$3:$G$10000,$A311,Evaluations!$R$3:$R$10000,1)/(COUNTIFS(Evaluations!$G$3:$G$10000,$A311,Evaluations!$R$3:$R$10000,1)+COUNTIFS(Evaluations!$G$3:$G$10000,$A311,Evaluations!$R$3:$R$10000,0)),2),""))</f>
        <v/>
      </c>
      <c r="I311" s="10" t="str">
        <f>IF($A311="","",IFERROR(ROUND(100*COUNTIFS(Evaluations!$G$3:$G$10000,$A311,Evaluations!$S$3:$S$10000,1)/(COUNTIFS(Evaluations!$G$3:$G$10000,$A311,Evaluations!$S$3:$S$10000,1)+COUNTIFS(Evaluations!$G$3:$G$10000,$A311,Evaluations!$S$3:$S$10000,0)),2),""))</f>
        <v/>
      </c>
      <c r="J311" s="10" t="str">
        <f>IF($A311="","",IFERROR(ROUND(100*COUNTIFS(Evaluations!$G$3:$G$10000,$A311,Evaluations!$T$3:$T$10000,1)/(COUNTIFS(Evaluations!$G$3:$G$10000,$A311,Evaluations!$T$3:$T$10000,1)+COUNTIFS(Evaluations!$G$3:$G$10000,$A311,Evaluations!$T$3:$T$10000,0)),2),""))</f>
        <v/>
      </c>
      <c r="K311" s="10" t="str">
        <f>IF($A311="","",COUNTIFS(Evaluations!$G$3:$G$10000,$A311,Evaluations!$M$3:$M$10000,"عدم پاسخ"))</f>
        <v/>
      </c>
      <c r="L311" s="10" t="str">
        <f>IF($A311="","",COUNTIFS(Evaluations!$G$3:$G$10000,$A311,Evaluations!$O$3:$O$10000,"رعایت نشده"))</f>
        <v/>
      </c>
    </row>
    <row r="312">
      <c r="A312" s="10"/>
      <c r="B312" s="10" t="str">
        <f t="array" ref="B312">_xlfn.XLOOKUP(A312,DATA!D:D,DATA!E:E,"")</f>
        <v/>
      </c>
      <c r="C312" s="10" t="str">
        <f>IF($A312="","",COUNTIFS(Evaluations!$G$3:$G$10000,$A312,Evaluations!$U$3:$U$10000,"&gt;=0",Evaluations!$U$3:$U$10000,"&lt;=100"))</f>
        <v/>
      </c>
      <c r="D312" s="10" t="str">
        <f>IF(OR($A312="",C312=0),"",ROUND(SUMIFS(Evaluations!$U$3:$U$10000,Evaluations!$G$3:$G$10000,$A312)/C312,2))</f>
        <v/>
      </c>
      <c r="E312" s="10" t="str">
        <f>IF($A312="","",COUNTIFS(Evaluations!$G$3:$G$10000,$A312,Evaluations!$M$3:$M$10000,"پاسخ داده شده"))</f>
        <v/>
      </c>
      <c r="F312" s="10" t="str">
        <f>IF($A312="","",IFERROR(COUNTIFS(Evaluations!$G$3:$G$10000,$A312,Evaluations!$O$3:$O$10000,"رعایت شده")/(COUNTIFS(Evaluations!$G$3:$G$10000,$A312,Evaluations!$O$3:$O$10000,"رعایت شده")+COUNTIFS(Evaluations!$G$3:$G$10000,$A312,Evaluations!$O$3:$O$10000,"رعایت نشده")),""))</f>
        <v/>
      </c>
      <c r="G312" s="10" t="str">
        <f>IF($A312="","",IFERROR(ROUND(100*COUNTIFS(Evaluations!$G$3:$G$10000,$A312,Evaluations!$Q$3:$Q$10000,1)/(COUNTIFS(Evaluations!$G$3:$G$10000,$A312,Evaluations!$Q$3:$Q$10000,1)+COUNTIFS(Evaluations!$G$3:$G$10000,$A312,Evaluations!$Q$3:$Q$10000,0)),2),""))</f>
        <v/>
      </c>
      <c r="H312" s="10" t="str">
        <f>IF($A312="","",IFERROR(ROUND(100*COUNTIFS(Evaluations!$G$3:$G$10000,$A312,Evaluations!$R$3:$R$10000,1)/(COUNTIFS(Evaluations!$G$3:$G$10000,$A312,Evaluations!$R$3:$R$10000,1)+COUNTIFS(Evaluations!$G$3:$G$10000,$A312,Evaluations!$R$3:$R$10000,0)),2),""))</f>
        <v/>
      </c>
      <c r="I312" s="10" t="str">
        <f>IF($A312="","",IFERROR(ROUND(100*COUNTIFS(Evaluations!$G$3:$G$10000,$A312,Evaluations!$S$3:$S$10000,1)/(COUNTIFS(Evaluations!$G$3:$G$10000,$A312,Evaluations!$S$3:$S$10000,1)+COUNTIFS(Evaluations!$G$3:$G$10000,$A312,Evaluations!$S$3:$S$10000,0)),2),""))</f>
        <v/>
      </c>
      <c r="J312" s="10" t="str">
        <f>IF($A312="","",IFERROR(ROUND(100*COUNTIFS(Evaluations!$G$3:$G$10000,$A312,Evaluations!$T$3:$T$10000,1)/(COUNTIFS(Evaluations!$G$3:$G$10000,$A312,Evaluations!$T$3:$T$10000,1)+COUNTIFS(Evaluations!$G$3:$G$10000,$A312,Evaluations!$T$3:$T$10000,0)),2),""))</f>
        <v/>
      </c>
      <c r="K312" s="10" t="str">
        <f>IF($A312="","",COUNTIFS(Evaluations!$G$3:$G$10000,$A312,Evaluations!$M$3:$M$10000,"عدم پاسخ"))</f>
        <v/>
      </c>
      <c r="L312" s="10" t="str">
        <f>IF($A312="","",COUNTIFS(Evaluations!$G$3:$G$10000,$A312,Evaluations!$O$3:$O$10000,"رعایت نشده"))</f>
        <v/>
      </c>
    </row>
    <row r="313">
      <c r="A313" s="10"/>
      <c r="B313" s="10" t="str">
        <f t="array" ref="B313">_xlfn.XLOOKUP(A313,DATA!D:D,DATA!E:E,"")</f>
        <v/>
      </c>
      <c r="C313" s="10" t="str">
        <f>IF($A313="","",COUNTIFS(Evaluations!$G$3:$G$10000,$A313,Evaluations!$U$3:$U$10000,"&gt;=0",Evaluations!$U$3:$U$10000,"&lt;=100"))</f>
        <v/>
      </c>
      <c r="D313" s="10" t="str">
        <f>IF(OR($A313="",C313=0),"",ROUND(SUMIFS(Evaluations!$U$3:$U$10000,Evaluations!$G$3:$G$10000,$A313)/C313,2))</f>
        <v/>
      </c>
      <c r="E313" s="10" t="str">
        <f>IF($A313="","",COUNTIFS(Evaluations!$G$3:$G$10000,$A313,Evaluations!$M$3:$M$10000,"پاسخ داده شده"))</f>
        <v/>
      </c>
      <c r="F313" s="10" t="str">
        <f>IF($A313="","",IFERROR(COUNTIFS(Evaluations!$G$3:$G$10000,$A313,Evaluations!$O$3:$O$10000,"رعایت شده")/(COUNTIFS(Evaluations!$G$3:$G$10000,$A313,Evaluations!$O$3:$O$10000,"رعایت شده")+COUNTIFS(Evaluations!$G$3:$G$10000,$A313,Evaluations!$O$3:$O$10000,"رعایت نشده")),""))</f>
        <v/>
      </c>
      <c r="G313" s="10" t="str">
        <f>IF($A313="","",IFERROR(ROUND(100*COUNTIFS(Evaluations!$G$3:$G$10000,$A313,Evaluations!$Q$3:$Q$10000,1)/(COUNTIFS(Evaluations!$G$3:$G$10000,$A313,Evaluations!$Q$3:$Q$10000,1)+COUNTIFS(Evaluations!$G$3:$G$10000,$A313,Evaluations!$Q$3:$Q$10000,0)),2),""))</f>
        <v/>
      </c>
      <c r="H313" s="10" t="str">
        <f>IF($A313="","",IFERROR(ROUND(100*COUNTIFS(Evaluations!$G$3:$G$10000,$A313,Evaluations!$R$3:$R$10000,1)/(COUNTIFS(Evaluations!$G$3:$G$10000,$A313,Evaluations!$R$3:$R$10000,1)+COUNTIFS(Evaluations!$G$3:$G$10000,$A313,Evaluations!$R$3:$R$10000,0)),2),""))</f>
        <v/>
      </c>
      <c r="I313" s="10" t="str">
        <f>IF($A313="","",IFERROR(ROUND(100*COUNTIFS(Evaluations!$G$3:$G$10000,$A313,Evaluations!$S$3:$S$10000,1)/(COUNTIFS(Evaluations!$G$3:$G$10000,$A313,Evaluations!$S$3:$S$10000,1)+COUNTIFS(Evaluations!$G$3:$G$10000,$A313,Evaluations!$S$3:$S$10000,0)),2),""))</f>
        <v/>
      </c>
      <c r="J313" s="10" t="str">
        <f>IF($A313="","",IFERROR(ROUND(100*COUNTIFS(Evaluations!$G$3:$G$10000,$A313,Evaluations!$T$3:$T$10000,1)/(COUNTIFS(Evaluations!$G$3:$G$10000,$A313,Evaluations!$T$3:$T$10000,1)+COUNTIFS(Evaluations!$G$3:$G$10000,$A313,Evaluations!$T$3:$T$10000,0)),2),""))</f>
        <v/>
      </c>
      <c r="K313" s="10" t="str">
        <f>IF($A313="","",COUNTIFS(Evaluations!$G$3:$G$10000,$A313,Evaluations!$M$3:$M$10000,"عدم پاسخ"))</f>
        <v/>
      </c>
      <c r="L313" s="10" t="str">
        <f>IF($A313="","",COUNTIFS(Evaluations!$G$3:$G$10000,$A313,Evaluations!$O$3:$O$10000,"رعایت نشده"))</f>
        <v/>
      </c>
    </row>
    <row r="314">
      <c r="A314" s="10"/>
      <c r="B314" s="10" t="str">
        <f t="array" ref="B314">_xlfn.XLOOKUP(A314,DATA!D:D,DATA!E:E,"")</f>
        <v/>
      </c>
      <c r="C314" s="10" t="str">
        <f>IF($A314="","",COUNTIFS(Evaluations!$G$3:$G$10000,$A314,Evaluations!$U$3:$U$10000,"&gt;=0",Evaluations!$U$3:$U$10000,"&lt;=100"))</f>
        <v/>
      </c>
      <c r="D314" s="10" t="str">
        <f>IF(OR($A314="",C314=0),"",ROUND(SUMIFS(Evaluations!$U$3:$U$10000,Evaluations!$G$3:$G$10000,$A314)/C314,2))</f>
        <v/>
      </c>
      <c r="E314" s="10" t="str">
        <f>IF($A314="","",COUNTIFS(Evaluations!$G$3:$G$10000,$A314,Evaluations!$M$3:$M$10000,"پاسخ داده شده"))</f>
        <v/>
      </c>
      <c r="F314" s="10" t="str">
        <f>IF($A314="","",IFERROR(COUNTIFS(Evaluations!$G$3:$G$10000,$A314,Evaluations!$O$3:$O$10000,"رعایت شده")/(COUNTIFS(Evaluations!$G$3:$G$10000,$A314,Evaluations!$O$3:$O$10000,"رعایت شده")+COUNTIFS(Evaluations!$G$3:$G$10000,$A314,Evaluations!$O$3:$O$10000,"رعایت نشده")),""))</f>
        <v/>
      </c>
      <c r="G314" s="10" t="str">
        <f>IF($A314="","",IFERROR(ROUND(100*COUNTIFS(Evaluations!$G$3:$G$10000,$A314,Evaluations!$Q$3:$Q$10000,1)/(COUNTIFS(Evaluations!$G$3:$G$10000,$A314,Evaluations!$Q$3:$Q$10000,1)+COUNTIFS(Evaluations!$G$3:$G$10000,$A314,Evaluations!$Q$3:$Q$10000,0)),2),""))</f>
        <v/>
      </c>
      <c r="H314" s="10" t="str">
        <f>IF($A314="","",IFERROR(ROUND(100*COUNTIFS(Evaluations!$G$3:$G$10000,$A314,Evaluations!$R$3:$R$10000,1)/(COUNTIFS(Evaluations!$G$3:$G$10000,$A314,Evaluations!$R$3:$R$10000,1)+COUNTIFS(Evaluations!$G$3:$G$10000,$A314,Evaluations!$R$3:$R$10000,0)),2),""))</f>
        <v/>
      </c>
      <c r="I314" s="10" t="str">
        <f>IF($A314="","",IFERROR(ROUND(100*COUNTIFS(Evaluations!$G$3:$G$10000,$A314,Evaluations!$S$3:$S$10000,1)/(COUNTIFS(Evaluations!$G$3:$G$10000,$A314,Evaluations!$S$3:$S$10000,1)+COUNTIFS(Evaluations!$G$3:$G$10000,$A314,Evaluations!$S$3:$S$10000,0)),2),""))</f>
        <v/>
      </c>
      <c r="J314" s="10" t="str">
        <f>IF($A314="","",IFERROR(ROUND(100*COUNTIFS(Evaluations!$G$3:$G$10000,$A314,Evaluations!$T$3:$T$10000,1)/(COUNTIFS(Evaluations!$G$3:$G$10000,$A314,Evaluations!$T$3:$T$10000,1)+COUNTIFS(Evaluations!$G$3:$G$10000,$A314,Evaluations!$T$3:$T$10000,0)),2),""))</f>
        <v/>
      </c>
      <c r="K314" s="10" t="str">
        <f>IF($A314="","",COUNTIFS(Evaluations!$G$3:$G$10000,$A314,Evaluations!$M$3:$M$10000,"عدم پاسخ"))</f>
        <v/>
      </c>
      <c r="L314" s="10" t="str">
        <f>IF($A314="","",COUNTIFS(Evaluations!$G$3:$G$10000,$A314,Evaluations!$O$3:$O$10000,"رعایت نشده"))</f>
        <v/>
      </c>
    </row>
    <row r="315">
      <c r="A315" s="10"/>
      <c r="B315" s="10" t="str">
        <f t="array" ref="B315">_xlfn.XLOOKUP(A315,DATA!D:D,DATA!E:E,"")</f>
        <v/>
      </c>
      <c r="C315" s="10" t="str">
        <f>IF($A315="","",COUNTIFS(Evaluations!$G$3:$G$10000,$A315,Evaluations!$U$3:$U$10000,"&gt;=0",Evaluations!$U$3:$U$10000,"&lt;=100"))</f>
        <v/>
      </c>
      <c r="D315" s="10" t="str">
        <f>IF(OR($A315="",C315=0),"",ROUND(SUMIFS(Evaluations!$U$3:$U$10000,Evaluations!$G$3:$G$10000,$A315)/C315,2))</f>
        <v/>
      </c>
      <c r="E315" s="10" t="str">
        <f>IF($A315="","",COUNTIFS(Evaluations!$G$3:$G$10000,$A315,Evaluations!$M$3:$M$10000,"پاسخ داده شده"))</f>
        <v/>
      </c>
      <c r="F315" s="10" t="str">
        <f>IF($A315="","",IFERROR(COUNTIFS(Evaluations!$G$3:$G$10000,$A315,Evaluations!$O$3:$O$10000,"رعایت شده")/(COUNTIFS(Evaluations!$G$3:$G$10000,$A315,Evaluations!$O$3:$O$10000,"رعایت شده")+COUNTIFS(Evaluations!$G$3:$G$10000,$A315,Evaluations!$O$3:$O$10000,"رعایت نشده")),""))</f>
        <v/>
      </c>
      <c r="G315" s="10" t="str">
        <f>IF($A315="","",IFERROR(ROUND(100*COUNTIFS(Evaluations!$G$3:$G$10000,$A315,Evaluations!$Q$3:$Q$10000,1)/(COUNTIFS(Evaluations!$G$3:$G$10000,$A315,Evaluations!$Q$3:$Q$10000,1)+COUNTIFS(Evaluations!$G$3:$G$10000,$A315,Evaluations!$Q$3:$Q$10000,0)),2),""))</f>
        <v/>
      </c>
      <c r="H315" s="10" t="str">
        <f>IF($A315="","",IFERROR(ROUND(100*COUNTIFS(Evaluations!$G$3:$G$10000,$A315,Evaluations!$R$3:$R$10000,1)/(COUNTIFS(Evaluations!$G$3:$G$10000,$A315,Evaluations!$R$3:$R$10000,1)+COUNTIFS(Evaluations!$G$3:$G$10000,$A315,Evaluations!$R$3:$R$10000,0)),2),""))</f>
        <v/>
      </c>
      <c r="I315" s="10" t="str">
        <f>IF($A315="","",IFERROR(ROUND(100*COUNTIFS(Evaluations!$G$3:$G$10000,$A315,Evaluations!$S$3:$S$10000,1)/(COUNTIFS(Evaluations!$G$3:$G$10000,$A315,Evaluations!$S$3:$S$10000,1)+COUNTIFS(Evaluations!$G$3:$G$10000,$A315,Evaluations!$S$3:$S$10000,0)),2),""))</f>
        <v/>
      </c>
      <c r="J315" s="10" t="str">
        <f>IF($A315="","",IFERROR(ROUND(100*COUNTIFS(Evaluations!$G$3:$G$10000,$A315,Evaluations!$T$3:$T$10000,1)/(COUNTIFS(Evaluations!$G$3:$G$10000,$A315,Evaluations!$T$3:$T$10000,1)+COUNTIFS(Evaluations!$G$3:$G$10000,$A315,Evaluations!$T$3:$T$10000,0)),2),""))</f>
        <v/>
      </c>
      <c r="K315" s="10" t="str">
        <f>IF($A315="","",COUNTIFS(Evaluations!$G$3:$G$10000,$A315,Evaluations!$M$3:$M$10000,"عدم پاسخ"))</f>
        <v/>
      </c>
      <c r="L315" s="10" t="str">
        <f>IF($A315="","",COUNTIFS(Evaluations!$G$3:$G$10000,$A315,Evaluations!$O$3:$O$10000,"رعایت نشده"))</f>
        <v/>
      </c>
    </row>
    <row r="316">
      <c r="A316" s="10"/>
      <c r="B316" s="10" t="str">
        <f t="array" ref="B316">_xlfn.XLOOKUP(A316,DATA!D:D,DATA!E:E,"")</f>
        <v/>
      </c>
      <c r="C316" s="10" t="str">
        <f>IF($A316="","",COUNTIFS(Evaluations!$G$3:$G$10000,$A316,Evaluations!$U$3:$U$10000,"&gt;=0",Evaluations!$U$3:$U$10000,"&lt;=100"))</f>
        <v/>
      </c>
      <c r="D316" s="10" t="str">
        <f>IF(OR($A316="",C316=0),"",ROUND(SUMIFS(Evaluations!$U$3:$U$10000,Evaluations!$G$3:$G$10000,$A316)/C316,2))</f>
        <v/>
      </c>
      <c r="E316" s="10" t="str">
        <f>IF($A316="","",COUNTIFS(Evaluations!$G$3:$G$10000,$A316,Evaluations!$M$3:$M$10000,"پاسخ داده شده"))</f>
        <v/>
      </c>
      <c r="F316" s="10" t="str">
        <f>IF($A316="","",IFERROR(COUNTIFS(Evaluations!$G$3:$G$10000,$A316,Evaluations!$O$3:$O$10000,"رعایت شده")/(COUNTIFS(Evaluations!$G$3:$G$10000,$A316,Evaluations!$O$3:$O$10000,"رعایت شده")+COUNTIFS(Evaluations!$G$3:$G$10000,$A316,Evaluations!$O$3:$O$10000,"رعایت نشده")),""))</f>
        <v/>
      </c>
      <c r="G316" s="10" t="str">
        <f>IF($A316="","",IFERROR(ROUND(100*COUNTIFS(Evaluations!$G$3:$G$10000,$A316,Evaluations!$Q$3:$Q$10000,1)/(COUNTIFS(Evaluations!$G$3:$G$10000,$A316,Evaluations!$Q$3:$Q$10000,1)+COUNTIFS(Evaluations!$G$3:$G$10000,$A316,Evaluations!$Q$3:$Q$10000,0)),2),""))</f>
        <v/>
      </c>
      <c r="H316" s="10" t="str">
        <f>IF($A316="","",IFERROR(ROUND(100*COUNTIFS(Evaluations!$G$3:$G$10000,$A316,Evaluations!$R$3:$R$10000,1)/(COUNTIFS(Evaluations!$G$3:$G$10000,$A316,Evaluations!$R$3:$R$10000,1)+COUNTIFS(Evaluations!$G$3:$G$10000,$A316,Evaluations!$R$3:$R$10000,0)),2),""))</f>
        <v/>
      </c>
      <c r="I316" s="10" t="str">
        <f>IF($A316="","",IFERROR(ROUND(100*COUNTIFS(Evaluations!$G$3:$G$10000,$A316,Evaluations!$S$3:$S$10000,1)/(COUNTIFS(Evaluations!$G$3:$G$10000,$A316,Evaluations!$S$3:$S$10000,1)+COUNTIFS(Evaluations!$G$3:$G$10000,$A316,Evaluations!$S$3:$S$10000,0)),2),""))</f>
        <v/>
      </c>
      <c r="J316" s="10" t="str">
        <f>IF($A316="","",IFERROR(ROUND(100*COUNTIFS(Evaluations!$G$3:$G$10000,$A316,Evaluations!$T$3:$T$10000,1)/(COUNTIFS(Evaluations!$G$3:$G$10000,$A316,Evaluations!$T$3:$T$10000,1)+COUNTIFS(Evaluations!$G$3:$G$10000,$A316,Evaluations!$T$3:$T$10000,0)),2),""))</f>
        <v/>
      </c>
      <c r="K316" s="10" t="str">
        <f>IF($A316="","",COUNTIFS(Evaluations!$G$3:$G$10000,$A316,Evaluations!$M$3:$M$10000,"عدم پاسخ"))</f>
        <v/>
      </c>
      <c r="L316" s="10" t="str">
        <f>IF($A316="","",COUNTIFS(Evaluations!$G$3:$G$10000,$A316,Evaluations!$O$3:$O$10000,"رعایت نشده"))</f>
        <v/>
      </c>
    </row>
    <row r="317">
      <c r="A317" s="10"/>
      <c r="B317" s="10" t="str">
        <f t="array" ref="B317">_xlfn.XLOOKUP(A317,DATA!D:D,DATA!E:E,"")</f>
        <v/>
      </c>
      <c r="C317" s="10" t="str">
        <f>IF($A317="","",COUNTIFS(Evaluations!$G$3:$G$10000,$A317,Evaluations!$U$3:$U$10000,"&gt;=0",Evaluations!$U$3:$U$10000,"&lt;=100"))</f>
        <v/>
      </c>
      <c r="D317" s="10" t="str">
        <f>IF(OR($A317="",C317=0),"",ROUND(SUMIFS(Evaluations!$U$3:$U$10000,Evaluations!$G$3:$G$10000,$A317)/C317,2))</f>
        <v/>
      </c>
      <c r="E317" s="10" t="str">
        <f>IF($A317="","",COUNTIFS(Evaluations!$G$3:$G$10000,$A317,Evaluations!$M$3:$M$10000,"پاسخ داده شده"))</f>
        <v/>
      </c>
      <c r="F317" s="10" t="str">
        <f>IF($A317="","",IFERROR(COUNTIFS(Evaluations!$G$3:$G$10000,$A317,Evaluations!$O$3:$O$10000,"رعایت شده")/(COUNTIFS(Evaluations!$G$3:$G$10000,$A317,Evaluations!$O$3:$O$10000,"رعایت شده")+COUNTIFS(Evaluations!$G$3:$G$10000,$A317,Evaluations!$O$3:$O$10000,"رعایت نشده")),""))</f>
        <v/>
      </c>
      <c r="G317" s="10" t="str">
        <f>IF($A317="","",IFERROR(ROUND(100*COUNTIFS(Evaluations!$G$3:$G$10000,$A317,Evaluations!$Q$3:$Q$10000,1)/(COUNTIFS(Evaluations!$G$3:$G$10000,$A317,Evaluations!$Q$3:$Q$10000,1)+COUNTIFS(Evaluations!$G$3:$G$10000,$A317,Evaluations!$Q$3:$Q$10000,0)),2),""))</f>
        <v/>
      </c>
      <c r="H317" s="10" t="str">
        <f>IF($A317="","",IFERROR(ROUND(100*COUNTIFS(Evaluations!$G$3:$G$10000,$A317,Evaluations!$R$3:$R$10000,1)/(COUNTIFS(Evaluations!$G$3:$G$10000,$A317,Evaluations!$R$3:$R$10000,1)+COUNTIFS(Evaluations!$G$3:$G$10000,$A317,Evaluations!$R$3:$R$10000,0)),2),""))</f>
        <v/>
      </c>
      <c r="I317" s="10" t="str">
        <f>IF($A317="","",IFERROR(ROUND(100*COUNTIFS(Evaluations!$G$3:$G$10000,$A317,Evaluations!$S$3:$S$10000,1)/(COUNTIFS(Evaluations!$G$3:$G$10000,$A317,Evaluations!$S$3:$S$10000,1)+COUNTIFS(Evaluations!$G$3:$G$10000,$A317,Evaluations!$S$3:$S$10000,0)),2),""))</f>
        <v/>
      </c>
      <c r="J317" s="10" t="str">
        <f>IF($A317="","",IFERROR(ROUND(100*COUNTIFS(Evaluations!$G$3:$G$10000,$A317,Evaluations!$T$3:$T$10000,1)/(COUNTIFS(Evaluations!$G$3:$G$10000,$A317,Evaluations!$T$3:$T$10000,1)+COUNTIFS(Evaluations!$G$3:$G$10000,$A317,Evaluations!$T$3:$T$10000,0)),2),""))</f>
        <v/>
      </c>
      <c r="K317" s="10" t="str">
        <f>IF($A317="","",COUNTIFS(Evaluations!$G$3:$G$10000,$A317,Evaluations!$M$3:$M$10000,"عدم پاسخ"))</f>
        <v/>
      </c>
      <c r="L317" s="10" t="str">
        <f>IF($A317="","",COUNTIFS(Evaluations!$G$3:$G$10000,$A317,Evaluations!$O$3:$O$10000,"رعایت نشده"))</f>
        <v/>
      </c>
    </row>
    <row r="318">
      <c r="A318" s="10"/>
      <c r="B318" s="10" t="str">
        <f t="array" ref="B318">_xlfn.XLOOKUP(A318,DATA!D:D,DATA!E:E,"")</f>
        <v/>
      </c>
      <c r="C318" s="10" t="str">
        <f>IF($A318="","",COUNTIFS(Evaluations!$G$3:$G$10000,$A318,Evaluations!$U$3:$U$10000,"&gt;=0",Evaluations!$U$3:$U$10000,"&lt;=100"))</f>
        <v/>
      </c>
      <c r="D318" s="10" t="str">
        <f>IF(OR($A318="",C318=0),"",ROUND(SUMIFS(Evaluations!$U$3:$U$10000,Evaluations!$G$3:$G$10000,$A318)/C318,2))</f>
        <v/>
      </c>
      <c r="E318" s="10" t="str">
        <f>IF($A318="","",COUNTIFS(Evaluations!$G$3:$G$10000,$A318,Evaluations!$M$3:$M$10000,"پاسخ داده شده"))</f>
        <v/>
      </c>
      <c r="F318" s="10" t="str">
        <f>IF($A318="","",IFERROR(COUNTIFS(Evaluations!$G$3:$G$10000,$A318,Evaluations!$O$3:$O$10000,"رعایت شده")/(COUNTIFS(Evaluations!$G$3:$G$10000,$A318,Evaluations!$O$3:$O$10000,"رعایت شده")+COUNTIFS(Evaluations!$G$3:$G$10000,$A318,Evaluations!$O$3:$O$10000,"رعایت نشده")),""))</f>
        <v/>
      </c>
      <c r="G318" s="10" t="str">
        <f>IF($A318="","",IFERROR(ROUND(100*COUNTIFS(Evaluations!$G$3:$G$10000,$A318,Evaluations!$Q$3:$Q$10000,1)/(COUNTIFS(Evaluations!$G$3:$G$10000,$A318,Evaluations!$Q$3:$Q$10000,1)+COUNTIFS(Evaluations!$G$3:$G$10000,$A318,Evaluations!$Q$3:$Q$10000,0)),2),""))</f>
        <v/>
      </c>
      <c r="H318" s="10" t="str">
        <f>IF($A318="","",IFERROR(ROUND(100*COUNTIFS(Evaluations!$G$3:$G$10000,$A318,Evaluations!$R$3:$R$10000,1)/(COUNTIFS(Evaluations!$G$3:$G$10000,$A318,Evaluations!$R$3:$R$10000,1)+COUNTIFS(Evaluations!$G$3:$G$10000,$A318,Evaluations!$R$3:$R$10000,0)),2),""))</f>
        <v/>
      </c>
      <c r="I318" s="10" t="str">
        <f>IF($A318="","",IFERROR(ROUND(100*COUNTIFS(Evaluations!$G$3:$G$10000,$A318,Evaluations!$S$3:$S$10000,1)/(COUNTIFS(Evaluations!$G$3:$G$10000,$A318,Evaluations!$S$3:$S$10000,1)+COUNTIFS(Evaluations!$G$3:$G$10000,$A318,Evaluations!$S$3:$S$10000,0)),2),""))</f>
        <v/>
      </c>
      <c r="J318" s="10" t="str">
        <f>IF($A318="","",IFERROR(ROUND(100*COUNTIFS(Evaluations!$G$3:$G$10000,$A318,Evaluations!$T$3:$T$10000,1)/(COUNTIFS(Evaluations!$G$3:$G$10000,$A318,Evaluations!$T$3:$T$10000,1)+COUNTIFS(Evaluations!$G$3:$G$10000,$A318,Evaluations!$T$3:$T$10000,0)),2),""))</f>
        <v/>
      </c>
      <c r="K318" s="10" t="str">
        <f>IF($A318="","",COUNTIFS(Evaluations!$G$3:$G$10000,$A318,Evaluations!$M$3:$M$10000,"عدم پاسخ"))</f>
        <v/>
      </c>
      <c r="L318" s="10" t="str">
        <f>IF($A318="","",COUNTIFS(Evaluations!$G$3:$G$10000,$A318,Evaluations!$O$3:$O$10000,"رعایت نشده"))</f>
        <v/>
      </c>
    </row>
    <row r="319">
      <c r="A319" s="10"/>
      <c r="B319" s="10" t="str">
        <f t="array" ref="B319">_xlfn.XLOOKUP(A319,DATA!D:D,DATA!E:E,"")</f>
        <v/>
      </c>
      <c r="C319" s="10" t="str">
        <f>IF($A319="","",COUNTIFS(Evaluations!$G$3:$G$10000,$A319,Evaluations!$U$3:$U$10000,"&gt;=0",Evaluations!$U$3:$U$10000,"&lt;=100"))</f>
        <v/>
      </c>
      <c r="D319" s="10" t="str">
        <f>IF(OR($A319="",C319=0),"",ROUND(SUMIFS(Evaluations!$U$3:$U$10000,Evaluations!$G$3:$G$10000,$A319)/C319,2))</f>
        <v/>
      </c>
      <c r="E319" s="10" t="str">
        <f>IF($A319="","",COUNTIFS(Evaluations!$G$3:$G$10000,$A319,Evaluations!$M$3:$M$10000,"پاسخ داده شده"))</f>
        <v/>
      </c>
      <c r="F319" s="10" t="str">
        <f>IF($A319="","",IFERROR(COUNTIFS(Evaluations!$G$3:$G$10000,$A319,Evaluations!$O$3:$O$10000,"رعایت شده")/(COUNTIFS(Evaluations!$G$3:$G$10000,$A319,Evaluations!$O$3:$O$10000,"رعایت شده")+COUNTIFS(Evaluations!$G$3:$G$10000,$A319,Evaluations!$O$3:$O$10000,"رعایت نشده")),""))</f>
        <v/>
      </c>
      <c r="G319" s="10" t="str">
        <f>IF($A319="","",IFERROR(ROUND(100*COUNTIFS(Evaluations!$G$3:$G$10000,$A319,Evaluations!$Q$3:$Q$10000,1)/(COUNTIFS(Evaluations!$G$3:$G$10000,$A319,Evaluations!$Q$3:$Q$10000,1)+COUNTIFS(Evaluations!$G$3:$G$10000,$A319,Evaluations!$Q$3:$Q$10000,0)),2),""))</f>
        <v/>
      </c>
      <c r="H319" s="10" t="str">
        <f>IF($A319="","",IFERROR(ROUND(100*COUNTIFS(Evaluations!$G$3:$G$10000,$A319,Evaluations!$R$3:$R$10000,1)/(COUNTIFS(Evaluations!$G$3:$G$10000,$A319,Evaluations!$R$3:$R$10000,1)+COUNTIFS(Evaluations!$G$3:$G$10000,$A319,Evaluations!$R$3:$R$10000,0)),2),""))</f>
        <v/>
      </c>
      <c r="I319" s="10" t="str">
        <f>IF($A319="","",IFERROR(ROUND(100*COUNTIFS(Evaluations!$G$3:$G$10000,$A319,Evaluations!$S$3:$S$10000,1)/(COUNTIFS(Evaluations!$G$3:$G$10000,$A319,Evaluations!$S$3:$S$10000,1)+COUNTIFS(Evaluations!$G$3:$G$10000,$A319,Evaluations!$S$3:$S$10000,0)),2),""))</f>
        <v/>
      </c>
      <c r="J319" s="10" t="str">
        <f>IF($A319="","",IFERROR(ROUND(100*COUNTIFS(Evaluations!$G$3:$G$10000,$A319,Evaluations!$T$3:$T$10000,1)/(COUNTIFS(Evaluations!$G$3:$G$10000,$A319,Evaluations!$T$3:$T$10000,1)+COUNTIFS(Evaluations!$G$3:$G$10000,$A319,Evaluations!$T$3:$T$10000,0)),2),""))</f>
        <v/>
      </c>
      <c r="K319" s="10" t="str">
        <f>IF($A319="","",COUNTIFS(Evaluations!$G$3:$G$10000,$A319,Evaluations!$M$3:$M$10000,"عدم پاسخ"))</f>
        <v/>
      </c>
      <c r="L319" s="10" t="str">
        <f>IF($A319="","",COUNTIFS(Evaluations!$G$3:$G$10000,$A319,Evaluations!$O$3:$O$10000,"رعایت نشده"))</f>
        <v/>
      </c>
    </row>
    <row r="320">
      <c r="A320" s="10"/>
      <c r="B320" s="10" t="str">
        <f t="array" ref="B320">_xlfn.XLOOKUP(A320,DATA!D:D,DATA!E:E,"")</f>
        <v/>
      </c>
      <c r="C320" s="10" t="str">
        <f>IF($A320="","",COUNTIFS(Evaluations!$G$3:$G$10000,$A320,Evaluations!$U$3:$U$10000,"&gt;=0",Evaluations!$U$3:$U$10000,"&lt;=100"))</f>
        <v/>
      </c>
      <c r="D320" s="10" t="str">
        <f>IF(OR($A320="",C320=0),"",ROUND(SUMIFS(Evaluations!$U$3:$U$10000,Evaluations!$G$3:$G$10000,$A320)/C320,2))</f>
        <v/>
      </c>
      <c r="E320" s="10" t="str">
        <f>IF($A320="","",COUNTIFS(Evaluations!$G$3:$G$10000,$A320,Evaluations!$M$3:$M$10000,"پاسخ داده شده"))</f>
        <v/>
      </c>
      <c r="F320" s="10" t="str">
        <f>IF($A320="","",IFERROR(COUNTIFS(Evaluations!$G$3:$G$10000,$A320,Evaluations!$O$3:$O$10000,"رعایت شده")/(COUNTIFS(Evaluations!$G$3:$G$10000,$A320,Evaluations!$O$3:$O$10000,"رعایت شده")+COUNTIFS(Evaluations!$G$3:$G$10000,$A320,Evaluations!$O$3:$O$10000,"رعایت نشده")),""))</f>
        <v/>
      </c>
      <c r="G320" s="10" t="str">
        <f>IF($A320="","",IFERROR(ROUND(100*COUNTIFS(Evaluations!$G$3:$G$10000,$A320,Evaluations!$Q$3:$Q$10000,1)/(COUNTIFS(Evaluations!$G$3:$G$10000,$A320,Evaluations!$Q$3:$Q$10000,1)+COUNTIFS(Evaluations!$G$3:$G$10000,$A320,Evaluations!$Q$3:$Q$10000,0)),2),""))</f>
        <v/>
      </c>
      <c r="H320" s="10" t="str">
        <f>IF($A320="","",IFERROR(ROUND(100*COUNTIFS(Evaluations!$G$3:$G$10000,$A320,Evaluations!$R$3:$R$10000,1)/(COUNTIFS(Evaluations!$G$3:$G$10000,$A320,Evaluations!$R$3:$R$10000,1)+COUNTIFS(Evaluations!$G$3:$G$10000,$A320,Evaluations!$R$3:$R$10000,0)),2),""))</f>
        <v/>
      </c>
      <c r="I320" s="10" t="str">
        <f>IF($A320="","",IFERROR(ROUND(100*COUNTIFS(Evaluations!$G$3:$G$10000,$A320,Evaluations!$S$3:$S$10000,1)/(COUNTIFS(Evaluations!$G$3:$G$10000,$A320,Evaluations!$S$3:$S$10000,1)+COUNTIFS(Evaluations!$G$3:$G$10000,$A320,Evaluations!$S$3:$S$10000,0)),2),""))</f>
        <v/>
      </c>
      <c r="J320" s="10" t="str">
        <f>IF($A320="","",IFERROR(ROUND(100*COUNTIFS(Evaluations!$G$3:$G$10000,$A320,Evaluations!$T$3:$T$10000,1)/(COUNTIFS(Evaluations!$G$3:$G$10000,$A320,Evaluations!$T$3:$T$10000,1)+COUNTIFS(Evaluations!$G$3:$G$10000,$A320,Evaluations!$T$3:$T$10000,0)),2),""))</f>
        <v/>
      </c>
      <c r="K320" s="10" t="str">
        <f>IF($A320="","",COUNTIFS(Evaluations!$G$3:$G$10000,$A320,Evaluations!$M$3:$M$10000,"عدم پاسخ"))</f>
        <v/>
      </c>
      <c r="L320" s="10" t="str">
        <f>IF($A320="","",COUNTIFS(Evaluations!$G$3:$G$10000,$A320,Evaluations!$O$3:$O$10000,"رعایت نشده"))</f>
        <v/>
      </c>
    </row>
    <row r="321">
      <c r="A321" s="10"/>
      <c r="B321" s="10" t="str">
        <f t="array" ref="B321">_xlfn.XLOOKUP(A321,DATA!D:D,DATA!E:E,"")</f>
        <v/>
      </c>
      <c r="C321" s="10" t="str">
        <f>IF($A321="","",COUNTIFS(Evaluations!$G$3:$G$10000,$A321,Evaluations!$U$3:$U$10000,"&gt;=0",Evaluations!$U$3:$U$10000,"&lt;=100"))</f>
        <v/>
      </c>
      <c r="D321" s="10" t="str">
        <f>IF(OR($A321="",C321=0),"",ROUND(SUMIFS(Evaluations!$U$3:$U$10000,Evaluations!$G$3:$G$10000,$A321)/C321,2))</f>
        <v/>
      </c>
      <c r="E321" s="10" t="str">
        <f>IF($A321="","",COUNTIFS(Evaluations!$G$3:$G$10000,$A321,Evaluations!$M$3:$M$10000,"پاسخ داده شده"))</f>
        <v/>
      </c>
      <c r="F321" s="10" t="str">
        <f>IF($A321="","",IFERROR(COUNTIFS(Evaluations!$G$3:$G$10000,$A321,Evaluations!$O$3:$O$10000,"رعایت شده")/(COUNTIFS(Evaluations!$G$3:$G$10000,$A321,Evaluations!$O$3:$O$10000,"رعایت شده")+COUNTIFS(Evaluations!$G$3:$G$10000,$A321,Evaluations!$O$3:$O$10000,"رعایت نشده")),""))</f>
        <v/>
      </c>
      <c r="G321" s="10" t="str">
        <f>IF($A321="","",IFERROR(ROUND(100*COUNTIFS(Evaluations!$G$3:$G$10000,$A321,Evaluations!$Q$3:$Q$10000,1)/(COUNTIFS(Evaluations!$G$3:$G$10000,$A321,Evaluations!$Q$3:$Q$10000,1)+COUNTIFS(Evaluations!$G$3:$G$10000,$A321,Evaluations!$Q$3:$Q$10000,0)),2),""))</f>
        <v/>
      </c>
      <c r="H321" s="10" t="str">
        <f>IF($A321="","",IFERROR(ROUND(100*COUNTIFS(Evaluations!$G$3:$G$10000,$A321,Evaluations!$R$3:$R$10000,1)/(COUNTIFS(Evaluations!$G$3:$G$10000,$A321,Evaluations!$R$3:$R$10000,1)+COUNTIFS(Evaluations!$G$3:$G$10000,$A321,Evaluations!$R$3:$R$10000,0)),2),""))</f>
        <v/>
      </c>
      <c r="I321" s="10" t="str">
        <f>IF($A321="","",IFERROR(ROUND(100*COUNTIFS(Evaluations!$G$3:$G$10000,$A321,Evaluations!$S$3:$S$10000,1)/(COUNTIFS(Evaluations!$G$3:$G$10000,$A321,Evaluations!$S$3:$S$10000,1)+COUNTIFS(Evaluations!$G$3:$G$10000,$A321,Evaluations!$S$3:$S$10000,0)),2),""))</f>
        <v/>
      </c>
      <c r="J321" s="10" t="str">
        <f>IF($A321="","",IFERROR(ROUND(100*COUNTIFS(Evaluations!$G$3:$G$10000,$A321,Evaluations!$T$3:$T$10000,1)/(COUNTIFS(Evaluations!$G$3:$G$10000,$A321,Evaluations!$T$3:$T$10000,1)+COUNTIFS(Evaluations!$G$3:$G$10000,$A321,Evaluations!$T$3:$T$10000,0)),2),""))</f>
        <v/>
      </c>
      <c r="K321" s="10" t="str">
        <f>IF($A321="","",COUNTIFS(Evaluations!$G$3:$G$10000,$A321,Evaluations!$M$3:$M$10000,"عدم پاسخ"))</f>
        <v/>
      </c>
      <c r="L321" s="10" t="str">
        <f>IF($A321="","",COUNTIFS(Evaluations!$G$3:$G$10000,$A321,Evaluations!$O$3:$O$10000,"رعایت نشده"))</f>
        <v/>
      </c>
    </row>
    <row r="322">
      <c r="A322" s="10"/>
      <c r="B322" s="10" t="str">
        <f t="array" ref="B322">_xlfn.XLOOKUP(A322,DATA!D:D,DATA!E:E,"")</f>
        <v/>
      </c>
      <c r="C322" s="10" t="str">
        <f>IF($A322="","",COUNTIFS(Evaluations!$G$3:$G$10000,$A322,Evaluations!$U$3:$U$10000,"&gt;=0",Evaluations!$U$3:$U$10000,"&lt;=100"))</f>
        <v/>
      </c>
      <c r="D322" s="10" t="str">
        <f>IF(OR($A322="",C322=0),"",ROUND(SUMIFS(Evaluations!$U$3:$U$10000,Evaluations!$G$3:$G$10000,$A322)/C322,2))</f>
        <v/>
      </c>
      <c r="E322" s="10" t="str">
        <f>IF($A322="","",COUNTIFS(Evaluations!$G$3:$G$10000,$A322,Evaluations!$M$3:$M$10000,"پاسخ داده شده"))</f>
        <v/>
      </c>
      <c r="F322" s="10" t="str">
        <f>IF($A322="","",IFERROR(COUNTIFS(Evaluations!$G$3:$G$10000,$A322,Evaluations!$O$3:$O$10000,"رعایت شده")/(COUNTIFS(Evaluations!$G$3:$G$10000,$A322,Evaluations!$O$3:$O$10000,"رعایت شده")+COUNTIFS(Evaluations!$G$3:$G$10000,$A322,Evaluations!$O$3:$O$10000,"رعایت نشده")),""))</f>
        <v/>
      </c>
      <c r="G322" s="10" t="str">
        <f>IF($A322="","",IFERROR(ROUND(100*COUNTIFS(Evaluations!$G$3:$G$10000,$A322,Evaluations!$Q$3:$Q$10000,1)/(COUNTIFS(Evaluations!$G$3:$G$10000,$A322,Evaluations!$Q$3:$Q$10000,1)+COUNTIFS(Evaluations!$G$3:$G$10000,$A322,Evaluations!$Q$3:$Q$10000,0)),2),""))</f>
        <v/>
      </c>
      <c r="H322" s="10" t="str">
        <f>IF($A322="","",IFERROR(ROUND(100*COUNTIFS(Evaluations!$G$3:$G$10000,$A322,Evaluations!$R$3:$R$10000,1)/(COUNTIFS(Evaluations!$G$3:$G$10000,$A322,Evaluations!$R$3:$R$10000,1)+COUNTIFS(Evaluations!$G$3:$G$10000,$A322,Evaluations!$R$3:$R$10000,0)),2),""))</f>
        <v/>
      </c>
      <c r="I322" s="10" t="str">
        <f>IF($A322="","",IFERROR(ROUND(100*COUNTIFS(Evaluations!$G$3:$G$10000,$A322,Evaluations!$S$3:$S$10000,1)/(COUNTIFS(Evaluations!$G$3:$G$10000,$A322,Evaluations!$S$3:$S$10000,1)+COUNTIFS(Evaluations!$G$3:$G$10000,$A322,Evaluations!$S$3:$S$10000,0)),2),""))</f>
        <v/>
      </c>
      <c r="J322" s="10" t="str">
        <f>IF($A322="","",IFERROR(ROUND(100*COUNTIFS(Evaluations!$G$3:$G$10000,$A322,Evaluations!$T$3:$T$10000,1)/(COUNTIFS(Evaluations!$G$3:$G$10000,$A322,Evaluations!$T$3:$T$10000,1)+COUNTIFS(Evaluations!$G$3:$G$10000,$A322,Evaluations!$T$3:$T$10000,0)),2),""))</f>
        <v/>
      </c>
      <c r="K322" s="10" t="str">
        <f>IF($A322="","",COUNTIFS(Evaluations!$G$3:$G$10000,$A322,Evaluations!$M$3:$M$10000,"عدم پاسخ"))</f>
        <v/>
      </c>
      <c r="L322" s="10" t="str">
        <f>IF($A322="","",COUNTIFS(Evaluations!$G$3:$G$10000,$A322,Evaluations!$O$3:$O$10000,"رعایت نشده"))</f>
        <v/>
      </c>
    </row>
    <row r="323">
      <c r="A323" s="10"/>
      <c r="B323" s="10" t="str">
        <f t="array" ref="B323">_xlfn.XLOOKUP(A323,DATA!D:D,DATA!E:E,"")</f>
        <v/>
      </c>
      <c r="C323" s="10" t="str">
        <f>IF($A323="","",COUNTIFS(Evaluations!$G$3:$G$10000,$A323,Evaluations!$U$3:$U$10000,"&gt;=0",Evaluations!$U$3:$U$10000,"&lt;=100"))</f>
        <v/>
      </c>
      <c r="D323" s="10" t="str">
        <f>IF(OR($A323="",C323=0),"",ROUND(SUMIFS(Evaluations!$U$3:$U$10000,Evaluations!$G$3:$G$10000,$A323)/C323,2))</f>
        <v/>
      </c>
      <c r="E323" s="10" t="str">
        <f>IF($A323="","",COUNTIFS(Evaluations!$G$3:$G$10000,$A323,Evaluations!$M$3:$M$10000,"پاسخ داده شده"))</f>
        <v/>
      </c>
      <c r="F323" s="10" t="str">
        <f>IF($A323="","",IFERROR(COUNTIFS(Evaluations!$G$3:$G$10000,$A323,Evaluations!$O$3:$O$10000,"رعایت شده")/(COUNTIFS(Evaluations!$G$3:$G$10000,$A323,Evaluations!$O$3:$O$10000,"رعایت شده")+COUNTIFS(Evaluations!$G$3:$G$10000,$A323,Evaluations!$O$3:$O$10000,"رعایت نشده")),""))</f>
        <v/>
      </c>
      <c r="G323" s="10" t="str">
        <f>IF($A323="","",IFERROR(ROUND(100*COUNTIFS(Evaluations!$G$3:$G$10000,$A323,Evaluations!$Q$3:$Q$10000,1)/(COUNTIFS(Evaluations!$G$3:$G$10000,$A323,Evaluations!$Q$3:$Q$10000,1)+COUNTIFS(Evaluations!$G$3:$G$10000,$A323,Evaluations!$Q$3:$Q$10000,0)),2),""))</f>
        <v/>
      </c>
      <c r="H323" s="10" t="str">
        <f>IF($A323="","",IFERROR(ROUND(100*COUNTIFS(Evaluations!$G$3:$G$10000,$A323,Evaluations!$R$3:$R$10000,1)/(COUNTIFS(Evaluations!$G$3:$G$10000,$A323,Evaluations!$R$3:$R$10000,1)+COUNTIFS(Evaluations!$G$3:$G$10000,$A323,Evaluations!$R$3:$R$10000,0)),2),""))</f>
        <v/>
      </c>
      <c r="I323" s="10" t="str">
        <f>IF($A323="","",IFERROR(ROUND(100*COUNTIFS(Evaluations!$G$3:$G$10000,$A323,Evaluations!$S$3:$S$10000,1)/(COUNTIFS(Evaluations!$G$3:$G$10000,$A323,Evaluations!$S$3:$S$10000,1)+COUNTIFS(Evaluations!$G$3:$G$10000,$A323,Evaluations!$S$3:$S$10000,0)),2),""))</f>
        <v/>
      </c>
      <c r="J323" s="10" t="str">
        <f>IF($A323="","",IFERROR(ROUND(100*COUNTIFS(Evaluations!$G$3:$G$10000,$A323,Evaluations!$T$3:$T$10000,1)/(COUNTIFS(Evaluations!$G$3:$G$10000,$A323,Evaluations!$T$3:$T$10000,1)+COUNTIFS(Evaluations!$G$3:$G$10000,$A323,Evaluations!$T$3:$T$10000,0)),2),""))</f>
        <v/>
      </c>
      <c r="K323" s="10" t="str">
        <f>IF($A323="","",COUNTIFS(Evaluations!$G$3:$G$10000,$A323,Evaluations!$M$3:$M$10000,"عدم پاسخ"))</f>
        <v/>
      </c>
      <c r="L323" s="10" t="str">
        <f>IF($A323="","",COUNTIFS(Evaluations!$G$3:$G$10000,$A323,Evaluations!$O$3:$O$10000,"رعایت نشده"))</f>
        <v/>
      </c>
    </row>
    <row r="324">
      <c r="A324" s="10"/>
      <c r="B324" s="10" t="str">
        <f t="array" ref="B324">_xlfn.XLOOKUP(A324,DATA!D:D,DATA!E:E,"")</f>
        <v/>
      </c>
      <c r="C324" s="10" t="str">
        <f>IF($A324="","",COUNTIFS(Evaluations!$G$3:$G$10000,$A324,Evaluations!$U$3:$U$10000,"&gt;=0",Evaluations!$U$3:$U$10000,"&lt;=100"))</f>
        <v/>
      </c>
      <c r="D324" s="10" t="str">
        <f>IF(OR($A324="",C324=0),"",ROUND(SUMIFS(Evaluations!$U$3:$U$10000,Evaluations!$G$3:$G$10000,$A324)/C324,2))</f>
        <v/>
      </c>
      <c r="E324" s="10" t="str">
        <f>IF($A324="","",COUNTIFS(Evaluations!$G$3:$G$10000,$A324,Evaluations!$M$3:$M$10000,"پاسخ داده شده"))</f>
        <v/>
      </c>
      <c r="F324" s="10" t="str">
        <f>IF($A324="","",IFERROR(COUNTIFS(Evaluations!$G$3:$G$10000,$A324,Evaluations!$O$3:$O$10000,"رعایت شده")/(COUNTIFS(Evaluations!$G$3:$G$10000,$A324,Evaluations!$O$3:$O$10000,"رعایت شده")+COUNTIFS(Evaluations!$G$3:$G$10000,$A324,Evaluations!$O$3:$O$10000,"رعایت نشده")),""))</f>
        <v/>
      </c>
      <c r="G324" s="10" t="str">
        <f>IF($A324="","",IFERROR(ROUND(100*COUNTIFS(Evaluations!$G$3:$G$10000,$A324,Evaluations!$Q$3:$Q$10000,1)/(COUNTIFS(Evaluations!$G$3:$G$10000,$A324,Evaluations!$Q$3:$Q$10000,1)+COUNTIFS(Evaluations!$G$3:$G$10000,$A324,Evaluations!$Q$3:$Q$10000,0)),2),""))</f>
        <v/>
      </c>
      <c r="H324" s="10" t="str">
        <f>IF($A324="","",IFERROR(ROUND(100*COUNTIFS(Evaluations!$G$3:$G$10000,$A324,Evaluations!$R$3:$R$10000,1)/(COUNTIFS(Evaluations!$G$3:$G$10000,$A324,Evaluations!$R$3:$R$10000,1)+COUNTIFS(Evaluations!$G$3:$G$10000,$A324,Evaluations!$R$3:$R$10000,0)),2),""))</f>
        <v/>
      </c>
      <c r="I324" s="10" t="str">
        <f>IF($A324="","",IFERROR(ROUND(100*COUNTIFS(Evaluations!$G$3:$G$10000,$A324,Evaluations!$S$3:$S$10000,1)/(COUNTIFS(Evaluations!$G$3:$G$10000,$A324,Evaluations!$S$3:$S$10000,1)+COUNTIFS(Evaluations!$G$3:$G$10000,$A324,Evaluations!$S$3:$S$10000,0)),2),""))</f>
        <v/>
      </c>
      <c r="J324" s="10" t="str">
        <f>IF($A324="","",IFERROR(ROUND(100*COUNTIFS(Evaluations!$G$3:$G$10000,$A324,Evaluations!$T$3:$T$10000,1)/(COUNTIFS(Evaluations!$G$3:$G$10000,$A324,Evaluations!$T$3:$T$10000,1)+COUNTIFS(Evaluations!$G$3:$G$10000,$A324,Evaluations!$T$3:$T$10000,0)),2),""))</f>
        <v/>
      </c>
      <c r="K324" s="10" t="str">
        <f>IF($A324="","",COUNTIFS(Evaluations!$G$3:$G$10000,$A324,Evaluations!$M$3:$M$10000,"عدم پاسخ"))</f>
        <v/>
      </c>
      <c r="L324" s="10" t="str">
        <f>IF($A324="","",COUNTIFS(Evaluations!$G$3:$G$10000,$A324,Evaluations!$O$3:$O$10000,"رعایت نشده"))</f>
        <v/>
      </c>
    </row>
    <row r="325">
      <c r="A325" s="10"/>
      <c r="B325" s="10" t="str">
        <f t="array" ref="B325">_xlfn.XLOOKUP(A325,DATA!D:D,DATA!E:E,"")</f>
        <v/>
      </c>
      <c r="C325" s="10" t="str">
        <f>IF($A325="","",COUNTIFS(Evaluations!$G$3:$G$10000,$A325,Evaluations!$U$3:$U$10000,"&gt;=0",Evaluations!$U$3:$U$10000,"&lt;=100"))</f>
        <v/>
      </c>
      <c r="D325" s="10" t="str">
        <f>IF(OR($A325="",C325=0),"",ROUND(SUMIFS(Evaluations!$U$3:$U$10000,Evaluations!$G$3:$G$10000,$A325)/C325,2))</f>
        <v/>
      </c>
      <c r="E325" s="10" t="str">
        <f>IF($A325="","",COUNTIFS(Evaluations!$G$3:$G$10000,$A325,Evaluations!$M$3:$M$10000,"پاسخ داده شده"))</f>
        <v/>
      </c>
      <c r="F325" s="10" t="str">
        <f>IF($A325="","",IFERROR(COUNTIFS(Evaluations!$G$3:$G$10000,$A325,Evaluations!$O$3:$O$10000,"رعایت شده")/(COUNTIFS(Evaluations!$G$3:$G$10000,$A325,Evaluations!$O$3:$O$10000,"رعایت شده")+COUNTIFS(Evaluations!$G$3:$G$10000,$A325,Evaluations!$O$3:$O$10000,"رعایت نشده")),""))</f>
        <v/>
      </c>
      <c r="G325" s="10" t="str">
        <f>IF($A325="","",IFERROR(ROUND(100*COUNTIFS(Evaluations!$G$3:$G$10000,$A325,Evaluations!$Q$3:$Q$10000,1)/(COUNTIFS(Evaluations!$G$3:$G$10000,$A325,Evaluations!$Q$3:$Q$10000,1)+COUNTIFS(Evaluations!$G$3:$G$10000,$A325,Evaluations!$Q$3:$Q$10000,0)),2),""))</f>
        <v/>
      </c>
      <c r="H325" s="10" t="str">
        <f>IF($A325="","",IFERROR(ROUND(100*COUNTIFS(Evaluations!$G$3:$G$10000,$A325,Evaluations!$R$3:$R$10000,1)/(COUNTIFS(Evaluations!$G$3:$G$10000,$A325,Evaluations!$R$3:$R$10000,1)+COUNTIFS(Evaluations!$G$3:$G$10000,$A325,Evaluations!$R$3:$R$10000,0)),2),""))</f>
        <v/>
      </c>
      <c r="I325" s="10" t="str">
        <f>IF($A325="","",IFERROR(ROUND(100*COUNTIFS(Evaluations!$G$3:$G$10000,$A325,Evaluations!$S$3:$S$10000,1)/(COUNTIFS(Evaluations!$G$3:$G$10000,$A325,Evaluations!$S$3:$S$10000,1)+COUNTIFS(Evaluations!$G$3:$G$10000,$A325,Evaluations!$S$3:$S$10000,0)),2),""))</f>
        <v/>
      </c>
      <c r="J325" s="10" t="str">
        <f>IF($A325="","",IFERROR(ROUND(100*COUNTIFS(Evaluations!$G$3:$G$10000,$A325,Evaluations!$T$3:$T$10000,1)/(COUNTIFS(Evaluations!$G$3:$G$10000,$A325,Evaluations!$T$3:$T$10000,1)+COUNTIFS(Evaluations!$G$3:$G$10000,$A325,Evaluations!$T$3:$T$10000,0)),2),""))</f>
        <v/>
      </c>
      <c r="K325" s="10" t="str">
        <f>IF($A325="","",COUNTIFS(Evaluations!$G$3:$G$10000,$A325,Evaluations!$M$3:$M$10000,"عدم پاسخ"))</f>
        <v/>
      </c>
      <c r="L325" s="10" t="str">
        <f>IF($A325="","",COUNTIFS(Evaluations!$G$3:$G$10000,$A325,Evaluations!$O$3:$O$10000,"رعایت نشده"))</f>
        <v/>
      </c>
    </row>
    <row r="326">
      <c r="A326" s="10"/>
      <c r="B326" s="10" t="str">
        <f t="array" ref="B326">_xlfn.XLOOKUP(A326,DATA!D:D,DATA!E:E,"")</f>
        <v/>
      </c>
      <c r="C326" s="10" t="str">
        <f>IF($A326="","",COUNTIFS(Evaluations!$G$3:$G$10000,$A326,Evaluations!$U$3:$U$10000,"&gt;=0",Evaluations!$U$3:$U$10000,"&lt;=100"))</f>
        <v/>
      </c>
      <c r="D326" s="10" t="str">
        <f>IF(OR($A326="",C326=0),"",ROUND(SUMIFS(Evaluations!$U$3:$U$10000,Evaluations!$G$3:$G$10000,$A326)/C326,2))</f>
        <v/>
      </c>
      <c r="E326" s="10" t="str">
        <f>IF($A326="","",COUNTIFS(Evaluations!$G$3:$G$10000,$A326,Evaluations!$M$3:$M$10000,"پاسخ داده شده"))</f>
        <v/>
      </c>
      <c r="F326" s="10" t="str">
        <f>IF($A326="","",IFERROR(COUNTIFS(Evaluations!$G$3:$G$10000,$A326,Evaluations!$O$3:$O$10000,"رعایت شده")/(COUNTIFS(Evaluations!$G$3:$G$10000,$A326,Evaluations!$O$3:$O$10000,"رعایت شده")+COUNTIFS(Evaluations!$G$3:$G$10000,$A326,Evaluations!$O$3:$O$10000,"رعایت نشده")),""))</f>
        <v/>
      </c>
      <c r="G326" s="10" t="str">
        <f>IF($A326="","",IFERROR(ROUND(100*COUNTIFS(Evaluations!$G$3:$G$10000,$A326,Evaluations!$Q$3:$Q$10000,1)/(COUNTIFS(Evaluations!$G$3:$G$10000,$A326,Evaluations!$Q$3:$Q$10000,1)+COUNTIFS(Evaluations!$G$3:$G$10000,$A326,Evaluations!$Q$3:$Q$10000,0)),2),""))</f>
        <v/>
      </c>
      <c r="H326" s="10" t="str">
        <f>IF($A326="","",IFERROR(ROUND(100*COUNTIFS(Evaluations!$G$3:$G$10000,$A326,Evaluations!$R$3:$R$10000,1)/(COUNTIFS(Evaluations!$G$3:$G$10000,$A326,Evaluations!$R$3:$R$10000,1)+COUNTIFS(Evaluations!$G$3:$G$10000,$A326,Evaluations!$R$3:$R$10000,0)),2),""))</f>
        <v/>
      </c>
      <c r="I326" s="10" t="str">
        <f>IF($A326="","",IFERROR(ROUND(100*COUNTIFS(Evaluations!$G$3:$G$10000,$A326,Evaluations!$S$3:$S$10000,1)/(COUNTIFS(Evaluations!$G$3:$G$10000,$A326,Evaluations!$S$3:$S$10000,1)+COUNTIFS(Evaluations!$G$3:$G$10000,$A326,Evaluations!$S$3:$S$10000,0)),2),""))</f>
        <v/>
      </c>
      <c r="J326" s="10" t="str">
        <f>IF($A326="","",IFERROR(ROUND(100*COUNTIFS(Evaluations!$G$3:$G$10000,$A326,Evaluations!$T$3:$T$10000,1)/(COUNTIFS(Evaluations!$G$3:$G$10000,$A326,Evaluations!$T$3:$T$10000,1)+COUNTIFS(Evaluations!$G$3:$G$10000,$A326,Evaluations!$T$3:$T$10000,0)),2),""))</f>
        <v/>
      </c>
      <c r="K326" s="10" t="str">
        <f>IF($A326="","",COUNTIFS(Evaluations!$G$3:$G$10000,$A326,Evaluations!$M$3:$M$10000,"عدم پاسخ"))</f>
        <v/>
      </c>
      <c r="L326" s="10" t="str">
        <f>IF($A326="","",COUNTIFS(Evaluations!$G$3:$G$10000,$A326,Evaluations!$O$3:$O$10000,"رعایت نشده"))</f>
        <v/>
      </c>
    </row>
    <row r="327">
      <c r="A327" s="10"/>
      <c r="B327" s="10" t="str">
        <f t="array" ref="B327">_xlfn.XLOOKUP(A327,DATA!D:D,DATA!E:E,"")</f>
        <v/>
      </c>
      <c r="C327" s="10" t="str">
        <f>IF($A327="","",COUNTIFS(Evaluations!$G$3:$G$10000,$A327,Evaluations!$U$3:$U$10000,"&gt;=0",Evaluations!$U$3:$U$10000,"&lt;=100"))</f>
        <v/>
      </c>
      <c r="D327" s="10" t="str">
        <f>IF(OR($A327="",C327=0),"",ROUND(SUMIFS(Evaluations!$U$3:$U$10000,Evaluations!$G$3:$G$10000,$A327)/C327,2))</f>
        <v/>
      </c>
      <c r="E327" s="10" t="str">
        <f>IF($A327="","",COUNTIFS(Evaluations!$G$3:$G$10000,$A327,Evaluations!$M$3:$M$10000,"پاسخ داده شده"))</f>
        <v/>
      </c>
      <c r="F327" s="10" t="str">
        <f>IF($A327="","",IFERROR(COUNTIFS(Evaluations!$G$3:$G$10000,$A327,Evaluations!$O$3:$O$10000,"رعایت شده")/(COUNTIFS(Evaluations!$G$3:$G$10000,$A327,Evaluations!$O$3:$O$10000,"رعایت شده")+COUNTIFS(Evaluations!$G$3:$G$10000,$A327,Evaluations!$O$3:$O$10000,"رعایت نشده")),""))</f>
        <v/>
      </c>
      <c r="G327" s="10" t="str">
        <f>IF($A327="","",IFERROR(ROUND(100*COUNTIFS(Evaluations!$G$3:$G$10000,$A327,Evaluations!$Q$3:$Q$10000,1)/(COUNTIFS(Evaluations!$G$3:$G$10000,$A327,Evaluations!$Q$3:$Q$10000,1)+COUNTIFS(Evaluations!$G$3:$G$10000,$A327,Evaluations!$Q$3:$Q$10000,0)),2),""))</f>
        <v/>
      </c>
      <c r="H327" s="10" t="str">
        <f>IF($A327="","",IFERROR(ROUND(100*COUNTIFS(Evaluations!$G$3:$G$10000,$A327,Evaluations!$R$3:$R$10000,1)/(COUNTIFS(Evaluations!$G$3:$G$10000,$A327,Evaluations!$R$3:$R$10000,1)+COUNTIFS(Evaluations!$G$3:$G$10000,$A327,Evaluations!$R$3:$R$10000,0)),2),""))</f>
        <v/>
      </c>
      <c r="I327" s="10" t="str">
        <f>IF($A327="","",IFERROR(ROUND(100*COUNTIFS(Evaluations!$G$3:$G$10000,$A327,Evaluations!$S$3:$S$10000,1)/(COUNTIFS(Evaluations!$G$3:$G$10000,$A327,Evaluations!$S$3:$S$10000,1)+COUNTIFS(Evaluations!$G$3:$G$10000,$A327,Evaluations!$S$3:$S$10000,0)),2),""))</f>
        <v/>
      </c>
      <c r="J327" s="10" t="str">
        <f>IF($A327="","",IFERROR(ROUND(100*COUNTIFS(Evaluations!$G$3:$G$10000,$A327,Evaluations!$T$3:$T$10000,1)/(COUNTIFS(Evaluations!$G$3:$G$10000,$A327,Evaluations!$T$3:$T$10000,1)+COUNTIFS(Evaluations!$G$3:$G$10000,$A327,Evaluations!$T$3:$T$10000,0)),2),""))</f>
        <v/>
      </c>
      <c r="K327" s="10" t="str">
        <f>IF($A327="","",COUNTIFS(Evaluations!$G$3:$G$10000,$A327,Evaluations!$M$3:$M$10000,"عدم پاسخ"))</f>
        <v/>
      </c>
      <c r="L327" s="10" t="str">
        <f>IF($A327="","",COUNTIFS(Evaluations!$G$3:$G$10000,$A327,Evaluations!$O$3:$O$10000,"رعایت نشده"))</f>
        <v/>
      </c>
    </row>
    <row r="328">
      <c r="A328" s="10"/>
      <c r="B328" s="10" t="str">
        <f t="array" ref="B328">_xlfn.XLOOKUP(A328,DATA!D:D,DATA!E:E,"")</f>
        <v/>
      </c>
      <c r="C328" s="10" t="str">
        <f>IF($A328="","",COUNTIFS(Evaluations!$G$3:$G$10000,$A328,Evaluations!$U$3:$U$10000,"&gt;=0",Evaluations!$U$3:$U$10000,"&lt;=100"))</f>
        <v/>
      </c>
      <c r="D328" s="10" t="str">
        <f>IF(OR($A328="",C328=0),"",ROUND(SUMIFS(Evaluations!$U$3:$U$10000,Evaluations!$G$3:$G$10000,$A328)/C328,2))</f>
        <v/>
      </c>
      <c r="E328" s="10" t="str">
        <f>IF($A328="","",COUNTIFS(Evaluations!$G$3:$G$10000,$A328,Evaluations!$M$3:$M$10000,"پاسخ داده شده"))</f>
        <v/>
      </c>
      <c r="F328" s="10" t="str">
        <f>IF($A328="","",IFERROR(COUNTIFS(Evaluations!$G$3:$G$10000,$A328,Evaluations!$O$3:$O$10000,"رعایت شده")/(COUNTIFS(Evaluations!$G$3:$G$10000,$A328,Evaluations!$O$3:$O$10000,"رعایت شده")+COUNTIFS(Evaluations!$G$3:$G$10000,$A328,Evaluations!$O$3:$O$10000,"رعایت نشده")),""))</f>
        <v/>
      </c>
      <c r="G328" s="10" t="str">
        <f>IF($A328="","",IFERROR(ROUND(100*COUNTIFS(Evaluations!$G$3:$G$10000,$A328,Evaluations!$Q$3:$Q$10000,1)/(COUNTIFS(Evaluations!$G$3:$G$10000,$A328,Evaluations!$Q$3:$Q$10000,1)+COUNTIFS(Evaluations!$G$3:$G$10000,$A328,Evaluations!$Q$3:$Q$10000,0)),2),""))</f>
        <v/>
      </c>
      <c r="H328" s="10" t="str">
        <f>IF($A328="","",IFERROR(ROUND(100*COUNTIFS(Evaluations!$G$3:$G$10000,$A328,Evaluations!$R$3:$R$10000,1)/(COUNTIFS(Evaluations!$G$3:$G$10000,$A328,Evaluations!$R$3:$R$10000,1)+COUNTIFS(Evaluations!$G$3:$G$10000,$A328,Evaluations!$R$3:$R$10000,0)),2),""))</f>
        <v/>
      </c>
      <c r="I328" s="10" t="str">
        <f>IF($A328="","",IFERROR(ROUND(100*COUNTIFS(Evaluations!$G$3:$G$10000,$A328,Evaluations!$S$3:$S$10000,1)/(COUNTIFS(Evaluations!$G$3:$G$10000,$A328,Evaluations!$S$3:$S$10000,1)+COUNTIFS(Evaluations!$G$3:$G$10000,$A328,Evaluations!$S$3:$S$10000,0)),2),""))</f>
        <v/>
      </c>
      <c r="J328" s="10" t="str">
        <f>IF($A328="","",IFERROR(ROUND(100*COUNTIFS(Evaluations!$G$3:$G$10000,$A328,Evaluations!$T$3:$T$10000,1)/(COUNTIFS(Evaluations!$G$3:$G$10000,$A328,Evaluations!$T$3:$T$10000,1)+COUNTIFS(Evaluations!$G$3:$G$10000,$A328,Evaluations!$T$3:$T$10000,0)),2),""))</f>
        <v/>
      </c>
      <c r="K328" s="10" t="str">
        <f>IF($A328="","",COUNTIFS(Evaluations!$G$3:$G$10000,$A328,Evaluations!$M$3:$M$10000,"عدم پاسخ"))</f>
        <v/>
      </c>
      <c r="L328" s="10" t="str">
        <f>IF($A328="","",COUNTIFS(Evaluations!$G$3:$G$10000,$A328,Evaluations!$O$3:$O$10000,"رعایت نشده"))</f>
        <v/>
      </c>
    </row>
    <row r="329">
      <c r="A329" s="10"/>
      <c r="B329" s="10" t="str">
        <f t="array" ref="B329">_xlfn.XLOOKUP(A329,DATA!D:D,DATA!E:E,"")</f>
        <v/>
      </c>
      <c r="C329" s="10" t="str">
        <f>IF($A329="","",COUNTIFS(Evaluations!$G$3:$G$10000,$A329,Evaluations!$U$3:$U$10000,"&gt;=0",Evaluations!$U$3:$U$10000,"&lt;=100"))</f>
        <v/>
      </c>
      <c r="D329" s="10" t="str">
        <f>IF(OR($A329="",C329=0),"",ROUND(SUMIFS(Evaluations!$U$3:$U$10000,Evaluations!$G$3:$G$10000,$A329)/C329,2))</f>
        <v/>
      </c>
      <c r="E329" s="10" t="str">
        <f>IF($A329="","",COUNTIFS(Evaluations!$G$3:$G$10000,$A329,Evaluations!$M$3:$M$10000,"پاسخ داده شده"))</f>
        <v/>
      </c>
      <c r="F329" s="10" t="str">
        <f>IF($A329="","",IFERROR(COUNTIFS(Evaluations!$G$3:$G$10000,$A329,Evaluations!$O$3:$O$10000,"رعایت شده")/(COUNTIFS(Evaluations!$G$3:$G$10000,$A329,Evaluations!$O$3:$O$10000,"رعایت شده")+COUNTIFS(Evaluations!$G$3:$G$10000,$A329,Evaluations!$O$3:$O$10000,"رعایت نشده")),""))</f>
        <v/>
      </c>
      <c r="G329" s="10" t="str">
        <f>IF($A329="","",IFERROR(ROUND(100*COUNTIFS(Evaluations!$G$3:$G$10000,$A329,Evaluations!$Q$3:$Q$10000,1)/(COUNTIFS(Evaluations!$G$3:$G$10000,$A329,Evaluations!$Q$3:$Q$10000,1)+COUNTIFS(Evaluations!$G$3:$G$10000,$A329,Evaluations!$Q$3:$Q$10000,0)),2),""))</f>
        <v/>
      </c>
      <c r="H329" s="10" t="str">
        <f>IF($A329="","",IFERROR(ROUND(100*COUNTIFS(Evaluations!$G$3:$G$10000,$A329,Evaluations!$R$3:$R$10000,1)/(COUNTIFS(Evaluations!$G$3:$G$10000,$A329,Evaluations!$R$3:$R$10000,1)+COUNTIFS(Evaluations!$G$3:$G$10000,$A329,Evaluations!$R$3:$R$10000,0)),2),""))</f>
        <v/>
      </c>
      <c r="I329" s="10" t="str">
        <f>IF($A329="","",IFERROR(ROUND(100*COUNTIFS(Evaluations!$G$3:$G$10000,$A329,Evaluations!$S$3:$S$10000,1)/(COUNTIFS(Evaluations!$G$3:$G$10000,$A329,Evaluations!$S$3:$S$10000,1)+COUNTIFS(Evaluations!$G$3:$G$10000,$A329,Evaluations!$S$3:$S$10000,0)),2),""))</f>
        <v/>
      </c>
      <c r="J329" s="10" t="str">
        <f>IF($A329="","",IFERROR(ROUND(100*COUNTIFS(Evaluations!$G$3:$G$10000,$A329,Evaluations!$T$3:$T$10000,1)/(COUNTIFS(Evaluations!$G$3:$G$10000,$A329,Evaluations!$T$3:$T$10000,1)+COUNTIFS(Evaluations!$G$3:$G$10000,$A329,Evaluations!$T$3:$T$10000,0)),2),""))</f>
        <v/>
      </c>
      <c r="K329" s="10" t="str">
        <f>IF($A329="","",COUNTIFS(Evaluations!$G$3:$G$10000,$A329,Evaluations!$M$3:$M$10000,"عدم پاسخ"))</f>
        <v/>
      </c>
      <c r="L329" s="10" t="str">
        <f>IF($A329="","",COUNTIFS(Evaluations!$G$3:$G$10000,$A329,Evaluations!$O$3:$O$10000,"رعایت نشده"))</f>
        <v/>
      </c>
    </row>
    <row r="330">
      <c r="A330" s="10"/>
      <c r="B330" s="10" t="str">
        <f t="array" ref="B330">_xlfn.XLOOKUP(A330,DATA!D:D,DATA!E:E,"")</f>
        <v/>
      </c>
      <c r="C330" s="10" t="str">
        <f>IF($A330="","",COUNTIFS(Evaluations!$G$3:$G$10000,$A330,Evaluations!$U$3:$U$10000,"&gt;=0",Evaluations!$U$3:$U$10000,"&lt;=100"))</f>
        <v/>
      </c>
      <c r="D330" s="10" t="str">
        <f>IF(OR($A330="",C330=0),"",ROUND(SUMIFS(Evaluations!$U$3:$U$10000,Evaluations!$G$3:$G$10000,$A330)/C330,2))</f>
        <v/>
      </c>
      <c r="E330" s="10" t="str">
        <f>IF($A330="","",COUNTIFS(Evaluations!$G$3:$G$10000,$A330,Evaluations!$M$3:$M$10000,"پاسخ داده شده"))</f>
        <v/>
      </c>
      <c r="F330" s="10" t="str">
        <f>IF($A330="","",IFERROR(COUNTIFS(Evaluations!$G$3:$G$10000,$A330,Evaluations!$O$3:$O$10000,"رعایت شده")/(COUNTIFS(Evaluations!$G$3:$G$10000,$A330,Evaluations!$O$3:$O$10000,"رعایت شده")+COUNTIFS(Evaluations!$G$3:$G$10000,$A330,Evaluations!$O$3:$O$10000,"رعایت نشده")),""))</f>
        <v/>
      </c>
      <c r="G330" s="10" t="str">
        <f>IF($A330="","",IFERROR(ROUND(100*COUNTIFS(Evaluations!$G$3:$G$10000,$A330,Evaluations!$Q$3:$Q$10000,1)/(COUNTIFS(Evaluations!$G$3:$G$10000,$A330,Evaluations!$Q$3:$Q$10000,1)+COUNTIFS(Evaluations!$G$3:$G$10000,$A330,Evaluations!$Q$3:$Q$10000,0)),2),""))</f>
        <v/>
      </c>
      <c r="H330" s="10" t="str">
        <f>IF($A330="","",IFERROR(ROUND(100*COUNTIFS(Evaluations!$G$3:$G$10000,$A330,Evaluations!$R$3:$R$10000,1)/(COUNTIFS(Evaluations!$G$3:$G$10000,$A330,Evaluations!$R$3:$R$10000,1)+COUNTIFS(Evaluations!$G$3:$G$10000,$A330,Evaluations!$R$3:$R$10000,0)),2),""))</f>
        <v/>
      </c>
      <c r="I330" s="10" t="str">
        <f>IF($A330="","",IFERROR(ROUND(100*COUNTIFS(Evaluations!$G$3:$G$10000,$A330,Evaluations!$S$3:$S$10000,1)/(COUNTIFS(Evaluations!$G$3:$G$10000,$A330,Evaluations!$S$3:$S$10000,1)+COUNTIFS(Evaluations!$G$3:$G$10000,$A330,Evaluations!$S$3:$S$10000,0)),2),""))</f>
        <v/>
      </c>
      <c r="J330" s="10" t="str">
        <f>IF($A330="","",IFERROR(ROUND(100*COUNTIFS(Evaluations!$G$3:$G$10000,$A330,Evaluations!$T$3:$T$10000,1)/(COUNTIFS(Evaluations!$G$3:$G$10000,$A330,Evaluations!$T$3:$T$10000,1)+COUNTIFS(Evaluations!$G$3:$G$10000,$A330,Evaluations!$T$3:$T$10000,0)),2),""))</f>
        <v/>
      </c>
      <c r="K330" s="10" t="str">
        <f>IF($A330="","",COUNTIFS(Evaluations!$G$3:$G$10000,$A330,Evaluations!$M$3:$M$10000,"عدم پاسخ"))</f>
        <v/>
      </c>
      <c r="L330" s="10" t="str">
        <f>IF($A330="","",COUNTIFS(Evaluations!$G$3:$G$10000,$A330,Evaluations!$O$3:$O$10000,"رعایت نشده"))</f>
        <v/>
      </c>
    </row>
    <row r="331">
      <c r="A331" s="10"/>
      <c r="B331" s="10" t="str">
        <f t="array" ref="B331">_xlfn.XLOOKUP(A331,DATA!D:D,DATA!E:E,"")</f>
        <v/>
      </c>
      <c r="C331" s="10" t="str">
        <f>IF($A331="","",COUNTIFS(Evaluations!$G$3:$G$10000,$A331,Evaluations!$U$3:$U$10000,"&gt;=0",Evaluations!$U$3:$U$10000,"&lt;=100"))</f>
        <v/>
      </c>
      <c r="D331" s="10" t="str">
        <f>IF(OR($A331="",C331=0),"",ROUND(SUMIFS(Evaluations!$U$3:$U$10000,Evaluations!$G$3:$G$10000,$A331)/C331,2))</f>
        <v/>
      </c>
      <c r="E331" s="10" t="str">
        <f>IF($A331="","",COUNTIFS(Evaluations!$G$3:$G$10000,$A331,Evaluations!$M$3:$M$10000,"پاسخ داده شده"))</f>
        <v/>
      </c>
      <c r="F331" s="10" t="str">
        <f>IF($A331="","",IFERROR(COUNTIFS(Evaluations!$G$3:$G$10000,$A331,Evaluations!$O$3:$O$10000,"رعایت شده")/(COUNTIFS(Evaluations!$G$3:$G$10000,$A331,Evaluations!$O$3:$O$10000,"رعایت شده")+COUNTIFS(Evaluations!$G$3:$G$10000,$A331,Evaluations!$O$3:$O$10000,"رعایت نشده")),""))</f>
        <v/>
      </c>
      <c r="G331" s="10" t="str">
        <f>IF($A331="","",IFERROR(ROUND(100*COUNTIFS(Evaluations!$G$3:$G$10000,$A331,Evaluations!$Q$3:$Q$10000,1)/(COUNTIFS(Evaluations!$G$3:$G$10000,$A331,Evaluations!$Q$3:$Q$10000,1)+COUNTIFS(Evaluations!$G$3:$G$10000,$A331,Evaluations!$Q$3:$Q$10000,0)),2),""))</f>
        <v/>
      </c>
      <c r="H331" s="10" t="str">
        <f>IF($A331="","",IFERROR(ROUND(100*COUNTIFS(Evaluations!$G$3:$G$10000,$A331,Evaluations!$R$3:$R$10000,1)/(COUNTIFS(Evaluations!$G$3:$G$10000,$A331,Evaluations!$R$3:$R$10000,1)+COUNTIFS(Evaluations!$G$3:$G$10000,$A331,Evaluations!$R$3:$R$10000,0)),2),""))</f>
        <v/>
      </c>
      <c r="I331" s="10" t="str">
        <f>IF($A331="","",IFERROR(ROUND(100*COUNTIFS(Evaluations!$G$3:$G$10000,$A331,Evaluations!$S$3:$S$10000,1)/(COUNTIFS(Evaluations!$G$3:$G$10000,$A331,Evaluations!$S$3:$S$10000,1)+COUNTIFS(Evaluations!$G$3:$G$10000,$A331,Evaluations!$S$3:$S$10000,0)),2),""))</f>
        <v/>
      </c>
      <c r="J331" s="10" t="str">
        <f>IF($A331="","",IFERROR(ROUND(100*COUNTIFS(Evaluations!$G$3:$G$10000,$A331,Evaluations!$T$3:$T$10000,1)/(COUNTIFS(Evaluations!$G$3:$G$10000,$A331,Evaluations!$T$3:$T$10000,1)+COUNTIFS(Evaluations!$G$3:$G$10000,$A331,Evaluations!$T$3:$T$10000,0)),2),""))</f>
        <v/>
      </c>
      <c r="K331" s="10" t="str">
        <f>IF($A331="","",COUNTIFS(Evaluations!$G$3:$G$10000,$A331,Evaluations!$M$3:$M$10000,"عدم پاسخ"))</f>
        <v/>
      </c>
      <c r="L331" s="10" t="str">
        <f>IF($A331="","",COUNTIFS(Evaluations!$G$3:$G$10000,$A331,Evaluations!$O$3:$O$10000,"رعایت نشده"))</f>
        <v/>
      </c>
    </row>
    <row r="332">
      <c r="A332" s="10"/>
      <c r="B332" s="10" t="str">
        <f t="array" ref="B332">_xlfn.XLOOKUP(A332,DATA!D:D,DATA!E:E,"")</f>
        <v/>
      </c>
      <c r="C332" s="10" t="str">
        <f>IF($A332="","",COUNTIFS(Evaluations!$G$3:$G$10000,$A332,Evaluations!$U$3:$U$10000,"&gt;=0",Evaluations!$U$3:$U$10000,"&lt;=100"))</f>
        <v/>
      </c>
      <c r="D332" s="10" t="str">
        <f>IF(OR($A332="",C332=0),"",ROUND(SUMIFS(Evaluations!$U$3:$U$10000,Evaluations!$G$3:$G$10000,$A332)/C332,2))</f>
        <v/>
      </c>
      <c r="E332" s="10" t="str">
        <f>IF($A332="","",COUNTIFS(Evaluations!$G$3:$G$10000,$A332,Evaluations!$M$3:$M$10000,"پاسخ داده شده"))</f>
        <v/>
      </c>
      <c r="F332" s="10" t="str">
        <f>IF($A332="","",IFERROR(COUNTIFS(Evaluations!$G$3:$G$10000,$A332,Evaluations!$O$3:$O$10000,"رعایت شده")/(COUNTIFS(Evaluations!$G$3:$G$10000,$A332,Evaluations!$O$3:$O$10000,"رعایت شده")+COUNTIFS(Evaluations!$G$3:$G$10000,$A332,Evaluations!$O$3:$O$10000,"رعایت نشده")),""))</f>
        <v/>
      </c>
      <c r="G332" s="10" t="str">
        <f>IF($A332="","",IFERROR(ROUND(100*COUNTIFS(Evaluations!$G$3:$G$10000,$A332,Evaluations!$Q$3:$Q$10000,1)/(COUNTIFS(Evaluations!$G$3:$G$10000,$A332,Evaluations!$Q$3:$Q$10000,1)+COUNTIFS(Evaluations!$G$3:$G$10000,$A332,Evaluations!$Q$3:$Q$10000,0)),2),""))</f>
        <v/>
      </c>
      <c r="H332" s="10" t="str">
        <f>IF($A332="","",IFERROR(ROUND(100*COUNTIFS(Evaluations!$G$3:$G$10000,$A332,Evaluations!$R$3:$R$10000,1)/(COUNTIFS(Evaluations!$G$3:$G$10000,$A332,Evaluations!$R$3:$R$10000,1)+COUNTIFS(Evaluations!$G$3:$G$10000,$A332,Evaluations!$R$3:$R$10000,0)),2),""))</f>
        <v/>
      </c>
      <c r="I332" s="10" t="str">
        <f>IF($A332="","",IFERROR(ROUND(100*COUNTIFS(Evaluations!$G$3:$G$10000,$A332,Evaluations!$S$3:$S$10000,1)/(COUNTIFS(Evaluations!$G$3:$G$10000,$A332,Evaluations!$S$3:$S$10000,1)+COUNTIFS(Evaluations!$G$3:$G$10000,$A332,Evaluations!$S$3:$S$10000,0)),2),""))</f>
        <v/>
      </c>
      <c r="J332" s="10" t="str">
        <f>IF($A332="","",IFERROR(ROUND(100*COUNTIFS(Evaluations!$G$3:$G$10000,$A332,Evaluations!$T$3:$T$10000,1)/(COUNTIFS(Evaluations!$G$3:$G$10000,$A332,Evaluations!$T$3:$T$10000,1)+COUNTIFS(Evaluations!$G$3:$G$10000,$A332,Evaluations!$T$3:$T$10000,0)),2),""))</f>
        <v/>
      </c>
      <c r="K332" s="10" t="str">
        <f>IF($A332="","",COUNTIFS(Evaluations!$G$3:$G$10000,$A332,Evaluations!$M$3:$M$10000,"عدم پاسخ"))</f>
        <v/>
      </c>
      <c r="L332" s="10" t="str">
        <f>IF($A332="","",COUNTIFS(Evaluations!$G$3:$G$10000,$A332,Evaluations!$O$3:$O$10000,"رعایت نشده"))</f>
        <v/>
      </c>
    </row>
    <row r="333">
      <c r="A333" s="10"/>
      <c r="B333" s="10" t="str">
        <f t="array" ref="B333">_xlfn.XLOOKUP(A333,DATA!D:D,DATA!E:E,"")</f>
        <v/>
      </c>
      <c r="C333" s="10" t="str">
        <f>IF($A333="","",COUNTIFS(Evaluations!$G$3:$G$10000,$A333,Evaluations!$U$3:$U$10000,"&gt;=0",Evaluations!$U$3:$U$10000,"&lt;=100"))</f>
        <v/>
      </c>
      <c r="D333" s="10" t="str">
        <f>IF(OR($A333="",C333=0),"",ROUND(SUMIFS(Evaluations!$U$3:$U$10000,Evaluations!$G$3:$G$10000,$A333)/C333,2))</f>
        <v/>
      </c>
      <c r="E333" s="10" t="str">
        <f>IF($A333="","",COUNTIFS(Evaluations!$G$3:$G$10000,$A333,Evaluations!$M$3:$M$10000,"پاسخ داده شده"))</f>
        <v/>
      </c>
      <c r="F333" s="10" t="str">
        <f>IF($A333="","",IFERROR(COUNTIFS(Evaluations!$G$3:$G$10000,$A333,Evaluations!$O$3:$O$10000,"رعایت شده")/(COUNTIFS(Evaluations!$G$3:$G$10000,$A333,Evaluations!$O$3:$O$10000,"رعایت شده")+COUNTIFS(Evaluations!$G$3:$G$10000,$A333,Evaluations!$O$3:$O$10000,"رعایت نشده")),""))</f>
        <v/>
      </c>
      <c r="G333" s="10" t="str">
        <f>IF($A333="","",IFERROR(ROUND(100*COUNTIFS(Evaluations!$G$3:$G$10000,$A333,Evaluations!$Q$3:$Q$10000,1)/(COUNTIFS(Evaluations!$G$3:$G$10000,$A333,Evaluations!$Q$3:$Q$10000,1)+COUNTIFS(Evaluations!$G$3:$G$10000,$A333,Evaluations!$Q$3:$Q$10000,0)),2),""))</f>
        <v/>
      </c>
      <c r="H333" s="10" t="str">
        <f>IF($A333="","",IFERROR(ROUND(100*COUNTIFS(Evaluations!$G$3:$G$10000,$A333,Evaluations!$R$3:$R$10000,1)/(COUNTIFS(Evaluations!$G$3:$G$10000,$A333,Evaluations!$R$3:$R$10000,1)+COUNTIFS(Evaluations!$G$3:$G$10000,$A333,Evaluations!$R$3:$R$10000,0)),2),""))</f>
        <v/>
      </c>
      <c r="I333" s="10" t="str">
        <f>IF($A333="","",IFERROR(ROUND(100*COUNTIFS(Evaluations!$G$3:$G$10000,$A333,Evaluations!$S$3:$S$10000,1)/(COUNTIFS(Evaluations!$G$3:$G$10000,$A333,Evaluations!$S$3:$S$10000,1)+COUNTIFS(Evaluations!$G$3:$G$10000,$A333,Evaluations!$S$3:$S$10000,0)),2),""))</f>
        <v/>
      </c>
      <c r="J333" s="10" t="str">
        <f>IF($A333="","",IFERROR(ROUND(100*COUNTIFS(Evaluations!$G$3:$G$10000,$A333,Evaluations!$T$3:$T$10000,1)/(COUNTIFS(Evaluations!$G$3:$G$10000,$A333,Evaluations!$T$3:$T$10000,1)+COUNTIFS(Evaluations!$G$3:$G$10000,$A333,Evaluations!$T$3:$T$10000,0)),2),""))</f>
        <v/>
      </c>
      <c r="K333" s="10" t="str">
        <f>IF($A333="","",COUNTIFS(Evaluations!$G$3:$G$10000,$A333,Evaluations!$M$3:$M$10000,"عدم پاسخ"))</f>
        <v/>
      </c>
      <c r="L333" s="10" t="str">
        <f>IF($A333="","",COUNTIFS(Evaluations!$G$3:$G$10000,$A333,Evaluations!$O$3:$O$10000,"رعایت نشده"))</f>
        <v/>
      </c>
    </row>
    <row r="334">
      <c r="A334" s="10"/>
      <c r="B334" s="10" t="str">
        <f t="array" ref="B334">_xlfn.XLOOKUP(A334,DATA!D:D,DATA!E:E,"")</f>
        <v/>
      </c>
      <c r="C334" s="10" t="str">
        <f>IF($A334="","",COUNTIFS(Evaluations!$G$3:$G$10000,$A334,Evaluations!$U$3:$U$10000,"&gt;=0",Evaluations!$U$3:$U$10000,"&lt;=100"))</f>
        <v/>
      </c>
      <c r="D334" s="10" t="str">
        <f>IF(OR($A334="",C334=0),"",ROUND(SUMIFS(Evaluations!$U$3:$U$10000,Evaluations!$G$3:$G$10000,$A334)/C334,2))</f>
        <v/>
      </c>
      <c r="E334" s="10" t="str">
        <f>IF($A334="","",COUNTIFS(Evaluations!$G$3:$G$10000,$A334,Evaluations!$M$3:$M$10000,"پاسخ داده شده"))</f>
        <v/>
      </c>
      <c r="F334" s="10" t="str">
        <f>IF($A334="","",IFERROR(COUNTIFS(Evaluations!$G$3:$G$10000,$A334,Evaluations!$O$3:$O$10000,"رعایت شده")/(COUNTIFS(Evaluations!$G$3:$G$10000,$A334,Evaluations!$O$3:$O$10000,"رعایت شده")+COUNTIFS(Evaluations!$G$3:$G$10000,$A334,Evaluations!$O$3:$O$10000,"رعایت نشده")),""))</f>
        <v/>
      </c>
      <c r="G334" s="10" t="str">
        <f>IF($A334="","",IFERROR(ROUND(100*COUNTIFS(Evaluations!$G$3:$G$10000,$A334,Evaluations!$Q$3:$Q$10000,1)/(COUNTIFS(Evaluations!$G$3:$G$10000,$A334,Evaluations!$Q$3:$Q$10000,1)+COUNTIFS(Evaluations!$G$3:$G$10000,$A334,Evaluations!$Q$3:$Q$10000,0)),2),""))</f>
        <v/>
      </c>
      <c r="H334" s="10" t="str">
        <f>IF($A334="","",IFERROR(ROUND(100*COUNTIFS(Evaluations!$G$3:$G$10000,$A334,Evaluations!$R$3:$R$10000,1)/(COUNTIFS(Evaluations!$G$3:$G$10000,$A334,Evaluations!$R$3:$R$10000,1)+COUNTIFS(Evaluations!$G$3:$G$10000,$A334,Evaluations!$R$3:$R$10000,0)),2),""))</f>
        <v/>
      </c>
      <c r="I334" s="10" t="str">
        <f>IF($A334="","",IFERROR(ROUND(100*COUNTIFS(Evaluations!$G$3:$G$10000,$A334,Evaluations!$S$3:$S$10000,1)/(COUNTIFS(Evaluations!$G$3:$G$10000,$A334,Evaluations!$S$3:$S$10000,1)+COUNTIFS(Evaluations!$G$3:$G$10000,$A334,Evaluations!$S$3:$S$10000,0)),2),""))</f>
        <v/>
      </c>
      <c r="J334" s="10" t="str">
        <f>IF($A334="","",IFERROR(ROUND(100*COUNTIFS(Evaluations!$G$3:$G$10000,$A334,Evaluations!$T$3:$T$10000,1)/(COUNTIFS(Evaluations!$G$3:$G$10000,$A334,Evaluations!$T$3:$T$10000,1)+COUNTIFS(Evaluations!$G$3:$G$10000,$A334,Evaluations!$T$3:$T$10000,0)),2),""))</f>
        <v/>
      </c>
      <c r="K334" s="10" t="str">
        <f>IF($A334="","",COUNTIFS(Evaluations!$G$3:$G$10000,$A334,Evaluations!$M$3:$M$10000,"عدم پاسخ"))</f>
        <v/>
      </c>
      <c r="L334" s="10" t="str">
        <f>IF($A334="","",COUNTIFS(Evaluations!$G$3:$G$10000,$A334,Evaluations!$O$3:$O$10000,"رعایت نشده"))</f>
        <v/>
      </c>
    </row>
    <row r="335">
      <c r="A335" s="10"/>
      <c r="B335" s="10" t="str">
        <f t="array" ref="B335">_xlfn.XLOOKUP(A335,DATA!D:D,DATA!E:E,"")</f>
        <v/>
      </c>
      <c r="C335" s="10" t="str">
        <f>IF($A335="","",COUNTIFS(Evaluations!$G$3:$G$10000,$A335,Evaluations!$U$3:$U$10000,"&gt;=0",Evaluations!$U$3:$U$10000,"&lt;=100"))</f>
        <v/>
      </c>
      <c r="D335" s="10" t="str">
        <f>IF(OR($A335="",C335=0),"",ROUND(SUMIFS(Evaluations!$U$3:$U$10000,Evaluations!$G$3:$G$10000,$A335)/C335,2))</f>
        <v/>
      </c>
      <c r="E335" s="10" t="str">
        <f>IF($A335="","",COUNTIFS(Evaluations!$G$3:$G$10000,$A335,Evaluations!$M$3:$M$10000,"پاسخ داده شده"))</f>
        <v/>
      </c>
      <c r="F335" s="10" t="str">
        <f>IF($A335="","",IFERROR(COUNTIFS(Evaluations!$G$3:$G$10000,$A335,Evaluations!$O$3:$O$10000,"رعایت شده")/(COUNTIFS(Evaluations!$G$3:$G$10000,$A335,Evaluations!$O$3:$O$10000,"رعایت شده")+COUNTIFS(Evaluations!$G$3:$G$10000,$A335,Evaluations!$O$3:$O$10000,"رعایت نشده")),""))</f>
        <v/>
      </c>
      <c r="G335" s="10" t="str">
        <f>IF($A335="","",IFERROR(ROUND(100*COUNTIFS(Evaluations!$G$3:$G$10000,$A335,Evaluations!$Q$3:$Q$10000,1)/(COUNTIFS(Evaluations!$G$3:$G$10000,$A335,Evaluations!$Q$3:$Q$10000,1)+COUNTIFS(Evaluations!$G$3:$G$10000,$A335,Evaluations!$Q$3:$Q$10000,0)),2),""))</f>
        <v/>
      </c>
      <c r="H335" s="10" t="str">
        <f>IF($A335="","",IFERROR(ROUND(100*COUNTIFS(Evaluations!$G$3:$G$10000,$A335,Evaluations!$R$3:$R$10000,1)/(COUNTIFS(Evaluations!$G$3:$G$10000,$A335,Evaluations!$R$3:$R$10000,1)+COUNTIFS(Evaluations!$G$3:$G$10000,$A335,Evaluations!$R$3:$R$10000,0)),2),""))</f>
        <v/>
      </c>
      <c r="I335" s="10" t="str">
        <f>IF($A335="","",IFERROR(ROUND(100*COUNTIFS(Evaluations!$G$3:$G$10000,$A335,Evaluations!$S$3:$S$10000,1)/(COUNTIFS(Evaluations!$G$3:$G$10000,$A335,Evaluations!$S$3:$S$10000,1)+COUNTIFS(Evaluations!$G$3:$G$10000,$A335,Evaluations!$S$3:$S$10000,0)),2),""))</f>
        <v/>
      </c>
      <c r="J335" s="10" t="str">
        <f>IF($A335="","",IFERROR(ROUND(100*COUNTIFS(Evaluations!$G$3:$G$10000,$A335,Evaluations!$T$3:$T$10000,1)/(COUNTIFS(Evaluations!$G$3:$G$10000,$A335,Evaluations!$T$3:$T$10000,1)+COUNTIFS(Evaluations!$G$3:$G$10000,$A335,Evaluations!$T$3:$T$10000,0)),2),""))</f>
        <v/>
      </c>
      <c r="K335" s="10" t="str">
        <f>IF($A335="","",COUNTIFS(Evaluations!$G$3:$G$10000,$A335,Evaluations!$M$3:$M$10000,"عدم پاسخ"))</f>
        <v/>
      </c>
      <c r="L335" s="10" t="str">
        <f>IF($A335="","",COUNTIFS(Evaluations!$G$3:$G$10000,$A335,Evaluations!$O$3:$O$10000,"رعایت نشده"))</f>
        <v/>
      </c>
    </row>
    <row r="336">
      <c r="A336" s="10"/>
      <c r="B336" s="10" t="str">
        <f t="array" ref="B336">_xlfn.XLOOKUP(A336,DATA!D:D,DATA!E:E,"")</f>
        <v/>
      </c>
      <c r="C336" s="10" t="str">
        <f>IF($A336="","",COUNTIFS(Evaluations!$G$3:$G$10000,$A336,Evaluations!$U$3:$U$10000,"&gt;=0",Evaluations!$U$3:$U$10000,"&lt;=100"))</f>
        <v/>
      </c>
      <c r="D336" s="10" t="str">
        <f>IF(OR($A336="",C336=0),"",ROUND(SUMIFS(Evaluations!$U$3:$U$10000,Evaluations!$G$3:$G$10000,$A336)/C336,2))</f>
        <v/>
      </c>
      <c r="E336" s="10" t="str">
        <f>IF($A336="","",COUNTIFS(Evaluations!$G$3:$G$10000,$A336,Evaluations!$M$3:$M$10000,"پاسخ داده شده"))</f>
        <v/>
      </c>
      <c r="F336" s="10" t="str">
        <f>IF($A336="","",IFERROR(COUNTIFS(Evaluations!$G$3:$G$10000,$A336,Evaluations!$O$3:$O$10000,"رعایت شده")/(COUNTIFS(Evaluations!$G$3:$G$10000,$A336,Evaluations!$O$3:$O$10000,"رعایت شده")+COUNTIFS(Evaluations!$G$3:$G$10000,$A336,Evaluations!$O$3:$O$10000,"رعایت نشده")),""))</f>
        <v/>
      </c>
      <c r="G336" s="10" t="str">
        <f>IF($A336="","",IFERROR(ROUND(100*COUNTIFS(Evaluations!$G$3:$G$10000,$A336,Evaluations!$Q$3:$Q$10000,1)/(COUNTIFS(Evaluations!$G$3:$G$10000,$A336,Evaluations!$Q$3:$Q$10000,1)+COUNTIFS(Evaluations!$G$3:$G$10000,$A336,Evaluations!$Q$3:$Q$10000,0)),2),""))</f>
        <v/>
      </c>
      <c r="H336" s="10" t="str">
        <f>IF($A336="","",IFERROR(ROUND(100*COUNTIFS(Evaluations!$G$3:$G$10000,$A336,Evaluations!$R$3:$R$10000,1)/(COUNTIFS(Evaluations!$G$3:$G$10000,$A336,Evaluations!$R$3:$R$10000,1)+COUNTIFS(Evaluations!$G$3:$G$10000,$A336,Evaluations!$R$3:$R$10000,0)),2),""))</f>
        <v/>
      </c>
      <c r="I336" s="10" t="str">
        <f>IF($A336="","",IFERROR(ROUND(100*COUNTIFS(Evaluations!$G$3:$G$10000,$A336,Evaluations!$S$3:$S$10000,1)/(COUNTIFS(Evaluations!$G$3:$G$10000,$A336,Evaluations!$S$3:$S$10000,1)+COUNTIFS(Evaluations!$G$3:$G$10000,$A336,Evaluations!$S$3:$S$10000,0)),2),""))</f>
        <v/>
      </c>
      <c r="J336" s="10" t="str">
        <f>IF($A336="","",IFERROR(ROUND(100*COUNTIFS(Evaluations!$G$3:$G$10000,$A336,Evaluations!$T$3:$T$10000,1)/(COUNTIFS(Evaluations!$G$3:$G$10000,$A336,Evaluations!$T$3:$T$10000,1)+COUNTIFS(Evaluations!$G$3:$G$10000,$A336,Evaluations!$T$3:$T$10000,0)),2),""))</f>
        <v/>
      </c>
      <c r="K336" s="10" t="str">
        <f>IF($A336="","",COUNTIFS(Evaluations!$G$3:$G$10000,$A336,Evaluations!$M$3:$M$10000,"عدم پاسخ"))</f>
        <v/>
      </c>
      <c r="L336" s="10" t="str">
        <f>IF($A336="","",COUNTIFS(Evaluations!$G$3:$G$10000,$A336,Evaluations!$O$3:$O$10000,"رعایت نشده"))</f>
        <v/>
      </c>
    </row>
    <row r="337">
      <c r="A337" s="10"/>
      <c r="B337" s="10" t="str">
        <f t="array" ref="B337">_xlfn.XLOOKUP(A337,DATA!D:D,DATA!E:E,"")</f>
        <v/>
      </c>
      <c r="C337" s="10" t="str">
        <f>IF($A337="","",COUNTIFS(Evaluations!$G$3:$G$10000,$A337,Evaluations!$U$3:$U$10000,"&gt;=0",Evaluations!$U$3:$U$10000,"&lt;=100"))</f>
        <v/>
      </c>
      <c r="D337" s="10" t="str">
        <f>IF(OR($A337="",C337=0),"",ROUND(SUMIFS(Evaluations!$U$3:$U$10000,Evaluations!$G$3:$G$10000,$A337)/C337,2))</f>
        <v/>
      </c>
      <c r="E337" s="10" t="str">
        <f>IF($A337="","",COUNTIFS(Evaluations!$G$3:$G$10000,$A337,Evaluations!$M$3:$M$10000,"پاسخ داده شده"))</f>
        <v/>
      </c>
      <c r="F337" s="10" t="str">
        <f>IF($A337="","",IFERROR(COUNTIFS(Evaluations!$G$3:$G$10000,$A337,Evaluations!$O$3:$O$10000,"رعایت شده")/(COUNTIFS(Evaluations!$G$3:$G$10000,$A337,Evaluations!$O$3:$O$10000,"رعایت شده")+COUNTIFS(Evaluations!$G$3:$G$10000,$A337,Evaluations!$O$3:$O$10000,"رعایت نشده")),""))</f>
        <v/>
      </c>
      <c r="G337" s="10" t="str">
        <f>IF($A337="","",IFERROR(ROUND(100*COUNTIFS(Evaluations!$G$3:$G$10000,$A337,Evaluations!$Q$3:$Q$10000,1)/(COUNTIFS(Evaluations!$G$3:$G$10000,$A337,Evaluations!$Q$3:$Q$10000,1)+COUNTIFS(Evaluations!$G$3:$G$10000,$A337,Evaluations!$Q$3:$Q$10000,0)),2),""))</f>
        <v/>
      </c>
      <c r="H337" s="10" t="str">
        <f>IF($A337="","",IFERROR(ROUND(100*COUNTIFS(Evaluations!$G$3:$G$10000,$A337,Evaluations!$R$3:$R$10000,1)/(COUNTIFS(Evaluations!$G$3:$G$10000,$A337,Evaluations!$R$3:$R$10000,1)+COUNTIFS(Evaluations!$G$3:$G$10000,$A337,Evaluations!$R$3:$R$10000,0)),2),""))</f>
        <v/>
      </c>
      <c r="I337" s="10" t="str">
        <f>IF($A337="","",IFERROR(ROUND(100*COUNTIFS(Evaluations!$G$3:$G$10000,$A337,Evaluations!$S$3:$S$10000,1)/(COUNTIFS(Evaluations!$G$3:$G$10000,$A337,Evaluations!$S$3:$S$10000,1)+COUNTIFS(Evaluations!$G$3:$G$10000,$A337,Evaluations!$S$3:$S$10000,0)),2),""))</f>
        <v/>
      </c>
      <c r="J337" s="10" t="str">
        <f>IF($A337="","",IFERROR(ROUND(100*COUNTIFS(Evaluations!$G$3:$G$10000,$A337,Evaluations!$T$3:$T$10000,1)/(COUNTIFS(Evaluations!$G$3:$G$10000,$A337,Evaluations!$T$3:$T$10000,1)+COUNTIFS(Evaluations!$G$3:$G$10000,$A337,Evaluations!$T$3:$T$10000,0)),2),""))</f>
        <v/>
      </c>
      <c r="K337" s="10" t="str">
        <f>IF($A337="","",COUNTIFS(Evaluations!$G$3:$G$10000,$A337,Evaluations!$M$3:$M$10000,"عدم پاسخ"))</f>
        <v/>
      </c>
      <c r="L337" s="10" t="str">
        <f>IF($A337="","",COUNTIFS(Evaluations!$G$3:$G$10000,$A337,Evaluations!$O$3:$O$10000,"رعایت نشده"))</f>
        <v/>
      </c>
    </row>
    <row r="338">
      <c r="A338" s="10"/>
      <c r="B338" s="10" t="str">
        <f t="array" ref="B338">_xlfn.XLOOKUP(A338,DATA!D:D,DATA!E:E,"")</f>
        <v/>
      </c>
      <c r="C338" s="10" t="str">
        <f>IF($A338="","",COUNTIFS(Evaluations!$G$3:$G$10000,$A338,Evaluations!$U$3:$U$10000,"&gt;=0",Evaluations!$U$3:$U$10000,"&lt;=100"))</f>
        <v/>
      </c>
      <c r="D338" s="10" t="str">
        <f>IF(OR($A338="",C338=0),"",ROUND(SUMIFS(Evaluations!$U$3:$U$10000,Evaluations!$G$3:$G$10000,$A338)/C338,2))</f>
        <v/>
      </c>
      <c r="E338" s="10" t="str">
        <f>IF($A338="","",COUNTIFS(Evaluations!$G$3:$G$10000,$A338,Evaluations!$M$3:$M$10000,"پاسخ داده شده"))</f>
        <v/>
      </c>
      <c r="F338" s="10" t="str">
        <f>IF($A338="","",IFERROR(COUNTIFS(Evaluations!$G$3:$G$10000,$A338,Evaluations!$O$3:$O$10000,"رعایت شده")/(COUNTIFS(Evaluations!$G$3:$G$10000,$A338,Evaluations!$O$3:$O$10000,"رعایت شده")+COUNTIFS(Evaluations!$G$3:$G$10000,$A338,Evaluations!$O$3:$O$10000,"رعایت نشده")),""))</f>
        <v/>
      </c>
      <c r="G338" s="10" t="str">
        <f>IF($A338="","",IFERROR(ROUND(100*COUNTIFS(Evaluations!$G$3:$G$10000,$A338,Evaluations!$Q$3:$Q$10000,1)/(COUNTIFS(Evaluations!$G$3:$G$10000,$A338,Evaluations!$Q$3:$Q$10000,1)+COUNTIFS(Evaluations!$G$3:$G$10000,$A338,Evaluations!$Q$3:$Q$10000,0)),2),""))</f>
        <v/>
      </c>
      <c r="H338" s="10" t="str">
        <f>IF($A338="","",IFERROR(ROUND(100*COUNTIFS(Evaluations!$G$3:$G$10000,$A338,Evaluations!$R$3:$R$10000,1)/(COUNTIFS(Evaluations!$G$3:$G$10000,$A338,Evaluations!$R$3:$R$10000,1)+COUNTIFS(Evaluations!$G$3:$G$10000,$A338,Evaluations!$R$3:$R$10000,0)),2),""))</f>
        <v/>
      </c>
      <c r="I338" s="10" t="str">
        <f>IF($A338="","",IFERROR(ROUND(100*COUNTIFS(Evaluations!$G$3:$G$10000,$A338,Evaluations!$S$3:$S$10000,1)/(COUNTIFS(Evaluations!$G$3:$G$10000,$A338,Evaluations!$S$3:$S$10000,1)+COUNTIFS(Evaluations!$G$3:$G$10000,$A338,Evaluations!$S$3:$S$10000,0)),2),""))</f>
        <v/>
      </c>
      <c r="J338" s="10" t="str">
        <f>IF($A338="","",IFERROR(ROUND(100*COUNTIFS(Evaluations!$G$3:$G$10000,$A338,Evaluations!$T$3:$T$10000,1)/(COUNTIFS(Evaluations!$G$3:$G$10000,$A338,Evaluations!$T$3:$T$10000,1)+COUNTIFS(Evaluations!$G$3:$G$10000,$A338,Evaluations!$T$3:$T$10000,0)),2),""))</f>
        <v/>
      </c>
      <c r="K338" s="10" t="str">
        <f>IF($A338="","",COUNTIFS(Evaluations!$G$3:$G$10000,$A338,Evaluations!$M$3:$M$10000,"عدم پاسخ"))</f>
        <v/>
      </c>
      <c r="L338" s="10" t="str">
        <f>IF($A338="","",COUNTIFS(Evaluations!$G$3:$G$10000,$A338,Evaluations!$O$3:$O$10000,"رعایت نشده"))</f>
        <v/>
      </c>
    </row>
    <row r="339">
      <c r="A339" s="10"/>
      <c r="B339" s="10" t="str">
        <f t="array" ref="B339">_xlfn.XLOOKUP(A339,DATA!D:D,DATA!E:E,"")</f>
        <v/>
      </c>
      <c r="C339" s="10" t="str">
        <f>IF($A339="","",COUNTIFS(Evaluations!$G$3:$G$10000,$A339,Evaluations!$U$3:$U$10000,"&gt;=0",Evaluations!$U$3:$U$10000,"&lt;=100"))</f>
        <v/>
      </c>
      <c r="D339" s="10" t="str">
        <f>IF(OR($A339="",C339=0),"",ROUND(SUMIFS(Evaluations!$U$3:$U$10000,Evaluations!$G$3:$G$10000,$A339)/C339,2))</f>
        <v/>
      </c>
      <c r="E339" s="10" t="str">
        <f>IF($A339="","",COUNTIFS(Evaluations!$G$3:$G$10000,$A339,Evaluations!$M$3:$M$10000,"پاسخ داده شده"))</f>
        <v/>
      </c>
      <c r="F339" s="10" t="str">
        <f>IF($A339="","",IFERROR(COUNTIFS(Evaluations!$G$3:$G$10000,$A339,Evaluations!$O$3:$O$10000,"رعایت شده")/(COUNTIFS(Evaluations!$G$3:$G$10000,$A339,Evaluations!$O$3:$O$10000,"رعایت شده")+COUNTIFS(Evaluations!$G$3:$G$10000,$A339,Evaluations!$O$3:$O$10000,"رعایت نشده")),""))</f>
        <v/>
      </c>
      <c r="G339" s="10" t="str">
        <f>IF($A339="","",IFERROR(ROUND(100*COUNTIFS(Evaluations!$G$3:$G$10000,$A339,Evaluations!$Q$3:$Q$10000,1)/(COUNTIFS(Evaluations!$G$3:$G$10000,$A339,Evaluations!$Q$3:$Q$10000,1)+COUNTIFS(Evaluations!$G$3:$G$10000,$A339,Evaluations!$Q$3:$Q$10000,0)),2),""))</f>
        <v/>
      </c>
      <c r="H339" s="10" t="str">
        <f>IF($A339="","",IFERROR(ROUND(100*COUNTIFS(Evaluations!$G$3:$G$10000,$A339,Evaluations!$R$3:$R$10000,1)/(COUNTIFS(Evaluations!$G$3:$G$10000,$A339,Evaluations!$R$3:$R$10000,1)+COUNTIFS(Evaluations!$G$3:$G$10000,$A339,Evaluations!$R$3:$R$10000,0)),2),""))</f>
        <v/>
      </c>
      <c r="I339" s="10" t="str">
        <f>IF($A339="","",IFERROR(ROUND(100*COUNTIFS(Evaluations!$G$3:$G$10000,$A339,Evaluations!$S$3:$S$10000,1)/(COUNTIFS(Evaluations!$G$3:$G$10000,$A339,Evaluations!$S$3:$S$10000,1)+COUNTIFS(Evaluations!$G$3:$G$10000,$A339,Evaluations!$S$3:$S$10000,0)),2),""))</f>
        <v/>
      </c>
      <c r="J339" s="10" t="str">
        <f>IF($A339="","",IFERROR(ROUND(100*COUNTIFS(Evaluations!$G$3:$G$10000,$A339,Evaluations!$T$3:$T$10000,1)/(COUNTIFS(Evaluations!$G$3:$G$10000,$A339,Evaluations!$T$3:$T$10000,1)+COUNTIFS(Evaluations!$G$3:$G$10000,$A339,Evaluations!$T$3:$T$10000,0)),2),""))</f>
        <v/>
      </c>
      <c r="K339" s="10" t="str">
        <f>IF($A339="","",COUNTIFS(Evaluations!$G$3:$G$10000,$A339,Evaluations!$M$3:$M$10000,"عدم پاسخ"))</f>
        <v/>
      </c>
      <c r="L339" s="10" t="str">
        <f>IF($A339="","",COUNTIFS(Evaluations!$G$3:$G$10000,$A339,Evaluations!$O$3:$O$10000,"رعایت نشده"))</f>
        <v/>
      </c>
    </row>
    <row r="340">
      <c r="A340" s="10"/>
      <c r="B340" s="10" t="str">
        <f t="array" ref="B340">_xlfn.XLOOKUP(A340,DATA!D:D,DATA!E:E,"")</f>
        <v/>
      </c>
      <c r="C340" s="10" t="str">
        <f>IF($A340="","",COUNTIFS(Evaluations!$G$3:$G$10000,$A340,Evaluations!$U$3:$U$10000,"&gt;=0",Evaluations!$U$3:$U$10000,"&lt;=100"))</f>
        <v/>
      </c>
      <c r="D340" s="10" t="str">
        <f>IF(OR($A340="",C340=0),"",ROUND(SUMIFS(Evaluations!$U$3:$U$10000,Evaluations!$G$3:$G$10000,$A340)/C340,2))</f>
        <v/>
      </c>
      <c r="E340" s="10" t="str">
        <f>IF($A340="","",COUNTIFS(Evaluations!$G$3:$G$10000,$A340,Evaluations!$M$3:$M$10000,"پاسخ داده شده"))</f>
        <v/>
      </c>
      <c r="F340" s="10" t="str">
        <f>IF($A340="","",IFERROR(COUNTIFS(Evaluations!$G$3:$G$10000,$A340,Evaluations!$O$3:$O$10000,"رعایت شده")/(COUNTIFS(Evaluations!$G$3:$G$10000,$A340,Evaluations!$O$3:$O$10000,"رعایت شده")+COUNTIFS(Evaluations!$G$3:$G$10000,$A340,Evaluations!$O$3:$O$10000,"رعایت نشده")),""))</f>
        <v/>
      </c>
      <c r="G340" s="10" t="str">
        <f>IF($A340="","",IFERROR(ROUND(100*COUNTIFS(Evaluations!$G$3:$G$10000,$A340,Evaluations!$Q$3:$Q$10000,1)/(COUNTIFS(Evaluations!$G$3:$G$10000,$A340,Evaluations!$Q$3:$Q$10000,1)+COUNTIFS(Evaluations!$G$3:$G$10000,$A340,Evaluations!$Q$3:$Q$10000,0)),2),""))</f>
        <v/>
      </c>
      <c r="H340" s="10" t="str">
        <f>IF($A340="","",IFERROR(ROUND(100*COUNTIFS(Evaluations!$G$3:$G$10000,$A340,Evaluations!$R$3:$R$10000,1)/(COUNTIFS(Evaluations!$G$3:$G$10000,$A340,Evaluations!$R$3:$R$10000,1)+COUNTIFS(Evaluations!$G$3:$G$10000,$A340,Evaluations!$R$3:$R$10000,0)),2),""))</f>
        <v/>
      </c>
      <c r="I340" s="10" t="str">
        <f>IF($A340="","",IFERROR(ROUND(100*COUNTIFS(Evaluations!$G$3:$G$10000,$A340,Evaluations!$S$3:$S$10000,1)/(COUNTIFS(Evaluations!$G$3:$G$10000,$A340,Evaluations!$S$3:$S$10000,1)+COUNTIFS(Evaluations!$G$3:$G$10000,$A340,Evaluations!$S$3:$S$10000,0)),2),""))</f>
        <v/>
      </c>
      <c r="J340" s="10" t="str">
        <f>IF($A340="","",IFERROR(ROUND(100*COUNTIFS(Evaluations!$G$3:$G$10000,$A340,Evaluations!$T$3:$T$10000,1)/(COUNTIFS(Evaluations!$G$3:$G$10000,$A340,Evaluations!$T$3:$T$10000,1)+COUNTIFS(Evaluations!$G$3:$G$10000,$A340,Evaluations!$T$3:$T$10000,0)),2),""))</f>
        <v/>
      </c>
      <c r="K340" s="10" t="str">
        <f>IF($A340="","",COUNTIFS(Evaluations!$G$3:$G$10000,$A340,Evaluations!$M$3:$M$10000,"عدم پاسخ"))</f>
        <v/>
      </c>
      <c r="L340" s="10" t="str">
        <f>IF($A340="","",COUNTIFS(Evaluations!$G$3:$G$10000,$A340,Evaluations!$O$3:$O$10000,"رعایت نشده"))</f>
        <v/>
      </c>
    </row>
    <row r="341">
      <c r="A341" s="10"/>
      <c r="B341" s="10" t="str">
        <f t="array" ref="B341">_xlfn.XLOOKUP(A341,DATA!D:D,DATA!E:E,"")</f>
        <v/>
      </c>
      <c r="C341" s="10" t="str">
        <f>IF($A341="","",COUNTIFS(Evaluations!$G$3:$G$10000,$A341,Evaluations!$U$3:$U$10000,"&gt;=0",Evaluations!$U$3:$U$10000,"&lt;=100"))</f>
        <v/>
      </c>
      <c r="D341" s="10" t="str">
        <f>IF(OR($A341="",C341=0),"",ROUND(SUMIFS(Evaluations!$U$3:$U$10000,Evaluations!$G$3:$G$10000,$A341)/C341,2))</f>
        <v/>
      </c>
      <c r="E341" s="10" t="str">
        <f>IF($A341="","",COUNTIFS(Evaluations!$G$3:$G$10000,$A341,Evaluations!$M$3:$M$10000,"پاسخ داده شده"))</f>
        <v/>
      </c>
      <c r="F341" s="10" t="str">
        <f>IF($A341="","",IFERROR(COUNTIFS(Evaluations!$G$3:$G$10000,$A341,Evaluations!$O$3:$O$10000,"رعایت شده")/(COUNTIFS(Evaluations!$G$3:$G$10000,$A341,Evaluations!$O$3:$O$10000,"رعایت شده")+COUNTIFS(Evaluations!$G$3:$G$10000,$A341,Evaluations!$O$3:$O$10000,"رعایت نشده")),""))</f>
        <v/>
      </c>
      <c r="G341" s="10" t="str">
        <f>IF($A341="","",IFERROR(ROUND(100*COUNTIFS(Evaluations!$G$3:$G$10000,$A341,Evaluations!$Q$3:$Q$10000,1)/(COUNTIFS(Evaluations!$G$3:$G$10000,$A341,Evaluations!$Q$3:$Q$10000,1)+COUNTIFS(Evaluations!$G$3:$G$10000,$A341,Evaluations!$Q$3:$Q$10000,0)),2),""))</f>
        <v/>
      </c>
      <c r="H341" s="10" t="str">
        <f>IF($A341="","",IFERROR(ROUND(100*COUNTIFS(Evaluations!$G$3:$G$10000,$A341,Evaluations!$R$3:$R$10000,1)/(COUNTIFS(Evaluations!$G$3:$G$10000,$A341,Evaluations!$R$3:$R$10000,1)+COUNTIFS(Evaluations!$G$3:$G$10000,$A341,Evaluations!$R$3:$R$10000,0)),2),""))</f>
        <v/>
      </c>
      <c r="I341" s="10" t="str">
        <f>IF($A341="","",IFERROR(ROUND(100*COUNTIFS(Evaluations!$G$3:$G$10000,$A341,Evaluations!$S$3:$S$10000,1)/(COUNTIFS(Evaluations!$G$3:$G$10000,$A341,Evaluations!$S$3:$S$10000,1)+COUNTIFS(Evaluations!$G$3:$G$10000,$A341,Evaluations!$S$3:$S$10000,0)),2),""))</f>
        <v/>
      </c>
      <c r="J341" s="10" t="str">
        <f>IF($A341="","",IFERROR(ROUND(100*COUNTIFS(Evaluations!$G$3:$G$10000,$A341,Evaluations!$T$3:$T$10000,1)/(COUNTIFS(Evaluations!$G$3:$G$10000,$A341,Evaluations!$T$3:$T$10000,1)+COUNTIFS(Evaluations!$G$3:$G$10000,$A341,Evaluations!$T$3:$T$10000,0)),2),""))</f>
        <v/>
      </c>
      <c r="K341" s="10" t="str">
        <f>IF($A341="","",COUNTIFS(Evaluations!$G$3:$G$10000,$A341,Evaluations!$M$3:$M$10000,"عدم پاسخ"))</f>
        <v/>
      </c>
      <c r="L341" s="10" t="str">
        <f>IF($A341="","",COUNTIFS(Evaluations!$G$3:$G$10000,$A341,Evaluations!$O$3:$O$10000,"رعایت نشده"))</f>
        <v/>
      </c>
    </row>
    <row r="342">
      <c r="A342" s="10"/>
      <c r="B342" s="10" t="str">
        <f t="array" ref="B342">_xlfn.XLOOKUP(A342,DATA!D:D,DATA!E:E,"")</f>
        <v/>
      </c>
      <c r="C342" s="10" t="str">
        <f>IF($A342="","",COUNTIFS(Evaluations!$G$3:$G$10000,$A342,Evaluations!$U$3:$U$10000,"&gt;=0",Evaluations!$U$3:$U$10000,"&lt;=100"))</f>
        <v/>
      </c>
      <c r="D342" s="10" t="str">
        <f>IF(OR($A342="",C342=0),"",ROUND(SUMIFS(Evaluations!$U$3:$U$10000,Evaluations!$G$3:$G$10000,$A342)/C342,2))</f>
        <v/>
      </c>
      <c r="E342" s="10" t="str">
        <f>IF($A342="","",COUNTIFS(Evaluations!$G$3:$G$10000,$A342,Evaluations!$M$3:$M$10000,"پاسخ داده شده"))</f>
        <v/>
      </c>
      <c r="F342" s="10" t="str">
        <f>IF($A342="","",IFERROR(COUNTIFS(Evaluations!$G$3:$G$10000,$A342,Evaluations!$O$3:$O$10000,"رعایت شده")/(COUNTIFS(Evaluations!$G$3:$G$10000,$A342,Evaluations!$O$3:$O$10000,"رعایت شده")+COUNTIFS(Evaluations!$G$3:$G$10000,$A342,Evaluations!$O$3:$O$10000,"رعایت نشده")),""))</f>
        <v/>
      </c>
      <c r="G342" s="10" t="str">
        <f>IF($A342="","",IFERROR(ROUND(100*COUNTIFS(Evaluations!$G$3:$G$10000,$A342,Evaluations!$Q$3:$Q$10000,1)/(COUNTIFS(Evaluations!$G$3:$G$10000,$A342,Evaluations!$Q$3:$Q$10000,1)+COUNTIFS(Evaluations!$G$3:$G$10000,$A342,Evaluations!$Q$3:$Q$10000,0)),2),""))</f>
        <v/>
      </c>
      <c r="H342" s="10" t="str">
        <f>IF($A342="","",IFERROR(ROUND(100*COUNTIFS(Evaluations!$G$3:$G$10000,$A342,Evaluations!$R$3:$R$10000,1)/(COUNTIFS(Evaluations!$G$3:$G$10000,$A342,Evaluations!$R$3:$R$10000,1)+COUNTIFS(Evaluations!$G$3:$G$10000,$A342,Evaluations!$R$3:$R$10000,0)),2),""))</f>
        <v/>
      </c>
      <c r="I342" s="10" t="str">
        <f>IF($A342="","",IFERROR(ROUND(100*COUNTIFS(Evaluations!$G$3:$G$10000,$A342,Evaluations!$S$3:$S$10000,1)/(COUNTIFS(Evaluations!$G$3:$G$10000,$A342,Evaluations!$S$3:$S$10000,1)+COUNTIFS(Evaluations!$G$3:$G$10000,$A342,Evaluations!$S$3:$S$10000,0)),2),""))</f>
        <v/>
      </c>
      <c r="J342" s="10" t="str">
        <f>IF($A342="","",IFERROR(ROUND(100*COUNTIFS(Evaluations!$G$3:$G$10000,$A342,Evaluations!$T$3:$T$10000,1)/(COUNTIFS(Evaluations!$G$3:$G$10000,$A342,Evaluations!$T$3:$T$10000,1)+COUNTIFS(Evaluations!$G$3:$G$10000,$A342,Evaluations!$T$3:$T$10000,0)),2),""))</f>
        <v/>
      </c>
      <c r="K342" s="10" t="str">
        <f>IF($A342="","",COUNTIFS(Evaluations!$G$3:$G$10000,$A342,Evaluations!$M$3:$M$10000,"عدم پاسخ"))</f>
        <v/>
      </c>
      <c r="L342" s="10" t="str">
        <f>IF($A342="","",COUNTIFS(Evaluations!$G$3:$G$10000,$A342,Evaluations!$O$3:$O$10000,"رعایت نشده"))</f>
        <v/>
      </c>
    </row>
    <row r="343">
      <c r="A343" s="10"/>
      <c r="B343" s="10" t="str">
        <f t="array" ref="B343">_xlfn.XLOOKUP(A343,DATA!D:D,DATA!E:E,"")</f>
        <v/>
      </c>
      <c r="C343" s="10" t="str">
        <f>IF($A343="","",COUNTIFS(Evaluations!$G$3:$G$10000,$A343,Evaluations!$U$3:$U$10000,"&gt;=0",Evaluations!$U$3:$U$10000,"&lt;=100"))</f>
        <v/>
      </c>
      <c r="D343" s="10" t="str">
        <f>IF(OR($A343="",C343=0),"",ROUND(SUMIFS(Evaluations!$U$3:$U$10000,Evaluations!$G$3:$G$10000,$A343)/C343,2))</f>
        <v/>
      </c>
      <c r="E343" s="10" t="str">
        <f>IF($A343="","",COUNTIFS(Evaluations!$G$3:$G$10000,$A343,Evaluations!$M$3:$M$10000,"پاسخ داده شده"))</f>
        <v/>
      </c>
      <c r="F343" s="10" t="str">
        <f>IF($A343="","",IFERROR(COUNTIFS(Evaluations!$G$3:$G$10000,$A343,Evaluations!$O$3:$O$10000,"رعایت شده")/(COUNTIFS(Evaluations!$G$3:$G$10000,$A343,Evaluations!$O$3:$O$10000,"رعایت شده")+COUNTIFS(Evaluations!$G$3:$G$10000,$A343,Evaluations!$O$3:$O$10000,"رعایت نشده")),""))</f>
        <v/>
      </c>
      <c r="G343" s="10" t="str">
        <f>IF($A343="","",IFERROR(ROUND(100*COUNTIFS(Evaluations!$G$3:$G$10000,$A343,Evaluations!$Q$3:$Q$10000,1)/(COUNTIFS(Evaluations!$G$3:$G$10000,$A343,Evaluations!$Q$3:$Q$10000,1)+COUNTIFS(Evaluations!$G$3:$G$10000,$A343,Evaluations!$Q$3:$Q$10000,0)),2),""))</f>
        <v/>
      </c>
      <c r="H343" s="10" t="str">
        <f>IF($A343="","",IFERROR(ROUND(100*COUNTIFS(Evaluations!$G$3:$G$10000,$A343,Evaluations!$R$3:$R$10000,1)/(COUNTIFS(Evaluations!$G$3:$G$10000,$A343,Evaluations!$R$3:$R$10000,1)+COUNTIFS(Evaluations!$G$3:$G$10000,$A343,Evaluations!$R$3:$R$10000,0)),2),""))</f>
        <v/>
      </c>
      <c r="I343" s="10" t="str">
        <f>IF($A343="","",IFERROR(ROUND(100*COUNTIFS(Evaluations!$G$3:$G$10000,$A343,Evaluations!$S$3:$S$10000,1)/(COUNTIFS(Evaluations!$G$3:$G$10000,$A343,Evaluations!$S$3:$S$10000,1)+COUNTIFS(Evaluations!$G$3:$G$10000,$A343,Evaluations!$S$3:$S$10000,0)),2),""))</f>
        <v/>
      </c>
      <c r="J343" s="10" t="str">
        <f>IF($A343="","",IFERROR(ROUND(100*COUNTIFS(Evaluations!$G$3:$G$10000,$A343,Evaluations!$T$3:$T$10000,1)/(COUNTIFS(Evaluations!$G$3:$G$10000,$A343,Evaluations!$T$3:$T$10000,1)+COUNTIFS(Evaluations!$G$3:$G$10000,$A343,Evaluations!$T$3:$T$10000,0)),2),""))</f>
        <v/>
      </c>
      <c r="K343" s="10" t="str">
        <f>IF($A343="","",COUNTIFS(Evaluations!$G$3:$G$10000,$A343,Evaluations!$M$3:$M$10000,"عدم پاسخ"))</f>
        <v/>
      </c>
      <c r="L343" s="10" t="str">
        <f>IF($A343="","",COUNTIFS(Evaluations!$G$3:$G$10000,$A343,Evaluations!$O$3:$O$10000,"رعایت نشده"))</f>
        <v/>
      </c>
    </row>
    <row r="344">
      <c r="A344" s="10"/>
      <c r="B344" s="10" t="str">
        <f t="array" ref="B344">_xlfn.XLOOKUP(A344,DATA!D:D,DATA!E:E,"")</f>
        <v/>
      </c>
      <c r="C344" s="10" t="str">
        <f>IF($A344="","",COUNTIFS(Evaluations!$G$3:$G$10000,$A344,Evaluations!$U$3:$U$10000,"&gt;=0",Evaluations!$U$3:$U$10000,"&lt;=100"))</f>
        <v/>
      </c>
      <c r="D344" s="10" t="str">
        <f>IF(OR($A344="",C344=0),"",ROUND(SUMIFS(Evaluations!$U$3:$U$10000,Evaluations!$G$3:$G$10000,$A344)/C344,2))</f>
        <v/>
      </c>
      <c r="E344" s="10" t="str">
        <f>IF($A344="","",COUNTIFS(Evaluations!$G$3:$G$10000,$A344,Evaluations!$M$3:$M$10000,"پاسخ داده شده"))</f>
        <v/>
      </c>
      <c r="F344" s="10" t="str">
        <f>IF($A344="","",IFERROR(COUNTIFS(Evaluations!$G$3:$G$10000,$A344,Evaluations!$O$3:$O$10000,"رعایت شده")/(COUNTIFS(Evaluations!$G$3:$G$10000,$A344,Evaluations!$O$3:$O$10000,"رعایت شده")+COUNTIFS(Evaluations!$G$3:$G$10000,$A344,Evaluations!$O$3:$O$10000,"رعایت نشده")),""))</f>
        <v/>
      </c>
      <c r="G344" s="10" t="str">
        <f>IF($A344="","",IFERROR(ROUND(100*COUNTIFS(Evaluations!$G$3:$G$10000,$A344,Evaluations!$Q$3:$Q$10000,1)/(COUNTIFS(Evaluations!$G$3:$G$10000,$A344,Evaluations!$Q$3:$Q$10000,1)+COUNTIFS(Evaluations!$G$3:$G$10000,$A344,Evaluations!$Q$3:$Q$10000,0)),2),""))</f>
        <v/>
      </c>
      <c r="H344" s="10" t="str">
        <f>IF($A344="","",IFERROR(ROUND(100*COUNTIFS(Evaluations!$G$3:$G$10000,$A344,Evaluations!$R$3:$R$10000,1)/(COUNTIFS(Evaluations!$G$3:$G$10000,$A344,Evaluations!$R$3:$R$10000,1)+COUNTIFS(Evaluations!$G$3:$G$10000,$A344,Evaluations!$R$3:$R$10000,0)),2),""))</f>
        <v/>
      </c>
      <c r="I344" s="10" t="str">
        <f>IF($A344="","",IFERROR(ROUND(100*COUNTIFS(Evaluations!$G$3:$G$10000,$A344,Evaluations!$S$3:$S$10000,1)/(COUNTIFS(Evaluations!$G$3:$G$10000,$A344,Evaluations!$S$3:$S$10000,1)+COUNTIFS(Evaluations!$G$3:$G$10000,$A344,Evaluations!$S$3:$S$10000,0)),2),""))</f>
        <v/>
      </c>
      <c r="J344" s="10" t="str">
        <f>IF($A344="","",IFERROR(ROUND(100*COUNTIFS(Evaluations!$G$3:$G$10000,$A344,Evaluations!$T$3:$T$10000,1)/(COUNTIFS(Evaluations!$G$3:$G$10000,$A344,Evaluations!$T$3:$T$10000,1)+COUNTIFS(Evaluations!$G$3:$G$10000,$A344,Evaluations!$T$3:$T$10000,0)),2),""))</f>
        <v/>
      </c>
      <c r="K344" s="10" t="str">
        <f>IF($A344="","",COUNTIFS(Evaluations!$G$3:$G$10000,$A344,Evaluations!$M$3:$M$10000,"عدم پاسخ"))</f>
        <v/>
      </c>
      <c r="L344" s="10" t="str">
        <f>IF($A344="","",COUNTIFS(Evaluations!$G$3:$G$10000,$A344,Evaluations!$O$3:$O$10000,"رعایت نشده"))</f>
        <v/>
      </c>
    </row>
    <row r="345">
      <c r="A345" s="10"/>
      <c r="B345" s="10" t="str">
        <f t="array" ref="B345">_xlfn.XLOOKUP(A345,DATA!D:D,DATA!E:E,"")</f>
        <v/>
      </c>
      <c r="C345" s="10" t="str">
        <f>IF($A345="","",COUNTIFS(Evaluations!$G$3:$G$10000,$A345,Evaluations!$U$3:$U$10000,"&gt;=0",Evaluations!$U$3:$U$10000,"&lt;=100"))</f>
        <v/>
      </c>
      <c r="D345" s="10" t="str">
        <f>IF(OR($A345="",C345=0),"",ROUND(SUMIFS(Evaluations!$U$3:$U$10000,Evaluations!$G$3:$G$10000,$A345)/C345,2))</f>
        <v/>
      </c>
      <c r="E345" s="10" t="str">
        <f>IF($A345="","",COUNTIFS(Evaluations!$G$3:$G$10000,$A345,Evaluations!$M$3:$M$10000,"پاسخ داده شده"))</f>
        <v/>
      </c>
      <c r="F345" s="10" t="str">
        <f>IF($A345="","",IFERROR(COUNTIFS(Evaluations!$G$3:$G$10000,$A345,Evaluations!$O$3:$O$10000,"رعایت شده")/(COUNTIFS(Evaluations!$G$3:$G$10000,$A345,Evaluations!$O$3:$O$10000,"رعایت شده")+COUNTIFS(Evaluations!$G$3:$G$10000,$A345,Evaluations!$O$3:$O$10000,"رعایت نشده")),""))</f>
        <v/>
      </c>
      <c r="G345" s="10" t="str">
        <f>IF($A345="","",IFERROR(ROUND(100*COUNTIFS(Evaluations!$G$3:$G$10000,$A345,Evaluations!$Q$3:$Q$10000,1)/(COUNTIFS(Evaluations!$G$3:$G$10000,$A345,Evaluations!$Q$3:$Q$10000,1)+COUNTIFS(Evaluations!$G$3:$G$10000,$A345,Evaluations!$Q$3:$Q$10000,0)),2),""))</f>
        <v/>
      </c>
      <c r="H345" s="10" t="str">
        <f>IF($A345="","",IFERROR(ROUND(100*COUNTIFS(Evaluations!$G$3:$G$10000,$A345,Evaluations!$R$3:$R$10000,1)/(COUNTIFS(Evaluations!$G$3:$G$10000,$A345,Evaluations!$R$3:$R$10000,1)+COUNTIFS(Evaluations!$G$3:$G$10000,$A345,Evaluations!$R$3:$R$10000,0)),2),""))</f>
        <v/>
      </c>
      <c r="I345" s="10" t="str">
        <f>IF($A345="","",IFERROR(ROUND(100*COUNTIFS(Evaluations!$G$3:$G$10000,$A345,Evaluations!$S$3:$S$10000,1)/(COUNTIFS(Evaluations!$G$3:$G$10000,$A345,Evaluations!$S$3:$S$10000,1)+COUNTIFS(Evaluations!$G$3:$G$10000,$A345,Evaluations!$S$3:$S$10000,0)),2),""))</f>
        <v/>
      </c>
      <c r="J345" s="10" t="str">
        <f>IF($A345="","",IFERROR(ROUND(100*COUNTIFS(Evaluations!$G$3:$G$10000,$A345,Evaluations!$T$3:$T$10000,1)/(COUNTIFS(Evaluations!$G$3:$G$10000,$A345,Evaluations!$T$3:$T$10000,1)+COUNTIFS(Evaluations!$G$3:$G$10000,$A345,Evaluations!$T$3:$T$10000,0)),2),""))</f>
        <v/>
      </c>
      <c r="K345" s="10" t="str">
        <f>IF($A345="","",COUNTIFS(Evaluations!$G$3:$G$10000,$A345,Evaluations!$M$3:$M$10000,"عدم پاسخ"))</f>
        <v/>
      </c>
      <c r="L345" s="10" t="str">
        <f>IF($A345="","",COUNTIFS(Evaluations!$G$3:$G$10000,$A345,Evaluations!$O$3:$O$10000,"رعایت نشده"))</f>
        <v/>
      </c>
    </row>
    <row r="346">
      <c r="A346" s="10"/>
      <c r="B346" s="10" t="str">
        <f t="array" ref="B346">_xlfn.XLOOKUP(A346,DATA!D:D,DATA!E:E,"")</f>
        <v/>
      </c>
      <c r="C346" s="10" t="str">
        <f>IF($A346="","",COUNTIFS(Evaluations!$G$3:$G$10000,$A346,Evaluations!$U$3:$U$10000,"&gt;=0",Evaluations!$U$3:$U$10000,"&lt;=100"))</f>
        <v/>
      </c>
      <c r="D346" s="10" t="str">
        <f>IF(OR($A346="",C346=0),"",ROUND(SUMIFS(Evaluations!$U$3:$U$10000,Evaluations!$G$3:$G$10000,$A346)/C346,2))</f>
        <v/>
      </c>
      <c r="E346" s="10" t="str">
        <f>IF($A346="","",COUNTIFS(Evaluations!$G$3:$G$10000,$A346,Evaluations!$M$3:$M$10000,"پاسخ داده شده"))</f>
        <v/>
      </c>
      <c r="F346" s="10" t="str">
        <f>IF($A346="","",IFERROR(COUNTIFS(Evaluations!$G$3:$G$10000,$A346,Evaluations!$O$3:$O$10000,"رعایت شده")/(COUNTIFS(Evaluations!$G$3:$G$10000,$A346,Evaluations!$O$3:$O$10000,"رعایت شده")+COUNTIFS(Evaluations!$G$3:$G$10000,$A346,Evaluations!$O$3:$O$10000,"رعایت نشده")),""))</f>
        <v/>
      </c>
      <c r="G346" s="10" t="str">
        <f>IF($A346="","",IFERROR(ROUND(100*COUNTIFS(Evaluations!$G$3:$G$10000,$A346,Evaluations!$Q$3:$Q$10000,1)/(COUNTIFS(Evaluations!$G$3:$G$10000,$A346,Evaluations!$Q$3:$Q$10000,1)+COUNTIFS(Evaluations!$G$3:$G$10000,$A346,Evaluations!$Q$3:$Q$10000,0)),2),""))</f>
        <v/>
      </c>
      <c r="H346" s="10" t="str">
        <f>IF($A346="","",IFERROR(ROUND(100*COUNTIFS(Evaluations!$G$3:$G$10000,$A346,Evaluations!$R$3:$R$10000,1)/(COUNTIFS(Evaluations!$G$3:$G$10000,$A346,Evaluations!$R$3:$R$10000,1)+COUNTIFS(Evaluations!$G$3:$G$10000,$A346,Evaluations!$R$3:$R$10000,0)),2),""))</f>
        <v/>
      </c>
      <c r="I346" s="10" t="str">
        <f>IF($A346="","",IFERROR(ROUND(100*COUNTIFS(Evaluations!$G$3:$G$10000,$A346,Evaluations!$S$3:$S$10000,1)/(COUNTIFS(Evaluations!$G$3:$G$10000,$A346,Evaluations!$S$3:$S$10000,1)+COUNTIFS(Evaluations!$G$3:$G$10000,$A346,Evaluations!$S$3:$S$10000,0)),2),""))</f>
        <v/>
      </c>
      <c r="J346" s="10" t="str">
        <f>IF($A346="","",IFERROR(ROUND(100*COUNTIFS(Evaluations!$G$3:$G$10000,$A346,Evaluations!$T$3:$T$10000,1)/(COUNTIFS(Evaluations!$G$3:$G$10000,$A346,Evaluations!$T$3:$T$10000,1)+COUNTIFS(Evaluations!$G$3:$G$10000,$A346,Evaluations!$T$3:$T$10000,0)),2),""))</f>
        <v/>
      </c>
      <c r="K346" s="10" t="str">
        <f>IF($A346="","",COUNTIFS(Evaluations!$G$3:$G$10000,$A346,Evaluations!$M$3:$M$10000,"عدم پاسخ"))</f>
        <v/>
      </c>
      <c r="L346" s="10" t="str">
        <f>IF($A346="","",COUNTIFS(Evaluations!$G$3:$G$10000,$A346,Evaluations!$O$3:$O$10000,"رعایت نشده"))</f>
        <v/>
      </c>
    </row>
    <row r="347">
      <c r="A347" s="10"/>
      <c r="B347" s="10" t="str">
        <f t="array" ref="B347">_xlfn.XLOOKUP(A347,DATA!D:D,DATA!E:E,"")</f>
        <v/>
      </c>
      <c r="C347" s="10" t="str">
        <f>IF($A347="","",COUNTIFS(Evaluations!$G$3:$G$10000,$A347,Evaluations!$U$3:$U$10000,"&gt;=0",Evaluations!$U$3:$U$10000,"&lt;=100"))</f>
        <v/>
      </c>
      <c r="D347" s="10" t="str">
        <f>IF(OR($A347="",C347=0),"",ROUND(SUMIFS(Evaluations!$U$3:$U$10000,Evaluations!$G$3:$G$10000,$A347)/C347,2))</f>
        <v/>
      </c>
      <c r="E347" s="10" t="str">
        <f>IF($A347="","",COUNTIFS(Evaluations!$G$3:$G$10000,$A347,Evaluations!$M$3:$M$10000,"پاسخ داده شده"))</f>
        <v/>
      </c>
      <c r="F347" s="10" t="str">
        <f>IF($A347="","",IFERROR(COUNTIFS(Evaluations!$G$3:$G$10000,$A347,Evaluations!$O$3:$O$10000,"رعایت شده")/(COUNTIFS(Evaluations!$G$3:$G$10000,$A347,Evaluations!$O$3:$O$10000,"رعایت شده")+COUNTIFS(Evaluations!$G$3:$G$10000,$A347,Evaluations!$O$3:$O$10000,"رعایت نشده")),""))</f>
        <v/>
      </c>
      <c r="G347" s="10" t="str">
        <f>IF($A347="","",IFERROR(ROUND(100*COUNTIFS(Evaluations!$G$3:$G$10000,$A347,Evaluations!$Q$3:$Q$10000,1)/(COUNTIFS(Evaluations!$G$3:$G$10000,$A347,Evaluations!$Q$3:$Q$10000,1)+COUNTIFS(Evaluations!$G$3:$G$10000,$A347,Evaluations!$Q$3:$Q$10000,0)),2),""))</f>
        <v/>
      </c>
      <c r="H347" s="10" t="str">
        <f>IF($A347="","",IFERROR(ROUND(100*COUNTIFS(Evaluations!$G$3:$G$10000,$A347,Evaluations!$R$3:$R$10000,1)/(COUNTIFS(Evaluations!$G$3:$G$10000,$A347,Evaluations!$R$3:$R$10000,1)+COUNTIFS(Evaluations!$G$3:$G$10000,$A347,Evaluations!$R$3:$R$10000,0)),2),""))</f>
        <v/>
      </c>
      <c r="I347" s="10" t="str">
        <f>IF($A347="","",IFERROR(ROUND(100*COUNTIFS(Evaluations!$G$3:$G$10000,$A347,Evaluations!$S$3:$S$10000,1)/(COUNTIFS(Evaluations!$G$3:$G$10000,$A347,Evaluations!$S$3:$S$10000,1)+COUNTIFS(Evaluations!$G$3:$G$10000,$A347,Evaluations!$S$3:$S$10000,0)),2),""))</f>
        <v/>
      </c>
      <c r="J347" s="10" t="str">
        <f>IF($A347="","",IFERROR(ROUND(100*COUNTIFS(Evaluations!$G$3:$G$10000,$A347,Evaluations!$T$3:$T$10000,1)/(COUNTIFS(Evaluations!$G$3:$G$10000,$A347,Evaluations!$T$3:$T$10000,1)+COUNTIFS(Evaluations!$G$3:$G$10000,$A347,Evaluations!$T$3:$T$10000,0)),2),""))</f>
        <v/>
      </c>
      <c r="K347" s="10" t="str">
        <f>IF($A347="","",COUNTIFS(Evaluations!$G$3:$G$10000,$A347,Evaluations!$M$3:$M$10000,"عدم پاسخ"))</f>
        <v/>
      </c>
      <c r="L347" s="10" t="str">
        <f>IF($A347="","",COUNTIFS(Evaluations!$G$3:$G$10000,$A347,Evaluations!$O$3:$O$10000,"رعایت نشده"))</f>
        <v/>
      </c>
    </row>
    <row r="348">
      <c r="A348" s="10"/>
      <c r="B348" s="10" t="str">
        <f t="array" ref="B348">_xlfn.XLOOKUP(A348,DATA!D:D,DATA!E:E,"")</f>
        <v/>
      </c>
      <c r="C348" s="10" t="str">
        <f>IF($A348="","",COUNTIFS(Evaluations!$G$3:$G$10000,$A348,Evaluations!$U$3:$U$10000,"&gt;=0",Evaluations!$U$3:$U$10000,"&lt;=100"))</f>
        <v/>
      </c>
      <c r="D348" s="10" t="str">
        <f>IF(OR($A348="",C348=0),"",ROUND(SUMIFS(Evaluations!$U$3:$U$10000,Evaluations!$G$3:$G$10000,$A348)/C348,2))</f>
        <v/>
      </c>
      <c r="E348" s="10" t="str">
        <f>IF($A348="","",COUNTIFS(Evaluations!$G$3:$G$10000,$A348,Evaluations!$M$3:$M$10000,"پاسخ داده شده"))</f>
        <v/>
      </c>
      <c r="F348" s="10" t="str">
        <f>IF($A348="","",IFERROR(COUNTIFS(Evaluations!$G$3:$G$10000,$A348,Evaluations!$O$3:$O$10000,"رعایت شده")/(COUNTIFS(Evaluations!$G$3:$G$10000,$A348,Evaluations!$O$3:$O$10000,"رعایت شده")+COUNTIFS(Evaluations!$G$3:$G$10000,$A348,Evaluations!$O$3:$O$10000,"رعایت نشده")),""))</f>
        <v/>
      </c>
      <c r="G348" s="10" t="str">
        <f>IF($A348="","",IFERROR(ROUND(100*COUNTIFS(Evaluations!$G$3:$G$10000,$A348,Evaluations!$Q$3:$Q$10000,1)/(COUNTIFS(Evaluations!$G$3:$G$10000,$A348,Evaluations!$Q$3:$Q$10000,1)+COUNTIFS(Evaluations!$G$3:$G$10000,$A348,Evaluations!$Q$3:$Q$10000,0)),2),""))</f>
        <v/>
      </c>
      <c r="H348" s="10" t="str">
        <f>IF($A348="","",IFERROR(ROUND(100*COUNTIFS(Evaluations!$G$3:$G$10000,$A348,Evaluations!$R$3:$R$10000,1)/(COUNTIFS(Evaluations!$G$3:$G$10000,$A348,Evaluations!$R$3:$R$10000,1)+COUNTIFS(Evaluations!$G$3:$G$10000,$A348,Evaluations!$R$3:$R$10000,0)),2),""))</f>
        <v/>
      </c>
      <c r="I348" s="10" t="str">
        <f>IF($A348="","",IFERROR(ROUND(100*COUNTIFS(Evaluations!$G$3:$G$10000,$A348,Evaluations!$S$3:$S$10000,1)/(COUNTIFS(Evaluations!$G$3:$G$10000,$A348,Evaluations!$S$3:$S$10000,1)+COUNTIFS(Evaluations!$G$3:$G$10000,$A348,Evaluations!$S$3:$S$10000,0)),2),""))</f>
        <v/>
      </c>
      <c r="J348" s="10" t="str">
        <f>IF($A348="","",IFERROR(ROUND(100*COUNTIFS(Evaluations!$G$3:$G$10000,$A348,Evaluations!$T$3:$T$10000,1)/(COUNTIFS(Evaluations!$G$3:$G$10000,$A348,Evaluations!$T$3:$T$10000,1)+COUNTIFS(Evaluations!$G$3:$G$10000,$A348,Evaluations!$T$3:$T$10000,0)),2),""))</f>
        <v/>
      </c>
      <c r="K348" s="10" t="str">
        <f>IF($A348="","",COUNTIFS(Evaluations!$G$3:$G$10000,$A348,Evaluations!$M$3:$M$10000,"عدم پاسخ"))</f>
        <v/>
      </c>
      <c r="L348" s="10" t="str">
        <f>IF($A348="","",COUNTIFS(Evaluations!$G$3:$G$10000,$A348,Evaluations!$O$3:$O$10000,"رعایت نشده"))</f>
        <v/>
      </c>
    </row>
    <row r="349">
      <c r="A349" s="10"/>
      <c r="B349" s="10" t="str">
        <f t="array" ref="B349">_xlfn.XLOOKUP(A349,DATA!D:D,DATA!E:E,"")</f>
        <v/>
      </c>
      <c r="C349" s="10" t="str">
        <f>IF($A349="","",COUNTIFS(Evaluations!$G$3:$G$10000,$A349,Evaluations!$U$3:$U$10000,"&gt;=0",Evaluations!$U$3:$U$10000,"&lt;=100"))</f>
        <v/>
      </c>
      <c r="D349" s="10" t="str">
        <f>IF(OR($A349="",C349=0),"",ROUND(SUMIFS(Evaluations!$U$3:$U$10000,Evaluations!$G$3:$G$10000,$A349)/C349,2))</f>
        <v/>
      </c>
      <c r="E349" s="10" t="str">
        <f>IF($A349="","",COUNTIFS(Evaluations!$G$3:$G$10000,$A349,Evaluations!$M$3:$M$10000,"پاسخ داده شده"))</f>
        <v/>
      </c>
      <c r="F349" s="10" t="str">
        <f>IF($A349="","",IFERROR(COUNTIFS(Evaluations!$G$3:$G$10000,$A349,Evaluations!$O$3:$O$10000,"رعایت شده")/(COUNTIFS(Evaluations!$G$3:$G$10000,$A349,Evaluations!$O$3:$O$10000,"رعایت شده")+COUNTIFS(Evaluations!$G$3:$G$10000,$A349,Evaluations!$O$3:$O$10000,"رعایت نشده")),""))</f>
        <v/>
      </c>
      <c r="G349" s="10" t="str">
        <f>IF($A349="","",IFERROR(ROUND(100*COUNTIFS(Evaluations!$G$3:$G$10000,$A349,Evaluations!$Q$3:$Q$10000,1)/(COUNTIFS(Evaluations!$G$3:$G$10000,$A349,Evaluations!$Q$3:$Q$10000,1)+COUNTIFS(Evaluations!$G$3:$G$10000,$A349,Evaluations!$Q$3:$Q$10000,0)),2),""))</f>
        <v/>
      </c>
      <c r="H349" s="10" t="str">
        <f>IF($A349="","",IFERROR(ROUND(100*COUNTIFS(Evaluations!$G$3:$G$10000,$A349,Evaluations!$R$3:$R$10000,1)/(COUNTIFS(Evaluations!$G$3:$G$10000,$A349,Evaluations!$R$3:$R$10000,1)+COUNTIFS(Evaluations!$G$3:$G$10000,$A349,Evaluations!$R$3:$R$10000,0)),2),""))</f>
        <v/>
      </c>
      <c r="I349" s="10" t="str">
        <f>IF($A349="","",IFERROR(ROUND(100*COUNTIFS(Evaluations!$G$3:$G$10000,$A349,Evaluations!$S$3:$S$10000,1)/(COUNTIFS(Evaluations!$G$3:$G$10000,$A349,Evaluations!$S$3:$S$10000,1)+COUNTIFS(Evaluations!$G$3:$G$10000,$A349,Evaluations!$S$3:$S$10000,0)),2),""))</f>
        <v/>
      </c>
      <c r="J349" s="10" t="str">
        <f>IF($A349="","",IFERROR(ROUND(100*COUNTIFS(Evaluations!$G$3:$G$10000,$A349,Evaluations!$T$3:$T$10000,1)/(COUNTIFS(Evaluations!$G$3:$G$10000,$A349,Evaluations!$T$3:$T$10000,1)+COUNTIFS(Evaluations!$G$3:$G$10000,$A349,Evaluations!$T$3:$T$10000,0)),2),""))</f>
        <v/>
      </c>
      <c r="K349" s="10" t="str">
        <f>IF($A349="","",COUNTIFS(Evaluations!$G$3:$G$10000,$A349,Evaluations!$M$3:$M$10000,"عدم پاسخ"))</f>
        <v/>
      </c>
      <c r="L349" s="10" t="str">
        <f>IF($A349="","",COUNTIFS(Evaluations!$G$3:$G$10000,$A349,Evaluations!$O$3:$O$10000,"رعایت نشده"))</f>
        <v/>
      </c>
    </row>
    <row r="350">
      <c r="A350" s="10"/>
      <c r="B350" s="10" t="str">
        <f t="array" ref="B350">_xlfn.XLOOKUP(A350,DATA!D:D,DATA!E:E,"")</f>
        <v/>
      </c>
      <c r="C350" s="10" t="str">
        <f>IF($A350="","",COUNTIFS(Evaluations!$G$3:$G$10000,$A350,Evaluations!$U$3:$U$10000,"&gt;=0",Evaluations!$U$3:$U$10000,"&lt;=100"))</f>
        <v/>
      </c>
      <c r="D350" s="10" t="str">
        <f>IF(OR($A350="",C350=0),"",ROUND(SUMIFS(Evaluations!$U$3:$U$10000,Evaluations!$G$3:$G$10000,$A350)/C350,2))</f>
        <v/>
      </c>
      <c r="E350" s="10" t="str">
        <f>IF($A350="","",COUNTIFS(Evaluations!$G$3:$G$10000,$A350,Evaluations!$M$3:$M$10000,"پاسخ داده شده"))</f>
        <v/>
      </c>
      <c r="F350" s="10" t="str">
        <f>IF($A350="","",IFERROR(COUNTIFS(Evaluations!$G$3:$G$10000,$A350,Evaluations!$O$3:$O$10000,"رعایت شده")/(COUNTIFS(Evaluations!$G$3:$G$10000,$A350,Evaluations!$O$3:$O$10000,"رعایت شده")+COUNTIFS(Evaluations!$G$3:$G$10000,$A350,Evaluations!$O$3:$O$10000,"رعایت نشده")),""))</f>
        <v/>
      </c>
      <c r="G350" s="10" t="str">
        <f>IF($A350="","",IFERROR(ROUND(100*COUNTIFS(Evaluations!$G$3:$G$10000,$A350,Evaluations!$Q$3:$Q$10000,1)/(COUNTIFS(Evaluations!$G$3:$G$10000,$A350,Evaluations!$Q$3:$Q$10000,1)+COUNTIFS(Evaluations!$G$3:$G$10000,$A350,Evaluations!$Q$3:$Q$10000,0)),2),""))</f>
        <v/>
      </c>
      <c r="H350" s="10" t="str">
        <f>IF($A350="","",IFERROR(ROUND(100*COUNTIFS(Evaluations!$G$3:$G$10000,$A350,Evaluations!$R$3:$R$10000,1)/(COUNTIFS(Evaluations!$G$3:$G$10000,$A350,Evaluations!$R$3:$R$10000,1)+COUNTIFS(Evaluations!$G$3:$G$10000,$A350,Evaluations!$R$3:$R$10000,0)),2),""))</f>
        <v/>
      </c>
      <c r="I350" s="10" t="str">
        <f>IF($A350="","",IFERROR(ROUND(100*COUNTIFS(Evaluations!$G$3:$G$10000,$A350,Evaluations!$S$3:$S$10000,1)/(COUNTIFS(Evaluations!$G$3:$G$10000,$A350,Evaluations!$S$3:$S$10000,1)+COUNTIFS(Evaluations!$G$3:$G$10000,$A350,Evaluations!$S$3:$S$10000,0)),2),""))</f>
        <v/>
      </c>
      <c r="J350" s="10" t="str">
        <f>IF($A350="","",IFERROR(ROUND(100*COUNTIFS(Evaluations!$G$3:$G$10000,$A350,Evaluations!$T$3:$T$10000,1)/(COUNTIFS(Evaluations!$G$3:$G$10000,$A350,Evaluations!$T$3:$T$10000,1)+COUNTIFS(Evaluations!$G$3:$G$10000,$A350,Evaluations!$T$3:$T$10000,0)),2),""))</f>
        <v/>
      </c>
      <c r="K350" s="10" t="str">
        <f>IF($A350="","",COUNTIFS(Evaluations!$G$3:$G$10000,$A350,Evaluations!$M$3:$M$10000,"عدم پاسخ"))</f>
        <v/>
      </c>
      <c r="L350" s="10" t="str">
        <f>IF($A350="","",COUNTIFS(Evaluations!$G$3:$G$10000,$A350,Evaluations!$O$3:$O$10000,"رعایت نشده"))</f>
        <v/>
      </c>
    </row>
    <row r="351">
      <c r="A351" s="10"/>
      <c r="B351" s="10" t="str">
        <f t="array" ref="B351">_xlfn.XLOOKUP(A351,DATA!D:D,DATA!E:E,"")</f>
        <v/>
      </c>
      <c r="C351" s="10" t="str">
        <f>IF($A351="","",COUNTIFS(Evaluations!$G$3:$G$10000,$A351,Evaluations!$U$3:$U$10000,"&gt;=0",Evaluations!$U$3:$U$10000,"&lt;=100"))</f>
        <v/>
      </c>
      <c r="D351" s="10" t="str">
        <f>IF(OR($A351="",C351=0),"",ROUND(SUMIFS(Evaluations!$U$3:$U$10000,Evaluations!$G$3:$G$10000,$A351)/C351,2))</f>
        <v/>
      </c>
      <c r="E351" s="10" t="str">
        <f>IF($A351="","",COUNTIFS(Evaluations!$G$3:$G$10000,$A351,Evaluations!$M$3:$M$10000,"پاسخ داده شده"))</f>
        <v/>
      </c>
      <c r="F351" s="10" t="str">
        <f>IF($A351="","",IFERROR(COUNTIFS(Evaluations!$G$3:$G$10000,$A351,Evaluations!$O$3:$O$10000,"رعایت شده")/(COUNTIFS(Evaluations!$G$3:$G$10000,$A351,Evaluations!$O$3:$O$10000,"رعایت شده")+COUNTIFS(Evaluations!$G$3:$G$10000,$A351,Evaluations!$O$3:$O$10000,"رعایت نشده")),""))</f>
        <v/>
      </c>
      <c r="G351" s="10" t="str">
        <f>IF($A351="","",IFERROR(ROUND(100*COUNTIFS(Evaluations!$G$3:$G$10000,$A351,Evaluations!$Q$3:$Q$10000,1)/(COUNTIFS(Evaluations!$G$3:$G$10000,$A351,Evaluations!$Q$3:$Q$10000,1)+COUNTIFS(Evaluations!$G$3:$G$10000,$A351,Evaluations!$Q$3:$Q$10000,0)),2),""))</f>
        <v/>
      </c>
      <c r="H351" s="10" t="str">
        <f>IF($A351="","",IFERROR(ROUND(100*COUNTIFS(Evaluations!$G$3:$G$10000,$A351,Evaluations!$R$3:$R$10000,1)/(COUNTIFS(Evaluations!$G$3:$G$10000,$A351,Evaluations!$R$3:$R$10000,1)+COUNTIFS(Evaluations!$G$3:$G$10000,$A351,Evaluations!$R$3:$R$10000,0)),2),""))</f>
        <v/>
      </c>
      <c r="I351" s="10" t="str">
        <f>IF($A351="","",IFERROR(ROUND(100*COUNTIFS(Evaluations!$G$3:$G$10000,$A351,Evaluations!$S$3:$S$10000,1)/(COUNTIFS(Evaluations!$G$3:$G$10000,$A351,Evaluations!$S$3:$S$10000,1)+COUNTIFS(Evaluations!$G$3:$G$10000,$A351,Evaluations!$S$3:$S$10000,0)),2),""))</f>
        <v/>
      </c>
      <c r="J351" s="10" t="str">
        <f>IF($A351="","",IFERROR(ROUND(100*COUNTIFS(Evaluations!$G$3:$G$10000,$A351,Evaluations!$T$3:$T$10000,1)/(COUNTIFS(Evaluations!$G$3:$G$10000,$A351,Evaluations!$T$3:$T$10000,1)+COUNTIFS(Evaluations!$G$3:$G$10000,$A351,Evaluations!$T$3:$T$10000,0)),2),""))</f>
        <v/>
      </c>
      <c r="K351" s="10" t="str">
        <f>IF($A351="","",COUNTIFS(Evaluations!$G$3:$G$10000,$A351,Evaluations!$M$3:$M$10000,"عدم پاسخ"))</f>
        <v/>
      </c>
      <c r="L351" s="10" t="str">
        <f>IF($A351="","",COUNTIFS(Evaluations!$G$3:$G$10000,$A351,Evaluations!$O$3:$O$10000,"رعایت نشده"))</f>
        <v/>
      </c>
    </row>
    <row r="352">
      <c r="A352" s="10"/>
      <c r="B352" s="10" t="str">
        <f t="array" ref="B352">_xlfn.XLOOKUP(A352,DATA!D:D,DATA!E:E,"")</f>
        <v/>
      </c>
      <c r="C352" s="10" t="str">
        <f>IF($A352="","",COUNTIFS(Evaluations!$G$3:$G$10000,$A352,Evaluations!$U$3:$U$10000,"&gt;=0",Evaluations!$U$3:$U$10000,"&lt;=100"))</f>
        <v/>
      </c>
      <c r="D352" s="10" t="str">
        <f>IF(OR($A352="",C352=0),"",ROUND(SUMIFS(Evaluations!$U$3:$U$10000,Evaluations!$G$3:$G$10000,$A352)/C352,2))</f>
        <v/>
      </c>
      <c r="E352" s="10" t="str">
        <f>IF($A352="","",COUNTIFS(Evaluations!$G$3:$G$10000,$A352,Evaluations!$M$3:$M$10000,"پاسخ داده شده"))</f>
        <v/>
      </c>
      <c r="F352" s="10" t="str">
        <f>IF($A352="","",IFERROR(COUNTIFS(Evaluations!$G$3:$G$10000,$A352,Evaluations!$O$3:$O$10000,"رعایت شده")/(COUNTIFS(Evaluations!$G$3:$G$10000,$A352,Evaluations!$O$3:$O$10000,"رعایت شده")+COUNTIFS(Evaluations!$G$3:$G$10000,$A352,Evaluations!$O$3:$O$10000,"رعایت نشده")),""))</f>
        <v/>
      </c>
      <c r="G352" s="10" t="str">
        <f>IF($A352="","",IFERROR(ROUND(100*COUNTIFS(Evaluations!$G$3:$G$10000,$A352,Evaluations!$Q$3:$Q$10000,1)/(COUNTIFS(Evaluations!$G$3:$G$10000,$A352,Evaluations!$Q$3:$Q$10000,1)+COUNTIFS(Evaluations!$G$3:$G$10000,$A352,Evaluations!$Q$3:$Q$10000,0)),2),""))</f>
        <v/>
      </c>
      <c r="H352" s="10" t="str">
        <f>IF($A352="","",IFERROR(ROUND(100*COUNTIFS(Evaluations!$G$3:$G$10000,$A352,Evaluations!$R$3:$R$10000,1)/(COUNTIFS(Evaluations!$G$3:$G$10000,$A352,Evaluations!$R$3:$R$10000,1)+COUNTIFS(Evaluations!$G$3:$G$10000,$A352,Evaluations!$R$3:$R$10000,0)),2),""))</f>
        <v/>
      </c>
      <c r="I352" s="10" t="str">
        <f>IF($A352="","",IFERROR(ROUND(100*COUNTIFS(Evaluations!$G$3:$G$10000,$A352,Evaluations!$S$3:$S$10000,1)/(COUNTIFS(Evaluations!$G$3:$G$10000,$A352,Evaluations!$S$3:$S$10000,1)+COUNTIFS(Evaluations!$G$3:$G$10000,$A352,Evaluations!$S$3:$S$10000,0)),2),""))</f>
        <v/>
      </c>
      <c r="J352" s="10" t="str">
        <f>IF($A352="","",IFERROR(ROUND(100*COUNTIFS(Evaluations!$G$3:$G$10000,$A352,Evaluations!$T$3:$T$10000,1)/(COUNTIFS(Evaluations!$G$3:$G$10000,$A352,Evaluations!$T$3:$T$10000,1)+COUNTIFS(Evaluations!$G$3:$G$10000,$A352,Evaluations!$T$3:$T$10000,0)),2),""))</f>
        <v/>
      </c>
      <c r="K352" s="10" t="str">
        <f>IF($A352="","",COUNTIFS(Evaluations!$G$3:$G$10000,$A352,Evaluations!$M$3:$M$10000,"عدم پاسخ"))</f>
        <v/>
      </c>
      <c r="L352" s="10" t="str">
        <f>IF($A352="","",COUNTIFS(Evaluations!$G$3:$G$10000,$A352,Evaluations!$O$3:$O$10000,"رعایت نشده"))</f>
        <v/>
      </c>
    </row>
    <row r="353">
      <c r="A353" s="10"/>
      <c r="B353" s="10" t="str">
        <f t="array" ref="B353">_xlfn.XLOOKUP(A353,DATA!D:D,DATA!E:E,"")</f>
        <v/>
      </c>
      <c r="C353" s="10" t="str">
        <f>IF($A353="","",COUNTIFS(Evaluations!$G$3:$G$10000,$A353,Evaluations!$U$3:$U$10000,"&gt;=0",Evaluations!$U$3:$U$10000,"&lt;=100"))</f>
        <v/>
      </c>
      <c r="D353" s="10" t="str">
        <f>IF(OR($A353="",C353=0),"",ROUND(SUMIFS(Evaluations!$U$3:$U$10000,Evaluations!$G$3:$G$10000,$A353)/C353,2))</f>
        <v/>
      </c>
      <c r="E353" s="10" t="str">
        <f>IF($A353="","",COUNTIFS(Evaluations!$G$3:$G$10000,$A353,Evaluations!$M$3:$M$10000,"پاسخ داده شده"))</f>
        <v/>
      </c>
      <c r="F353" s="10" t="str">
        <f>IF($A353="","",IFERROR(COUNTIFS(Evaluations!$G$3:$G$10000,$A353,Evaluations!$O$3:$O$10000,"رعایت شده")/(COUNTIFS(Evaluations!$G$3:$G$10000,$A353,Evaluations!$O$3:$O$10000,"رعایت شده")+COUNTIFS(Evaluations!$G$3:$G$10000,$A353,Evaluations!$O$3:$O$10000,"رعایت نشده")),""))</f>
        <v/>
      </c>
      <c r="G353" s="10" t="str">
        <f>IF($A353="","",IFERROR(ROUND(100*COUNTIFS(Evaluations!$G$3:$G$10000,$A353,Evaluations!$Q$3:$Q$10000,1)/(COUNTIFS(Evaluations!$G$3:$G$10000,$A353,Evaluations!$Q$3:$Q$10000,1)+COUNTIFS(Evaluations!$G$3:$G$10000,$A353,Evaluations!$Q$3:$Q$10000,0)),2),""))</f>
        <v/>
      </c>
      <c r="H353" s="10" t="str">
        <f>IF($A353="","",IFERROR(ROUND(100*COUNTIFS(Evaluations!$G$3:$G$10000,$A353,Evaluations!$R$3:$R$10000,1)/(COUNTIFS(Evaluations!$G$3:$G$10000,$A353,Evaluations!$R$3:$R$10000,1)+COUNTIFS(Evaluations!$G$3:$G$10000,$A353,Evaluations!$R$3:$R$10000,0)),2),""))</f>
        <v/>
      </c>
      <c r="I353" s="10" t="str">
        <f>IF($A353="","",IFERROR(ROUND(100*COUNTIFS(Evaluations!$G$3:$G$10000,$A353,Evaluations!$S$3:$S$10000,1)/(COUNTIFS(Evaluations!$G$3:$G$10000,$A353,Evaluations!$S$3:$S$10000,1)+COUNTIFS(Evaluations!$G$3:$G$10000,$A353,Evaluations!$S$3:$S$10000,0)),2),""))</f>
        <v/>
      </c>
      <c r="J353" s="10" t="str">
        <f>IF($A353="","",IFERROR(ROUND(100*COUNTIFS(Evaluations!$G$3:$G$10000,$A353,Evaluations!$T$3:$T$10000,1)/(COUNTIFS(Evaluations!$G$3:$G$10000,$A353,Evaluations!$T$3:$T$10000,1)+COUNTIFS(Evaluations!$G$3:$G$10000,$A353,Evaluations!$T$3:$T$10000,0)),2),""))</f>
        <v/>
      </c>
      <c r="K353" s="10" t="str">
        <f>IF($A353="","",COUNTIFS(Evaluations!$G$3:$G$10000,$A353,Evaluations!$M$3:$M$10000,"عدم پاسخ"))</f>
        <v/>
      </c>
      <c r="L353" s="10" t="str">
        <f>IF($A353="","",COUNTIFS(Evaluations!$G$3:$G$10000,$A353,Evaluations!$O$3:$O$10000,"رعایت نشده"))</f>
        <v/>
      </c>
    </row>
    <row r="354">
      <c r="A354" s="10"/>
      <c r="B354" s="10" t="str">
        <f t="array" ref="B354">_xlfn.XLOOKUP(A354,DATA!D:D,DATA!E:E,"")</f>
        <v/>
      </c>
      <c r="C354" s="10" t="str">
        <f>IF($A354="","",COUNTIFS(Evaluations!$G$3:$G$10000,$A354,Evaluations!$U$3:$U$10000,"&gt;=0",Evaluations!$U$3:$U$10000,"&lt;=100"))</f>
        <v/>
      </c>
      <c r="D354" s="10" t="str">
        <f>IF(OR($A354="",C354=0),"",ROUND(SUMIFS(Evaluations!$U$3:$U$10000,Evaluations!$G$3:$G$10000,$A354)/C354,2))</f>
        <v/>
      </c>
      <c r="E354" s="10" t="str">
        <f>IF($A354="","",COUNTIFS(Evaluations!$G$3:$G$10000,$A354,Evaluations!$M$3:$M$10000,"پاسخ داده شده"))</f>
        <v/>
      </c>
      <c r="F354" s="10" t="str">
        <f>IF($A354="","",IFERROR(COUNTIFS(Evaluations!$G$3:$G$10000,$A354,Evaluations!$O$3:$O$10000,"رعایت شده")/(COUNTIFS(Evaluations!$G$3:$G$10000,$A354,Evaluations!$O$3:$O$10000,"رعایت شده")+COUNTIFS(Evaluations!$G$3:$G$10000,$A354,Evaluations!$O$3:$O$10000,"رعایت نشده")),""))</f>
        <v/>
      </c>
      <c r="G354" s="10" t="str">
        <f>IF($A354="","",IFERROR(ROUND(100*COUNTIFS(Evaluations!$G$3:$G$10000,$A354,Evaluations!$Q$3:$Q$10000,1)/(COUNTIFS(Evaluations!$G$3:$G$10000,$A354,Evaluations!$Q$3:$Q$10000,1)+COUNTIFS(Evaluations!$G$3:$G$10000,$A354,Evaluations!$Q$3:$Q$10000,0)),2),""))</f>
        <v/>
      </c>
      <c r="H354" s="10" t="str">
        <f>IF($A354="","",IFERROR(ROUND(100*COUNTIFS(Evaluations!$G$3:$G$10000,$A354,Evaluations!$R$3:$R$10000,1)/(COUNTIFS(Evaluations!$G$3:$G$10000,$A354,Evaluations!$R$3:$R$10000,1)+COUNTIFS(Evaluations!$G$3:$G$10000,$A354,Evaluations!$R$3:$R$10000,0)),2),""))</f>
        <v/>
      </c>
      <c r="I354" s="10" t="str">
        <f>IF($A354="","",IFERROR(ROUND(100*COUNTIFS(Evaluations!$G$3:$G$10000,$A354,Evaluations!$S$3:$S$10000,1)/(COUNTIFS(Evaluations!$G$3:$G$10000,$A354,Evaluations!$S$3:$S$10000,1)+COUNTIFS(Evaluations!$G$3:$G$10000,$A354,Evaluations!$S$3:$S$10000,0)),2),""))</f>
        <v/>
      </c>
      <c r="J354" s="10" t="str">
        <f>IF($A354="","",IFERROR(ROUND(100*COUNTIFS(Evaluations!$G$3:$G$10000,$A354,Evaluations!$T$3:$T$10000,1)/(COUNTIFS(Evaluations!$G$3:$G$10000,$A354,Evaluations!$T$3:$T$10000,1)+COUNTIFS(Evaluations!$G$3:$G$10000,$A354,Evaluations!$T$3:$T$10000,0)),2),""))</f>
        <v/>
      </c>
      <c r="K354" s="10" t="str">
        <f>IF($A354="","",COUNTIFS(Evaluations!$G$3:$G$10000,$A354,Evaluations!$M$3:$M$10000,"عدم پاسخ"))</f>
        <v/>
      </c>
      <c r="L354" s="10" t="str">
        <f>IF($A354="","",COUNTIFS(Evaluations!$G$3:$G$10000,$A354,Evaluations!$O$3:$O$10000,"رعایت نشده"))</f>
        <v/>
      </c>
    </row>
    <row r="355">
      <c r="A355" s="10"/>
      <c r="B355" s="10" t="str">
        <f t="array" ref="B355">_xlfn.XLOOKUP(A355,DATA!D:D,DATA!E:E,"")</f>
        <v/>
      </c>
      <c r="C355" s="10" t="str">
        <f>IF($A355="","",COUNTIFS(Evaluations!$G$3:$G$10000,$A355,Evaluations!$U$3:$U$10000,"&gt;=0",Evaluations!$U$3:$U$10000,"&lt;=100"))</f>
        <v/>
      </c>
      <c r="D355" s="10" t="str">
        <f>IF(OR($A355="",C355=0),"",ROUND(SUMIFS(Evaluations!$U$3:$U$10000,Evaluations!$G$3:$G$10000,$A355)/C355,2))</f>
        <v/>
      </c>
      <c r="E355" s="10" t="str">
        <f>IF($A355="","",COUNTIFS(Evaluations!$G$3:$G$10000,$A355,Evaluations!$M$3:$M$10000,"پاسخ داده شده"))</f>
        <v/>
      </c>
      <c r="F355" s="10" t="str">
        <f>IF($A355="","",IFERROR(COUNTIFS(Evaluations!$G$3:$G$10000,$A355,Evaluations!$O$3:$O$10000,"رعایت شده")/(COUNTIFS(Evaluations!$G$3:$G$10000,$A355,Evaluations!$O$3:$O$10000,"رعایت شده")+COUNTIFS(Evaluations!$G$3:$G$10000,$A355,Evaluations!$O$3:$O$10000,"رعایت نشده")),""))</f>
        <v/>
      </c>
      <c r="G355" s="10" t="str">
        <f>IF($A355="","",IFERROR(ROUND(100*COUNTIFS(Evaluations!$G$3:$G$10000,$A355,Evaluations!$Q$3:$Q$10000,1)/(COUNTIFS(Evaluations!$G$3:$G$10000,$A355,Evaluations!$Q$3:$Q$10000,1)+COUNTIFS(Evaluations!$G$3:$G$10000,$A355,Evaluations!$Q$3:$Q$10000,0)),2),""))</f>
        <v/>
      </c>
      <c r="H355" s="10" t="str">
        <f>IF($A355="","",IFERROR(ROUND(100*COUNTIFS(Evaluations!$G$3:$G$10000,$A355,Evaluations!$R$3:$R$10000,1)/(COUNTIFS(Evaluations!$G$3:$G$10000,$A355,Evaluations!$R$3:$R$10000,1)+COUNTIFS(Evaluations!$G$3:$G$10000,$A355,Evaluations!$R$3:$R$10000,0)),2),""))</f>
        <v/>
      </c>
      <c r="I355" s="10" t="str">
        <f>IF($A355="","",IFERROR(ROUND(100*COUNTIFS(Evaluations!$G$3:$G$10000,$A355,Evaluations!$S$3:$S$10000,1)/(COUNTIFS(Evaluations!$G$3:$G$10000,$A355,Evaluations!$S$3:$S$10000,1)+COUNTIFS(Evaluations!$G$3:$G$10000,$A355,Evaluations!$S$3:$S$10000,0)),2),""))</f>
        <v/>
      </c>
      <c r="J355" s="10" t="str">
        <f>IF($A355="","",IFERROR(ROUND(100*COUNTIFS(Evaluations!$G$3:$G$10000,$A355,Evaluations!$T$3:$T$10000,1)/(COUNTIFS(Evaluations!$G$3:$G$10000,$A355,Evaluations!$T$3:$T$10000,1)+COUNTIFS(Evaluations!$G$3:$G$10000,$A355,Evaluations!$T$3:$T$10000,0)),2),""))</f>
        <v/>
      </c>
      <c r="K355" s="10" t="str">
        <f>IF($A355="","",COUNTIFS(Evaluations!$G$3:$G$10000,$A355,Evaluations!$M$3:$M$10000,"عدم پاسخ"))</f>
        <v/>
      </c>
      <c r="L355" s="10" t="str">
        <f>IF($A355="","",COUNTIFS(Evaluations!$G$3:$G$10000,$A355,Evaluations!$O$3:$O$10000,"رعایت نشده"))</f>
        <v/>
      </c>
    </row>
    <row r="356">
      <c r="A356" s="10"/>
      <c r="B356" s="10" t="str">
        <f t="array" ref="B356">_xlfn.XLOOKUP(A356,DATA!D:D,DATA!E:E,"")</f>
        <v/>
      </c>
      <c r="C356" s="10" t="str">
        <f>IF($A356="","",COUNTIFS(Evaluations!$G$3:$G$10000,$A356,Evaluations!$U$3:$U$10000,"&gt;=0",Evaluations!$U$3:$U$10000,"&lt;=100"))</f>
        <v/>
      </c>
      <c r="D356" s="10" t="str">
        <f>IF(OR($A356="",C356=0),"",ROUND(SUMIFS(Evaluations!$U$3:$U$10000,Evaluations!$G$3:$G$10000,$A356)/C356,2))</f>
        <v/>
      </c>
      <c r="E356" s="10" t="str">
        <f>IF($A356="","",COUNTIFS(Evaluations!$G$3:$G$10000,$A356,Evaluations!$M$3:$M$10000,"پاسخ داده شده"))</f>
        <v/>
      </c>
      <c r="F356" s="10" t="str">
        <f>IF($A356="","",IFERROR(COUNTIFS(Evaluations!$G$3:$G$10000,$A356,Evaluations!$O$3:$O$10000,"رعایت شده")/(COUNTIFS(Evaluations!$G$3:$G$10000,$A356,Evaluations!$O$3:$O$10000,"رعایت شده")+COUNTIFS(Evaluations!$G$3:$G$10000,$A356,Evaluations!$O$3:$O$10000,"رعایت نشده")),""))</f>
        <v/>
      </c>
      <c r="G356" s="10" t="str">
        <f>IF($A356="","",IFERROR(ROUND(100*COUNTIFS(Evaluations!$G$3:$G$10000,$A356,Evaluations!$Q$3:$Q$10000,1)/(COUNTIFS(Evaluations!$G$3:$G$10000,$A356,Evaluations!$Q$3:$Q$10000,1)+COUNTIFS(Evaluations!$G$3:$G$10000,$A356,Evaluations!$Q$3:$Q$10000,0)),2),""))</f>
        <v/>
      </c>
      <c r="H356" s="10" t="str">
        <f>IF($A356="","",IFERROR(ROUND(100*COUNTIFS(Evaluations!$G$3:$G$10000,$A356,Evaluations!$R$3:$R$10000,1)/(COUNTIFS(Evaluations!$G$3:$G$10000,$A356,Evaluations!$R$3:$R$10000,1)+COUNTIFS(Evaluations!$G$3:$G$10000,$A356,Evaluations!$R$3:$R$10000,0)),2),""))</f>
        <v/>
      </c>
      <c r="I356" s="10" t="str">
        <f>IF($A356="","",IFERROR(ROUND(100*COUNTIFS(Evaluations!$G$3:$G$10000,$A356,Evaluations!$S$3:$S$10000,1)/(COUNTIFS(Evaluations!$G$3:$G$10000,$A356,Evaluations!$S$3:$S$10000,1)+COUNTIFS(Evaluations!$G$3:$G$10000,$A356,Evaluations!$S$3:$S$10000,0)),2),""))</f>
        <v/>
      </c>
      <c r="J356" s="10" t="str">
        <f>IF($A356="","",IFERROR(ROUND(100*COUNTIFS(Evaluations!$G$3:$G$10000,$A356,Evaluations!$T$3:$T$10000,1)/(COUNTIFS(Evaluations!$G$3:$G$10000,$A356,Evaluations!$T$3:$T$10000,1)+COUNTIFS(Evaluations!$G$3:$G$10000,$A356,Evaluations!$T$3:$T$10000,0)),2),""))</f>
        <v/>
      </c>
      <c r="K356" s="10" t="str">
        <f>IF($A356="","",COUNTIFS(Evaluations!$G$3:$G$10000,$A356,Evaluations!$M$3:$M$10000,"عدم پاسخ"))</f>
        <v/>
      </c>
      <c r="L356" s="10" t="str">
        <f>IF($A356="","",COUNTIFS(Evaluations!$G$3:$G$10000,$A356,Evaluations!$O$3:$O$10000,"رعایت نشده"))</f>
        <v/>
      </c>
    </row>
    <row r="357">
      <c r="A357" s="10"/>
      <c r="B357" s="10" t="str">
        <f t="array" ref="B357">_xlfn.XLOOKUP(A357,DATA!D:D,DATA!E:E,"")</f>
        <v/>
      </c>
      <c r="C357" s="10" t="str">
        <f>IF($A357="","",COUNTIFS(Evaluations!$G$3:$G$10000,$A357,Evaluations!$U$3:$U$10000,"&gt;=0",Evaluations!$U$3:$U$10000,"&lt;=100"))</f>
        <v/>
      </c>
      <c r="D357" s="10" t="str">
        <f>IF(OR($A357="",C357=0),"",ROUND(SUMIFS(Evaluations!$U$3:$U$10000,Evaluations!$G$3:$G$10000,$A357)/C357,2))</f>
        <v/>
      </c>
      <c r="E357" s="10" t="str">
        <f>IF($A357="","",COUNTIFS(Evaluations!$G$3:$G$10000,$A357,Evaluations!$M$3:$M$10000,"پاسخ داده شده"))</f>
        <v/>
      </c>
      <c r="F357" s="10" t="str">
        <f>IF($A357="","",IFERROR(COUNTIFS(Evaluations!$G$3:$G$10000,$A357,Evaluations!$O$3:$O$10000,"رعایت شده")/(COUNTIFS(Evaluations!$G$3:$G$10000,$A357,Evaluations!$O$3:$O$10000,"رعایت شده")+COUNTIFS(Evaluations!$G$3:$G$10000,$A357,Evaluations!$O$3:$O$10000,"رعایت نشده")),""))</f>
        <v/>
      </c>
      <c r="G357" s="10" t="str">
        <f>IF($A357="","",IFERROR(ROUND(100*COUNTIFS(Evaluations!$G$3:$G$10000,$A357,Evaluations!$Q$3:$Q$10000,1)/(COUNTIFS(Evaluations!$G$3:$G$10000,$A357,Evaluations!$Q$3:$Q$10000,1)+COUNTIFS(Evaluations!$G$3:$G$10000,$A357,Evaluations!$Q$3:$Q$10000,0)),2),""))</f>
        <v/>
      </c>
      <c r="H357" s="10" t="str">
        <f>IF($A357="","",IFERROR(ROUND(100*COUNTIFS(Evaluations!$G$3:$G$10000,$A357,Evaluations!$R$3:$R$10000,1)/(COUNTIFS(Evaluations!$G$3:$G$10000,$A357,Evaluations!$R$3:$R$10000,1)+COUNTIFS(Evaluations!$G$3:$G$10000,$A357,Evaluations!$R$3:$R$10000,0)),2),""))</f>
        <v/>
      </c>
      <c r="I357" s="10" t="str">
        <f>IF($A357="","",IFERROR(ROUND(100*COUNTIFS(Evaluations!$G$3:$G$10000,$A357,Evaluations!$S$3:$S$10000,1)/(COUNTIFS(Evaluations!$G$3:$G$10000,$A357,Evaluations!$S$3:$S$10000,1)+COUNTIFS(Evaluations!$G$3:$G$10000,$A357,Evaluations!$S$3:$S$10000,0)),2),""))</f>
        <v/>
      </c>
      <c r="J357" s="10" t="str">
        <f>IF($A357="","",IFERROR(ROUND(100*COUNTIFS(Evaluations!$G$3:$G$10000,$A357,Evaluations!$T$3:$T$10000,1)/(COUNTIFS(Evaluations!$G$3:$G$10000,$A357,Evaluations!$T$3:$T$10000,1)+COUNTIFS(Evaluations!$G$3:$G$10000,$A357,Evaluations!$T$3:$T$10000,0)),2),""))</f>
        <v/>
      </c>
      <c r="K357" s="10" t="str">
        <f>IF($A357="","",COUNTIFS(Evaluations!$G$3:$G$10000,$A357,Evaluations!$M$3:$M$10000,"عدم پاسخ"))</f>
        <v/>
      </c>
      <c r="L357" s="10" t="str">
        <f>IF($A357="","",COUNTIFS(Evaluations!$G$3:$G$10000,$A357,Evaluations!$O$3:$O$10000,"رعایت نشده"))</f>
        <v/>
      </c>
    </row>
    <row r="358">
      <c r="A358" s="10"/>
      <c r="B358" s="10" t="str">
        <f t="array" ref="B358">_xlfn.XLOOKUP(A358,DATA!D:D,DATA!E:E,"")</f>
        <v/>
      </c>
      <c r="C358" s="10" t="str">
        <f>IF($A358="","",COUNTIFS(Evaluations!$G$3:$G$10000,$A358,Evaluations!$U$3:$U$10000,"&gt;=0",Evaluations!$U$3:$U$10000,"&lt;=100"))</f>
        <v/>
      </c>
      <c r="D358" s="10" t="str">
        <f>IF(OR($A358="",C358=0),"",ROUND(SUMIFS(Evaluations!$U$3:$U$10000,Evaluations!$G$3:$G$10000,$A358)/C358,2))</f>
        <v/>
      </c>
      <c r="E358" s="10" t="str">
        <f>IF($A358="","",COUNTIFS(Evaluations!$G$3:$G$10000,$A358,Evaluations!$M$3:$M$10000,"پاسخ داده شده"))</f>
        <v/>
      </c>
      <c r="F358" s="10" t="str">
        <f>IF($A358="","",IFERROR(COUNTIFS(Evaluations!$G$3:$G$10000,$A358,Evaluations!$O$3:$O$10000,"رعایت شده")/(COUNTIFS(Evaluations!$G$3:$G$10000,$A358,Evaluations!$O$3:$O$10000,"رعایت شده")+COUNTIFS(Evaluations!$G$3:$G$10000,$A358,Evaluations!$O$3:$O$10000,"رعایت نشده")),""))</f>
        <v/>
      </c>
      <c r="G358" s="10" t="str">
        <f>IF($A358="","",IFERROR(ROUND(100*COUNTIFS(Evaluations!$G$3:$G$10000,$A358,Evaluations!$Q$3:$Q$10000,1)/(COUNTIFS(Evaluations!$G$3:$G$10000,$A358,Evaluations!$Q$3:$Q$10000,1)+COUNTIFS(Evaluations!$G$3:$G$10000,$A358,Evaluations!$Q$3:$Q$10000,0)),2),""))</f>
        <v/>
      </c>
      <c r="H358" s="10" t="str">
        <f>IF($A358="","",IFERROR(ROUND(100*COUNTIFS(Evaluations!$G$3:$G$10000,$A358,Evaluations!$R$3:$R$10000,1)/(COUNTIFS(Evaluations!$G$3:$G$10000,$A358,Evaluations!$R$3:$R$10000,1)+COUNTIFS(Evaluations!$G$3:$G$10000,$A358,Evaluations!$R$3:$R$10000,0)),2),""))</f>
        <v/>
      </c>
      <c r="I358" s="10" t="str">
        <f>IF($A358="","",IFERROR(ROUND(100*COUNTIFS(Evaluations!$G$3:$G$10000,$A358,Evaluations!$S$3:$S$10000,1)/(COUNTIFS(Evaluations!$G$3:$G$10000,$A358,Evaluations!$S$3:$S$10000,1)+COUNTIFS(Evaluations!$G$3:$G$10000,$A358,Evaluations!$S$3:$S$10000,0)),2),""))</f>
        <v/>
      </c>
      <c r="J358" s="10" t="str">
        <f>IF($A358="","",IFERROR(ROUND(100*COUNTIFS(Evaluations!$G$3:$G$10000,$A358,Evaluations!$T$3:$T$10000,1)/(COUNTIFS(Evaluations!$G$3:$G$10000,$A358,Evaluations!$T$3:$T$10000,1)+COUNTIFS(Evaluations!$G$3:$G$10000,$A358,Evaluations!$T$3:$T$10000,0)),2),""))</f>
        <v/>
      </c>
      <c r="K358" s="10" t="str">
        <f>IF($A358="","",COUNTIFS(Evaluations!$G$3:$G$10000,$A358,Evaluations!$M$3:$M$10000,"عدم پاسخ"))</f>
        <v/>
      </c>
      <c r="L358" s="10" t="str">
        <f>IF($A358="","",COUNTIFS(Evaluations!$G$3:$G$10000,$A358,Evaluations!$O$3:$O$10000,"رعایت نشده"))</f>
        <v/>
      </c>
    </row>
    <row r="359">
      <c r="A359" s="10"/>
      <c r="B359" s="10" t="str">
        <f t="array" ref="B359">_xlfn.XLOOKUP(A359,DATA!D:D,DATA!E:E,"")</f>
        <v/>
      </c>
      <c r="C359" s="10" t="str">
        <f>IF($A359="","",COUNTIFS(Evaluations!$G$3:$G$10000,$A359,Evaluations!$U$3:$U$10000,"&gt;=0",Evaluations!$U$3:$U$10000,"&lt;=100"))</f>
        <v/>
      </c>
      <c r="D359" s="10" t="str">
        <f>IF(OR($A359="",C359=0),"",ROUND(SUMIFS(Evaluations!$U$3:$U$10000,Evaluations!$G$3:$G$10000,$A359)/C359,2))</f>
        <v/>
      </c>
      <c r="E359" s="10" t="str">
        <f>IF($A359="","",COUNTIFS(Evaluations!$G$3:$G$10000,$A359,Evaluations!$M$3:$M$10000,"پاسخ داده شده"))</f>
        <v/>
      </c>
      <c r="F359" s="10" t="str">
        <f>IF($A359="","",IFERROR(COUNTIFS(Evaluations!$G$3:$G$10000,$A359,Evaluations!$O$3:$O$10000,"رعایت شده")/(COUNTIFS(Evaluations!$G$3:$G$10000,$A359,Evaluations!$O$3:$O$10000,"رعایت شده")+COUNTIFS(Evaluations!$G$3:$G$10000,$A359,Evaluations!$O$3:$O$10000,"رعایت نشده")),""))</f>
        <v/>
      </c>
      <c r="G359" s="10" t="str">
        <f>IF($A359="","",IFERROR(ROUND(100*COUNTIFS(Evaluations!$G$3:$G$10000,$A359,Evaluations!$Q$3:$Q$10000,1)/(COUNTIFS(Evaluations!$G$3:$G$10000,$A359,Evaluations!$Q$3:$Q$10000,1)+COUNTIFS(Evaluations!$G$3:$G$10000,$A359,Evaluations!$Q$3:$Q$10000,0)),2),""))</f>
        <v/>
      </c>
      <c r="H359" s="10" t="str">
        <f>IF($A359="","",IFERROR(ROUND(100*COUNTIFS(Evaluations!$G$3:$G$10000,$A359,Evaluations!$R$3:$R$10000,1)/(COUNTIFS(Evaluations!$G$3:$G$10000,$A359,Evaluations!$R$3:$R$10000,1)+COUNTIFS(Evaluations!$G$3:$G$10000,$A359,Evaluations!$R$3:$R$10000,0)),2),""))</f>
        <v/>
      </c>
      <c r="I359" s="10" t="str">
        <f>IF($A359="","",IFERROR(ROUND(100*COUNTIFS(Evaluations!$G$3:$G$10000,$A359,Evaluations!$S$3:$S$10000,1)/(COUNTIFS(Evaluations!$G$3:$G$10000,$A359,Evaluations!$S$3:$S$10000,1)+COUNTIFS(Evaluations!$G$3:$G$10000,$A359,Evaluations!$S$3:$S$10000,0)),2),""))</f>
        <v/>
      </c>
      <c r="J359" s="10" t="str">
        <f>IF($A359="","",IFERROR(ROUND(100*COUNTIFS(Evaluations!$G$3:$G$10000,$A359,Evaluations!$T$3:$T$10000,1)/(COUNTIFS(Evaluations!$G$3:$G$10000,$A359,Evaluations!$T$3:$T$10000,1)+COUNTIFS(Evaluations!$G$3:$G$10000,$A359,Evaluations!$T$3:$T$10000,0)),2),""))</f>
        <v/>
      </c>
      <c r="K359" s="10" t="str">
        <f>IF($A359="","",COUNTIFS(Evaluations!$G$3:$G$10000,$A359,Evaluations!$M$3:$M$10000,"عدم پاسخ"))</f>
        <v/>
      </c>
      <c r="L359" s="10" t="str">
        <f>IF($A359="","",COUNTIFS(Evaluations!$G$3:$G$10000,$A359,Evaluations!$O$3:$O$10000,"رعایت نشده"))</f>
        <v/>
      </c>
    </row>
    <row r="360">
      <c r="A360" s="10"/>
      <c r="B360" s="10" t="str">
        <f t="array" ref="B360">_xlfn.XLOOKUP(A360,DATA!D:D,DATA!E:E,"")</f>
        <v/>
      </c>
      <c r="C360" s="10" t="str">
        <f>IF($A360="","",COUNTIFS(Evaluations!$G$3:$G$10000,$A360,Evaluations!$U$3:$U$10000,"&gt;=0",Evaluations!$U$3:$U$10000,"&lt;=100"))</f>
        <v/>
      </c>
      <c r="D360" s="10" t="str">
        <f>IF(OR($A360="",C360=0),"",ROUND(SUMIFS(Evaluations!$U$3:$U$10000,Evaluations!$G$3:$G$10000,$A360)/C360,2))</f>
        <v/>
      </c>
      <c r="E360" s="10" t="str">
        <f>IF($A360="","",COUNTIFS(Evaluations!$G$3:$G$10000,$A360,Evaluations!$M$3:$M$10000,"پاسخ داده شده"))</f>
        <v/>
      </c>
      <c r="F360" s="10" t="str">
        <f>IF($A360="","",IFERROR(COUNTIFS(Evaluations!$G$3:$G$10000,$A360,Evaluations!$O$3:$O$10000,"رعایت شده")/(COUNTIFS(Evaluations!$G$3:$G$10000,$A360,Evaluations!$O$3:$O$10000,"رعایت شده")+COUNTIFS(Evaluations!$G$3:$G$10000,$A360,Evaluations!$O$3:$O$10000,"رعایت نشده")),""))</f>
        <v/>
      </c>
      <c r="G360" s="10" t="str">
        <f>IF($A360="","",IFERROR(ROUND(100*COUNTIFS(Evaluations!$G$3:$G$10000,$A360,Evaluations!$Q$3:$Q$10000,1)/(COUNTIFS(Evaluations!$G$3:$G$10000,$A360,Evaluations!$Q$3:$Q$10000,1)+COUNTIFS(Evaluations!$G$3:$G$10000,$A360,Evaluations!$Q$3:$Q$10000,0)),2),""))</f>
        <v/>
      </c>
      <c r="H360" s="10" t="str">
        <f>IF($A360="","",IFERROR(ROUND(100*COUNTIFS(Evaluations!$G$3:$G$10000,$A360,Evaluations!$R$3:$R$10000,1)/(COUNTIFS(Evaluations!$G$3:$G$10000,$A360,Evaluations!$R$3:$R$10000,1)+COUNTIFS(Evaluations!$G$3:$G$10000,$A360,Evaluations!$R$3:$R$10000,0)),2),""))</f>
        <v/>
      </c>
      <c r="I360" s="10" t="str">
        <f>IF($A360="","",IFERROR(ROUND(100*COUNTIFS(Evaluations!$G$3:$G$10000,$A360,Evaluations!$S$3:$S$10000,1)/(COUNTIFS(Evaluations!$G$3:$G$10000,$A360,Evaluations!$S$3:$S$10000,1)+COUNTIFS(Evaluations!$G$3:$G$10000,$A360,Evaluations!$S$3:$S$10000,0)),2),""))</f>
        <v/>
      </c>
      <c r="J360" s="10" t="str">
        <f>IF($A360="","",IFERROR(ROUND(100*COUNTIFS(Evaluations!$G$3:$G$10000,$A360,Evaluations!$T$3:$T$10000,1)/(COUNTIFS(Evaluations!$G$3:$G$10000,$A360,Evaluations!$T$3:$T$10000,1)+COUNTIFS(Evaluations!$G$3:$G$10000,$A360,Evaluations!$T$3:$T$10000,0)),2),""))</f>
        <v/>
      </c>
      <c r="K360" s="10" t="str">
        <f>IF($A360="","",COUNTIFS(Evaluations!$G$3:$G$10000,$A360,Evaluations!$M$3:$M$10000,"عدم پاسخ"))</f>
        <v/>
      </c>
      <c r="L360" s="10" t="str">
        <f>IF($A360="","",COUNTIFS(Evaluations!$G$3:$G$10000,$A360,Evaluations!$O$3:$O$10000,"رعایت نشده"))</f>
        <v/>
      </c>
    </row>
    <row r="361">
      <c r="A361" s="10"/>
      <c r="B361" s="10" t="str">
        <f t="array" ref="B361">_xlfn.XLOOKUP(A361,DATA!D:D,DATA!E:E,"")</f>
        <v/>
      </c>
      <c r="C361" s="10" t="str">
        <f>IF($A361="","",COUNTIFS(Evaluations!$G$3:$G$10000,$A361,Evaluations!$U$3:$U$10000,"&gt;=0",Evaluations!$U$3:$U$10000,"&lt;=100"))</f>
        <v/>
      </c>
      <c r="D361" s="10" t="str">
        <f>IF(OR($A361="",C361=0),"",ROUND(SUMIFS(Evaluations!$U$3:$U$10000,Evaluations!$G$3:$G$10000,$A361)/C361,2))</f>
        <v/>
      </c>
      <c r="E361" s="10" t="str">
        <f>IF($A361="","",COUNTIFS(Evaluations!$G$3:$G$10000,$A361,Evaluations!$M$3:$M$10000,"پاسخ داده شده"))</f>
        <v/>
      </c>
      <c r="F361" s="10" t="str">
        <f>IF($A361="","",IFERROR(COUNTIFS(Evaluations!$G$3:$G$10000,$A361,Evaluations!$O$3:$O$10000,"رعایت شده")/(COUNTIFS(Evaluations!$G$3:$G$10000,$A361,Evaluations!$O$3:$O$10000,"رعایت شده")+COUNTIFS(Evaluations!$G$3:$G$10000,$A361,Evaluations!$O$3:$O$10000,"رعایت نشده")),""))</f>
        <v/>
      </c>
      <c r="G361" s="10" t="str">
        <f>IF($A361="","",IFERROR(ROUND(100*COUNTIFS(Evaluations!$G$3:$G$10000,$A361,Evaluations!$Q$3:$Q$10000,1)/(COUNTIFS(Evaluations!$G$3:$G$10000,$A361,Evaluations!$Q$3:$Q$10000,1)+COUNTIFS(Evaluations!$G$3:$G$10000,$A361,Evaluations!$Q$3:$Q$10000,0)),2),""))</f>
        <v/>
      </c>
      <c r="H361" s="10" t="str">
        <f>IF($A361="","",IFERROR(ROUND(100*COUNTIFS(Evaluations!$G$3:$G$10000,$A361,Evaluations!$R$3:$R$10000,1)/(COUNTIFS(Evaluations!$G$3:$G$10000,$A361,Evaluations!$R$3:$R$10000,1)+COUNTIFS(Evaluations!$G$3:$G$10000,$A361,Evaluations!$R$3:$R$10000,0)),2),""))</f>
        <v/>
      </c>
      <c r="I361" s="10" t="str">
        <f>IF($A361="","",IFERROR(ROUND(100*COUNTIFS(Evaluations!$G$3:$G$10000,$A361,Evaluations!$S$3:$S$10000,1)/(COUNTIFS(Evaluations!$G$3:$G$10000,$A361,Evaluations!$S$3:$S$10000,1)+COUNTIFS(Evaluations!$G$3:$G$10000,$A361,Evaluations!$S$3:$S$10000,0)),2),""))</f>
        <v/>
      </c>
      <c r="J361" s="10" t="str">
        <f>IF($A361="","",IFERROR(ROUND(100*COUNTIFS(Evaluations!$G$3:$G$10000,$A361,Evaluations!$T$3:$T$10000,1)/(COUNTIFS(Evaluations!$G$3:$G$10000,$A361,Evaluations!$T$3:$T$10000,1)+COUNTIFS(Evaluations!$G$3:$G$10000,$A361,Evaluations!$T$3:$T$10000,0)),2),""))</f>
        <v/>
      </c>
      <c r="K361" s="10" t="str">
        <f>IF($A361="","",COUNTIFS(Evaluations!$G$3:$G$10000,$A361,Evaluations!$M$3:$M$10000,"عدم پاسخ"))</f>
        <v/>
      </c>
      <c r="L361" s="10" t="str">
        <f>IF($A361="","",COUNTIFS(Evaluations!$G$3:$G$10000,$A361,Evaluations!$O$3:$O$10000,"رعایت نشده"))</f>
        <v/>
      </c>
    </row>
    <row r="362">
      <c r="A362" s="10"/>
      <c r="B362" s="10" t="str">
        <f t="array" ref="B362">_xlfn.XLOOKUP(A362,DATA!D:D,DATA!E:E,"")</f>
        <v/>
      </c>
      <c r="C362" s="10" t="str">
        <f>IF($A362="","",COUNTIFS(Evaluations!$G$3:$G$10000,$A362,Evaluations!$U$3:$U$10000,"&gt;=0",Evaluations!$U$3:$U$10000,"&lt;=100"))</f>
        <v/>
      </c>
      <c r="D362" s="10" t="str">
        <f>IF(OR($A362="",C362=0),"",ROUND(SUMIFS(Evaluations!$U$3:$U$10000,Evaluations!$G$3:$G$10000,$A362)/C362,2))</f>
        <v/>
      </c>
      <c r="E362" s="10" t="str">
        <f>IF($A362="","",COUNTIFS(Evaluations!$G$3:$G$10000,$A362,Evaluations!$M$3:$M$10000,"پاسخ داده شده"))</f>
        <v/>
      </c>
      <c r="F362" s="10" t="str">
        <f>IF($A362="","",IFERROR(COUNTIFS(Evaluations!$G$3:$G$10000,$A362,Evaluations!$O$3:$O$10000,"رعایت شده")/(COUNTIFS(Evaluations!$G$3:$G$10000,$A362,Evaluations!$O$3:$O$10000,"رعایت شده")+COUNTIFS(Evaluations!$G$3:$G$10000,$A362,Evaluations!$O$3:$O$10000,"رعایت نشده")),""))</f>
        <v/>
      </c>
      <c r="G362" s="10" t="str">
        <f>IF($A362="","",IFERROR(ROUND(100*COUNTIFS(Evaluations!$G$3:$G$10000,$A362,Evaluations!$Q$3:$Q$10000,1)/(COUNTIFS(Evaluations!$G$3:$G$10000,$A362,Evaluations!$Q$3:$Q$10000,1)+COUNTIFS(Evaluations!$G$3:$G$10000,$A362,Evaluations!$Q$3:$Q$10000,0)),2),""))</f>
        <v/>
      </c>
      <c r="H362" s="10" t="str">
        <f>IF($A362="","",IFERROR(ROUND(100*COUNTIFS(Evaluations!$G$3:$G$10000,$A362,Evaluations!$R$3:$R$10000,1)/(COUNTIFS(Evaluations!$G$3:$G$10000,$A362,Evaluations!$R$3:$R$10000,1)+COUNTIFS(Evaluations!$G$3:$G$10000,$A362,Evaluations!$R$3:$R$10000,0)),2),""))</f>
        <v/>
      </c>
      <c r="I362" s="10" t="str">
        <f>IF($A362="","",IFERROR(ROUND(100*COUNTIFS(Evaluations!$G$3:$G$10000,$A362,Evaluations!$S$3:$S$10000,1)/(COUNTIFS(Evaluations!$G$3:$G$10000,$A362,Evaluations!$S$3:$S$10000,1)+COUNTIFS(Evaluations!$G$3:$G$10000,$A362,Evaluations!$S$3:$S$10000,0)),2),""))</f>
        <v/>
      </c>
      <c r="J362" s="10" t="str">
        <f>IF($A362="","",IFERROR(ROUND(100*COUNTIFS(Evaluations!$G$3:$G$10000,$A362,Evaluations!$T$3:$T$10000,1)/(COUNTIFS(Evaluations!$G$3:$G$10000,$A362,Evaluations!$T$3:$T$10000,1)+COUNTIFS(Evaluations!$G$3:$G$10000,$A362,Evaluations!$T$3:$T$10000,0)),2),""))</f>
        <v/>
      </c>
      <c r="K362" s="10" t="str">
        <f>IF($A362="","",COUNTIFS(Evaluations!$G$3:$G$10000,$A362,Evaluations!$M$3:$M$10000,"عدم پاسخ"))</f>
        <v/>
      </c>
      <c r="L362" s="10" t="str">
        <f>IF($A362="","",COUNTIFS(Evaluations!$G$3:$G$10000,$A362,Evaluations!$O$3:$O$10000,"رعایت نشده"))</f>
        <v/>
      </c>
    </row>
    <row r="363">
      <c r="A363" s="10"/>
      <c r="B363" s="10" t="str">
        <f t="array" ref="B363">_xlfn.XLOOKUP(A363,DATA!D:D,DATA!E:E,"")</f>
        <v/>
      </c>
      <c r="C363" s="10" t="str">
        <f>IF($A363="","",COUNTIFS(Evaluations!$G$3:$G$10000,$A363,Evaluations!$U$3:$U$10000,"&gt;=0",Evaluations!$U$3:$U$10000,"&lt;=100"))</f>
        <v/>
      </c>
      <c r="D363" s="10" t="str">
        <f>IF(OR($A363="",C363=0),"",ROUND(SUMIFS(Evaluations!$U$3:$U$10000,Evaluations!$G$3:$G$10000,$A363)/C363,2))</f>
        <v/>
      </c>
      <c r="E363" s="10" t="str">
        <f>IF($A363="","",COUNTIFS(Evaluations!$G$3:$G$10000,$A363,Evaluations!$M$3:$M$10000,"پاسخ داده شده"))</f>
        <v/>
      </c>
      <c r="F363" s="10" t="str">
        <f>IF($A363="","",IFERROR(COUNTIFS(Evaluations!$G$3:$G$10000,$A363,Evaluations!$O$3:$O$10000,"رعایت شده")/(COUNTIFS(Evaluations!$G$3:$G$10000,$A363,Evaluations!$O$3:$O$10000,"رعایت شده")+COUNTIFS(Evaluations!$G$3:$G$10000,$A363,Evaluations!$O$3:$O$10000,"رعایت نشده")),""))</f>
        <v/>
      </c>
      <c r="G363" s="10" t="str">
        <f>IF($A363="","",IFERROR(ROUND(100*COUNTIFS(Evaluations!$G$3:$G$10000,$A363,Evaluations!$Q$3:$Q$10000,1)/(COUNTIFS(Evaluations!$G$3:$G$10000,$A363,Evaluations!$Q$3:$Q$10000,1)+COUNTIFS(Evaluations!$G$3:$G$10000,$A363,Evaluations!$Q$3:$Q$10000,0)),2),""))</f>
        <v/>
      </c>
      <c r="H363" s="10" t="str">
        <f>IF($A363="","",IFERROR(ROUND(100*COUNTIFS(Evaluations!$G$3:$G$10000,$A363,Evaluations!$R$3:$R$10000,1)/(COUNTIFS(Evaluations!$G$3:$G$10000,$A363,Evaluations!$R$3:$R$10000,1)+COUNTIFS(Evaluations!$G$3:$G$10000,$A363,Evaluations!$R$3:$R$10000,0)),2),""))</f>
        <v/>
      </c>
      <c r="I363" s="10" t="str">
        <f>IF($A363="","",IFERROR(ROUND(100*COUNTIFS(Evaluations!$G$3:$G$10000,$A363,Evaluations!$S$3:$S$10000,1)/(COUNTIFS(Evaluations!$G$3:$G$10000,$A363,Evaluations!$S$3:$S$10000,1)+COUNTIFS(Evaluations!$G$3:$G$10000,$A363,Evaluations!$S$3:$S$10000,0)),2),""))</f>
        <v/>
      </c>
      <c r="J363" s="10" t="str">
        <f>IF($A363="","",IFERROR(ROUND(100*COUNTIFS(Evaluations!$G$3:$G$10000,$A363,Evaluations!$T$3:$T$10000,1)/(COUNTIFS(Evaluations!$G$3:$G$10000,$A363,Evaluations!$T$3:$T$10000,1)+COUNTIFS(Evaluations!$G$3:$G$10000,$A363,Evaluations!$T$3:$T$10000,0)),2),""))</f>
        <v/>
      </c>
      <c r="K363" s="10" t="str">
        <f>IF($A363="","",COUNTIFS(Evaluations!$G$3:$G$10000,$A363,Evaluations!$M$3:$M$10000,"عدم پاسخ"))</f>
        <v/>
      </c>
      <c r="L363" s="10" t="str">
        <f>IF($A363="","",COUNTIFS(Evaluations!$G$3:$G$10000,$A363,Evaluations!$O$3:$O$10000,"رعایت نشده"))</f>
        <v/>
      </c>
    </row>
    <row r="364">
      <c r="A364" s="10"/>
      <c r="B364" s="10" t="str">
        <f t="array" ref="B364">_xlfn.XLOOKUP(A364,DATA!D:D,DATA!E:E,"")</f>
        <v/>
      </c>
      <c r="C364" s="10" t="str">
        <f>IF($A364="","",COUNTIFS(Evaluations!$G$3:$G$10000,$A364,Evaluations!$U$3:$U$10000,"&gt;=0",Evaluations!$U$3:$U$10000,"&lt;=100"))</f>
        <v/>
      </c>
      <c r="D364" s="10" t="str">
        <f>IF(OR($A364="",C364=0),"",ROUND(SUMIFS(Evaluations!$U$3:$U$10000,Evaluations!$G$3:$G$10000,$A364)/C364,2))</f>
        <v/>
      </c>
      <c r="E364" s="10" t="str">
        <f>IF($A364="","",COUNTIFS(Evaluations!$G$3:$G$10000,$A364,Evaluations!$M$3:$M$10000,"پاسخ داده شده"))</f>
        <v/>
      </c>
      <c r="F364" s="10" t="str">
        <f>IF($A364="","",IFERROR(COUNTIFS(Evaluations!$G$3:$G$10000,$A364,Evaluations!$O$3:$O$10000,"رعایت شده")/(COUNTIFS(Evaluations!$G$3:$G$10000,$A364,Evaluations!$O$3:$O$10000,"رعایت شده")+COUNTIFS(Evaluations!$G$3:$G$10000,$A364,Evaluations!$O$3:$O$10000,"رعایت نشده")),""))</f>
        <v/>
      </c>
      <c r="G364" s="10" t="str">
        <f>IF($A364="","",IFERROR(ROUND(100*COUNTIFS(Evaluations!$G$3:$G$10000,$A364,Evaluations!$Q$3:$Q$10000,1)/(COUNTIFS(Evaluations!$G$3:$G$10000,$A364,Evaluations!$Q$3:$Q$10000,1)+COUNTIFS(Evaluations!$G$3:$G$10000,$A364,Evaluations!$Q$3:$Q$10000,0)),2),""))</f>
        <v/>
      </c>
      <c r="H364" s="10" t="str">
        <f>IF($A364="","",IFERROR(ROUND(100*COUNTIFS(Evaluations!$G$3:$G$10000,$A364,Evaluations!$R$3:$R$10000,1)/(COUNTIFS(Evaluations!$G$3:$G$10000,$A364,Evaluations!$R$3:$R$10000,1)+COUNTIFS(Evaluations!$G$3:$G$10000,$A364,Evaluations!$R$3:$R$10000,0)),2),""))</f>
        <v/>
      </c>
      <c r="I364" s="10" t="str">
        <f>IF($A364="","",IFERROR(ROUND(100*COUNTIFS(Evaluations!$G$3:$G$10000,$A364,Evaluations!$S$3:$S$10000,1)/(COUNTIFS(Evaluations!$G$3:$G$10000,$A364,Evaluations!$S$3:$S$10000,1)+COUNTIFS(Evaluations!$G$3:$G$10000,$A364,Evaluations!$S$3:$S$10000,0)),2),""))</f>
        <v/>
      </c>
      <c r="J364" s="10" t="str">
        <f>IF($A364="","",IFERROR(ROUND(100*COUNTIFS(Evaluations!$G$3:$G$10000,$A364,Evaluations!$T$3:$T$10000,1)/(COUNTIFS(Evaluations!$G$3:$G$10000,$A364,Evaluations!$T$3:$T$10000,1)+COUNTIFS(Evaluations!$G$3:$G$10000,$A364,Evaluations!$T$3:$T$10000,0)),2),""))</f>
        <v/>
      </c>
      <c r="K364" s="10" t="str">
        <f>IF($A364="","",COUNTIFS(Evaluations!$G$3:$G$10000,$A364,Evaluations!$M$3:$M$10000,"عدم پاسخ"))</f>
        <v/>
      </c>
      <c r="L364" s="10" t="str">
        <f>IF($A364="","",COUNTIFS(Evaluations!$G$3:$G$10000,$A364,Evaluations!$O$3:$O$10000,"رعایت نشده"))</f>
        <v/>
      </c>
    </row>
    <row r="365">
      <c r="A365" s="10"/>
      <c r="B365" s="10" t="str">
        <f t="array" ref="B365">_xlfn.XLOOKUP(A365,DATA!D:D,DATA!E:E,"")</f>
        <v/>
      </c>
      <c r="C365" s="10" t="str">
        <f>IF($A365="","",COUNTIFS(Evaluations!$G$3:$G$10000,$A365,Evaluations!$U$3:$U$10000,"&gt;=0",Evaluations!$U$3:$U$10000,"&lt;=100"))</f>
        <v/>
      </c>
      <c r="D365" s="10" t="str">
        <f>IF(OR($A365="",C365=0),"",ROUND(SUMIFS(Evaluations!$U$3:$U$10000,Evaluations!$G$3:$G$10000,$A365)/C365,2))</f>
        <v/>
      </c>
      <c r="E365" s="10" t="str">
        <f>IF($A365="","",COUNTIFS(Evaluations!$G$3:$G$10000,$A365,Evaluations!$M$3:$M$10000,"پاسخ داده شده"))</f>
        <v/>
      </c>
      <c r="F365" s="10" t="str">
        <f>IF($A365="","",IFERROR(COUNTIFS(Evaluations!$G$3:$G$10000,$A365,Evaluations!$O$3:$O$10000,"رعایت شده")/(COUNTIFS(Evaluations!$G$3:$G$10000,$A365,Evaluations!$O$3:$O$10000,"رعایت شده")+COUNTIFS(Evaluations!$G$3:$G$10000,$A365,Evaluations!$O$3:$O$10000,"رعایت نشده")),""))</f>
        <v/>
      </c>
      <c r="G365" s="10" t="str">
        <f>IF($A365="","",IFERROR(ROUND(100*COUNTIFS(Evaluations!$G$3:$G$10000,$A365,Evaluations!$Q$3:$Q$10000,1)/(COUNTIFS(Evaluations!$G$3:$G$10000,$A365,Evaluations!$Q$3:$Q$10000,1)+COUNTIFS(Evaluations!$G$3:$G$10000,$A365,Evaluations!$Q$3:$Q$10000,0)),2),""))</f>
        <v/>
      </c>
      <c r="H365" s="10" t="str">
        <f>IF($A365="","",IFERROR(ROUND(100*COUNTIFS(Evaluations!$G$3:$G$10000,$A365,Evaluations!$R$3:$R$10000,1)/(COUNTIFS(Evaluations!$G$3:$G$10000,$A365,Evaluations!$R$3:$R$10000,1)+COUNTIFS(Evaluations!$G$3:$G$10000,$A365,Evaluations!$R$3:$R$10000,0)),2),""))</f>
        <v/>
      </c>
      <c r="I365" s="10" t="str">
        <f>IF($A365="","",IFERROR(ROUND(100*COUNTIFS(Evaluations!$G$3:$G$10000,$A365,Evaluations!$S$3:$S$10000,1)/(COUNTIFS(Evaluations!$G$3:$G$10000,$A365,Evaluations!$S$3:$S$10000,1)+COUNTIFS(Evaluations!$G$3:$G$10000,$A365,Evaluations!$S$3:$S$10000,0)),2),""))</f>
        <v/>
      </c>
      <c r="J365" s="10" t="str">
        <f>IF($A365="","",IFERROR(ROUND(100*COUNTIFS(Evaluations!$G$3:$G$10000,$A365,Evaluations!$T$3:$T$10000,1)/(COUNTIFS(Evaluations!$G$3:$G$10000,$A365,Evaluations!$T$3:$T$10000,1)+COUNTIFS(Evaluations!$G$3:$G$10000,$A365,Evaluations!$T$3:$T$10000,0)),2),""))</f>
        <v/>
      </c>
      <c r="K365" s="10" t="str">
        <f>IF($A365="","",COUNTIFS(Evaluations!$G$3:$G$10000,$A365,Evaluations!$M$3:$M$10000,"عدم پاسخ"))</f>
        <v/>
      </c>
      <c r="L365" s="10" t="str">
        <f>IF($A365="","",COUNTIFS(Evaluations!$G$3:$G$10000,$A365,Evaluations!$O$3:$O$10000,"رعایت نشده"))</f>
        <v/>
      </c>
    </row>
    <row r="366">
      <c r="A366" s="10"/>
      <c r="B366" s="10" t="str">
        <f t="array" ref="B366">_xlfn.XLOOKUP(A366,DATA!D:D,DATA!E:E,"")</f>
        <v/>
      </c>
      <c r="C366" s="10" t="str">
        <f>IF($A366="","",COUNTIFS(Evaluations!$G$3:$G$10000,$A366,Evaluations!$U$3:$U$10000,"&gt;=0",Evaluations!$U$3:$U$10000,"&lt;=100"))</f>
        <v/>
      </c>
      <c r="D366" s="10" t="str">
        <f>IF(OR($A366="",C366=0),"",ROUND(SUMIFS(Evaluations!$U$3:$U$10000,Evaluations!$G$3:$G$10000,$A366)/C366,2))</f>
        <v/>
      </c>
      <c r="E366" s="10" t="str">
        <f>IF($A366="","",COUNTIFS(Evaluations!$G$3:$G$10000,$A366,Evaluations!$M$3:$M$10000,"پاسخ داده شده"))</f>
        <v/>
      </c>
      <c r="F366" s="10" t="str">
        <f>IF($A366="","",IFERROR(COUNTIFS(Evaluations!$G$3:$G$10000,$A366,Evaluations!$O$3:$O$10000,"رعایت شده")/(COUNTIFS(Evaluations!$G$3:$G$10000,$A366,Evaluations!$O$3:$O$10000,"رعایت شده")+COUNTIFS(Evaluations!$G$3:$G$10000,$A366,Evaluations!$O$3:$O$10000,"رعایت نشده")),""))</f>
        <v/>
      </c>
      <c r="G366" s="10" t="str">
        <f>IF($A366="","",IFERROR(ROUND(100*COUNTIFS(Evaluations!$G$3:$G$10000,$A366,Evaluations!$Q$3:$Q$10000,1)/(COUNTIFS(Evaluations!$G$3:$G$10000,$A366,Evaluations!$Q$3:$Q$10000,1)+COUNTIFS(Evaluations!$G$3:$G$10000,$A366,Evaluations!$Q$3:$Q$10000,0)),2),""))</f>
        <v/>
      </c>
      <c r="H366" s="10" t="str">
        <f>IF($A366="","",IFERROR(ROUND(100*COUNTIFS(Evaluations!$G$3:$G$10000,$A366,Evaluations!$R$3:$R$10000,1)/(COUNTIFS(Evaluations!$G$3:$G$10000,$A366,Evaluations!$R$3:$R$10000,1)+COUNTIFS(Evaluations!$G$3:$G$10000,$A366,Evaluations!$R$3:$R$10000,0)),2),""))</f>
        <v/>
      </c>
      <c r="I366" s="10" t="str">
        <f>IF($A366="","",IFERROR(ROUND(100*COUNTIFS(Evaluations!$G$3:$G$10000,$A366,Evaluations!$S$3:$S$10000,1)/(COUNTIFS(Evaluations!$G$3:$G$10000,$A366,Evaluations!$S$3:$S$10000,1)+COUNTIFS(Evaluations!$G$3:$G$10000,$A366,Evaluations!$S$3:$S$10000,0)),2),""))</f>
        <v/>
      </c>
      <c r="J366" s="10" t="str">
        <f>IF($A366="","",IFERROR(ROUND(100*COUNTIFS(Evaluations!$G$3:$G$10000,$A366,Evaluations!$T$3:$T$10000,1)/(COUNTIFS(Evaluations!$G$3:$G$10000,$A366,Evaluations!$T$3:$T$10000,1)+COUNTIFS(Evaluations!$G$3:$G$10000,$A366,Evaluations!$T$3:$T$10000,0)),2),""))</f>
        <v/>
      </c>
      <c r="K366" s="10" t="str">
        <f>IF($A366="","",COUNTIFS(Evaluations!$G$3:$G$10000,$A366,Evaluations!$M$3:$M$10000,"عدم پاسخ"))</f>
        <v/>
      </c>
      <c r="L366" s="10" t="str">
        <f>IF($A366="","",COUNTIFS(Evaluations!$G$3:$G$10000,$A366,Evaluations!$O$3:$O$10000,"رعایت نشده"))</f>
        <v/>
      </c>
    </row>
    <row r="367">
      <c r="A367" s="10"/>
      <c r="B367" s="10" t="str">
        <f t="array" ref="B367">_xlfn.XLOOKUP(A367,DATA!D:D,DATA!E:E,"")</f>
        <v/>
      </c>
      <c r="C367" s="10" t="str">
        <f>IF($A367="","",COUNTIFS(Evaluations!$G$3:$G$10000,$A367,Evaluations!$U$3:$U$10000,"&gt;=0",Evaluations!$U$3:$U$10000,"&lt;=100"))</f>
        <v/>
      </c>
      <c r="D367" s="10" t="str">
        <f>IF(OR($A367="",C367=0),"",ROUND(SUMIFS(Evaluations!$U$3:$U$10000,Evaluations!$G$3:$G$10000,$A367)/C367,2))</f>
        <v/>
      </c>
      <c r="E367" s="10" t="str">
        <f>IF($A367="","",COUNTIFS(Evaluations!$G$3:$G$10000,$A367,Evaluations!$M$3:$M$10000,"پاسخ داده شده"))</f>
        <v/>
      </c>
      <c r="F367" s="10" t="str">
        <f>IF($A367="","",IFERROR(COUNTIFS(Evaluations!$G$3:$G$10000,$A367,Evaluations!$O$3:$O$10000,"رعایت شده")/(COUNTIFS(Evaluations!$G$3:$G$10000,$A367,Evaluations!$O$3:$O$10000,"رعایت شده")+COUNTIFS(Evaluations!$G$3:$G$10000,$A367,Evaluations!$O$3:$O$10000,"رعایت نشده")),""))</f>
        <v/>
      </c>
      <c r="G367" s="10" t="str">
        <f>IF($A367="","",IFERROR(ROUND(100*COUNTIFS(Evaluations!$G$3:$G$10000,$A367,Evaluations!$Q$3:$Q$10000,1)/(COUNTIFS(Evaluations!$G$3:$G$10000,$A367,Evaluations!$Q$3:$Q$10000,1)+COUNTIFS(Evaluations!$G$3:$G$10000,$A367,Evaluations!$Q$3:$Q$10000,0)),2),""))</f>
        <v/>
      </c>
      <c r="H367" s="10" t="str">
        <f>IF($A367="","",IFERROR(ROUND(100*COUNTIFS(Evaluations!$G$3:$G$10000,$A367,Evaluations!$R$3:$R$10000,1)/(COUNTIFS(Evaluations!$G$3:$G$10000,$A367,Evaluations!$R$3:$R$10000,1)+COUNTIFS(Evaluations!$G$3:$G$10000,$A367,Evaluations!$R$3:$R$10000,0)),2),""))</f>
        <v/>
      </c>
      <c r="I367" s="10" t="str">
        <f>IF($A367="","",IFERROR(ROUND(100*COUNTIFS(Evaluations!$G$3:$G$10000,$A367,Evaluations!$S$3:$S$10000,1)/(COUNTIFS(Evaluations!$G$3:$G$10000,$A367,Evaluations!$S$3:$S$10000,1)+COUNTIFS(Evaluations!$G$3:$G$10000,$A367,Evaluations!$S$3:$S$10000,0)),2),""))</f>
        <v/>
      </c>
      <c r="J367" s="10" t="str">
        <f>IF($A367="","",IFERROR(ROUND(100*COUNTIFS(Evaluations!$G$3:$G$10000,$A367,Evaluations!$T$3:$T$10000,1)/(COUNTIFS(Evaluations!$G$3:$G$10000,$A367,Evaluations!$T$3:$T$10000,1)+COUNTIFS(Evaluations!$G$3:$G$10000,$A367,Evaluations!$T$3:$T$10000,0)),2),""))</f>
        <v/>
      </c>
      <c r="K367" s="10" t="str">
        <f>IF($A367="","",COUNTIFS(Evaluations!$G$3:$G$10000,$A367,Evaluations!$M$3:$M$10000,"عدم پاسخ"))</f>
        <v/>
      </c>
      <c r="L367" s="10" t="str">
        <f>IF($A367="","",COUNTIFS(Evaluations!$G$3:$G$10000,$A367,Evaluations!$O$3:$O$10000,"رعایت نشده"))</f>
        <v/>
      </c>
    </row>
    <row r="368">
      <c r="A368" s="10"/>
      <c r="B368" s="10" t="str">
        <f t="array" ref="B368">_xlfn.XLOOKUP(A368,DATA!D:D,DATA!E:E,"")</f>
        <v/>
      </c>
      <c r="C368" s="10" t="str">
        <f>IF($A368="","",COUNTIFS(Evaluations!$G$3:$G$10000,$A368,Evaluations!$U$3:$U$10000,"&gt;=0",Evaluations!$U$3:$U$10000,"&lt;=100"))</f>
        <v/>
      </c>
      <c r="D368" s="10" t="str">
        <f>IF(OR($A368="",C368=0),"",ROUND(SUMIFS(Evaluations!$U$3:$U$10000,Evaluations!$G$3:$G$10000,$A368)/C368,2))</f>
        <v/>
      </c>
      <c r="E368" s="10" t="str">
        <f>IF($A368="","",COUNTIFS(Evaluations!$G$3:$G$10000,$A368,Evaluations!$M$3:$M$10000,"پاسخ داده شده"))</f>
        <v/>
      </c>
      <c r="F368" s="10" t="str">
        <f>IF($A368="","",IFERROR(COUNTIFS(Evaluations!$G$3:$G$10000,$A368,Evaluations!$O$3:$O$10000,"رعایت شده")/(COUNTIFS(Evaluations!$G$3:$G$10000,$A368,Evaluations!$O$3:$O$10000,"رعایت شده")+COUNTIFS(Evaluations!$G$3:$G$10000,$A368,Evaluations!$O$3:$O$10000,"رعایت نشده")),""))</f>
        <v/>
      </c>
      <c r="G368" s="10" t="str">
        <f>IF($A368="","",IFERROR(ROUND(100*COUNTIFS(Evaluations!$G$3:$G$10000,$A368,Evaluations!$Q$3:$Q$10000,1)/(COUNTIFS(Evaluations!$G$3:$G$10000,$A368,Evaluations!$Q$3:$Q$10000,1)+COUNTIFS(Evaluations!$G$3:$G$10000,$A368,Evaluations!$Q$3:$Q$10000,0)),2),""))</f>
        <v/>
      </c>
      <c r="H368" s="10" t="str">
        <f>IF($A368="","",IFERROR(ROUND(100*COUNTIFS(Evaluations!$G$3:$G$10000,$A368,Evaluations!$R$3:$R$10000,1)/(COUNTIFS(Evaluations!$G$3:$G$10000,$A368,Evaluations!$R$3:$R$10000,1)+COUNTIFS(Evaluations!$G$3:$G$10000,$A368,Evaluations!$R$3:$R$10000,0)),2),""))</f>
        <v/>
      </c>
      <c r="I368" s="10" t="str">
        <f>IF($A368="","",IFERROR(ROUND(100*COUNTIFS(Evaluations!$G$3:$G$10000,$A368,Evaluations!$S$3:$S$10000,1)/(COUNTIFS(Evaluations!$G$3:$G$10000,$A368,Evaluations!$S$3:$S$10000,1)+COUNTIFS(Evaluations!$G$3:$G$10000,$A368,Evaluations!$S$3:$S$10000,0)),2),""))</f>
        <v/>
      </c>
      <c r="J368" s="10" t="str">
        <f>IF($A368="","",IFERROR(ROUND(100*COUNTIFS(Evaluations!$G$3:$G$10000,$A368,Evaluations!$T$3:$T$10000,1)/(COUNTIFS(Evaluations!$G$3:$G$10000,$A368,Evaluations!$T$3:$T$10000,1)+COUNTIFS(Evaluations!$G$3:$G$10000,$A368,Evaluations!$T$3:$T$10000,0)),2),""))</f>
        <v/>
      </c>
      <c r="K368" s="10" t="str">
        <f>IF($A368="","",COUNTIFS(Evaluations!$G$3:$G$10000,$A368,Evaluations!$M$3:$M$10000,"عدم پاسخ"))</f>
        <v/>
      </c>
      <c r="L368" s="10" t="str">
        <f>IF($A368="","",COUNTIFS(Evaluations!$G$3:$G$10000,$A368,Evaluations!$O$3:$O$10000,"رعایت نشده"))</f>
        <v/>
      </c>
    </row>
    <row r="369">
      <c r="A369" s="10"/>
      <c r="B369" s="10" t="str">
        <f t="array" ref="B369">_xlfn.XLOOKUP(A369,DATA!D:D,DATA!E:E,"")</f>
        <v/>
      </c>
      <c r="C369" s="10" t="str">
        <f>IF($A369="","",COUNTIFS(Evaluations!$G$3:$G$10000,$A369,Evaluations!$U$3:$U$10000,"&gt;=0",Evaluations!$U$3:$U$10000,"&lt;=100"))</f>
        <v/>
      </c>
      <c r="D369" s="10" t="str">
        <f>IF(OR($A369="",C369=0),"",ROUND(SUMIFS(Evaluations!$U$3:$U$10000,Evaluations!$G$3:$G$10000,$A369)/C369,2))</f>
        <v/>
      </c>
      <c r="E369" s="10" t="str">
        <f>IF($A369="","",COUNTIFS(Evaluations!$G$3:$G$10000,$A369,Evaluations!$M$3:$M$10000,"پاسخ داده شده"))</f>
        <v/>
      </c>
      <c r="F369" s="10" t="str">
        <f>IF($A369="","",IFERROR(COUNTIFS(Evaluations!$G$3:$G$10000,$A369,Evaluations!$O$3:$O$10000,"رعایت شده")/(COUNTIFS(Evaluations!$G$3:$G$10000,$A369,Evaluations!$O$3:$O$10000,"رعایت شده")+COUNTIFS(Evaluations!$G$3:$G$10000,$A369,Evaluations!$O$3:$O$10000,"رعایت نشده")),""))</f>
        <v/>
      </c>
      <c r="G369" s="10" t="str">
        <f>IF($A369="","",IFERROR(ROUND(100*COUNTIFS(Evaluations!$G$3:$G$10000,$A369,Evaluations!$Q$3:$Q$10000,1)/(COUNTIFS(Evaluations!$G$3:$G$10000,$A369,Evaluations!$Q$3:$Q$10000,1)+COUNTIFS(Evaluations!$G$3:$G$10000,$A369,Evaluations!$Q$3:$Q$10000,0)),2),""))</f>
        <v/>
      </c>
      <c r="H369" s="10" t="str">
        <f>IF($A369="","",IFERROR(ROUND(100*COUNTIFS(Evaluations!$G$3:$G$10000,$A369,Evaluations!$R$3:$R$10000,1)/(COUNTIFS(Evaluations!$G$3:$G$10000,$A369,Evaluations!$R$3:$R$10000,1)+COUNTIFS(Evaluations!$G$3:$G$10000,$A369,Evaluations!$R$3:$R$10000,0)),2),""))</f>
        <v/>
      </c>
      <c r="I369" s="10" t="str">
        <f>IF($A369="","",IFERROR(ROUND(100*COUNTIFS(Evaluations!$G$3:$G$10000,$A369,Evaluations!$S$3:$S$10000,1)/(COUNTIFS(Evaluations!$G$3:$G$10000,$A369,Evaluations!$S$3:$S$10000,1)+COUNTIFS(Evaluations!$G$3:$G$10000,$A369,Evaluations!$S$3:$S$10000,0)),2),""))</f>
        <v/>
      </c>
      <c r="J369" s="10" t="str">
        <f>IF($A369="","",IFERROR(ROUND(100*COUNTIFS(Evaluations!$G$3:$G$10000,$A369,Evaluations!$T$3:$T$10000,1)/(COUNTIFS(Evaluations!$G$3:$G$10000,$A369,Evaluations!$T$3:$T$10000,1)+COUNTIFS(Evaluations!$G$3:$G$10000,$A369,Evaluations!$T$3:$T$10000,0)),2),""))</f>
        <v/>
      </c>
      <c r="K369" s="10" t="str">
        <f>IF($A369="","",COUNTIFS(Evaluations!$G$3:$G$10000,$A369,Evaluations!$M$3:$M$10000,"عدم پاسخ"))</f>
        <v/>
      </c>
      <c r="L369" s="10" t="str">
        <f>IF($A369="","",COUNTIFS(Evaluations!$G$3:$G$10000,$A369,Evaluations!$O$3:$O$10000,"رعایت نشده"))</f>
        <v/>
      </c>
    </row>
    <row r="370">
      <c r="A370" s="10"/>
      <c r="B370" s="10" t="str">
        <f t="array" ref="B370">_xlfn.XLOOKUP(A370,DATA!D:D,DATA!E:E,"")</f>
        <v/>
      </c>
      <c r="C370" s="10" t="str">
        <f>IF($A370="","",COUNTIFS(Evaluations!$G$3:$G$10000,$A370,Evaluations!$U$3:$U$10000,"&gt;=0",Evaluations!$U$3:$U$10000,"&lt;=100"))</f>
        <v/>
      </c>
      <c r="D370" s="10" t="str">
        <f>IF(OR($A370="",C370=0),"",ROUND(SUMIFS(Evaluations!$U$3:$U$10000,Evaluations!$G$3:$G$10000,$A370)/C370,2))</f>
        <v/>
      </c>
      <c r="E370" s="10" t="str">
        <f>IF($A370="","",COUNTIFS(Evaluations!$G$3:$G$10000,$A370,Evaluations!$M$3:$M$10000,"پاسخ داده شده"))</f>
        <v/>
      </c>
      <c r="F370" s="10" t="str">
        <f>IF($A370="","",IFERROR(COUNTIFS(Evaluations!$G$3:$G$10000,$A370,Evaluations!$O$3:$O$10000,"رعایت شده")/(COUNTIFS(Evaluations!$G$3:$G$10000,$A370,Evaluations!$O$3:$O$10000,"رعایت شده")+COUNTIFS(Evaluations!$G$3:$G$10000,$A370,Evaluations!$O$3:$O$10000,"رعایت نشده")),""))</f>
        <v/>
      </c>
      <c r="G370" s="10" t="str">
        <f>IF($A370="","",IFERROR(ROUND(100*COUNTIFS(Evaluations!$G$3:$G$10000,$A370,Evaluations!$Q$3:$Q$10000,1)/(COUNTIFS(Evaluations!$G$3:$G$10000,$A370,Evaluations!$Q$3:$Q$10000,1)+COUNTIFS(Evaluations!$G$3:$G$10000,$A370,Evaluations!$Q$3:$Q$10000,0)),2),""))</f>
        <v/>
      </c>
      <c r="H370" s="10" t="str">
        <f>IF($A370="","",IFERROR(ROUND(100*COUNTIFS(Evaluations!$G$3:$G$10000,$A370,Evaluations!$R$3:$R$10000,1)/(COUNTIFS(Evaluations!$G$3:$G$10000,$A370,Evaluations!$R$3:$R$10000,1)+COUNTIFS(Evaluations!$G$3:$G$10000,$A370,Evaluations!$R$3:$R$10000,0)),2),""))</f>
        <v/>
      </c>
      <c r="I370" s="10" t="str">
        <f>IF($A370="","",IFERROR(ROUND(100*COUNTIFS(Evaluations!$G$3:$G$10000,$A370,Evaluations!$S$3:$S$10000,1)/(COUNTIFS(Evaluations!$G$3:$G$10000,$A370,Evaluations!$S$3:$S$10000,1)+COUNTIFS(Evaluations!$G$3:$G$10000,$A370,Evaluations!$S$3:$S$10000,0)),2),""))</f>
        <v/>
      </c>
      <c r="J370" s="10" t="str">
        <f>IF($A370="","",IFERROR(ROUND(100*COUNTIFS(Evaluations!$G$3:$G$10000,$A370,Evaluations!$T$3:$T$10000,1)/(COUNTIFS(Evaluations!$G$3:$G$10000,$A370,Evaluations!$T$3:$T$10000,1)+COUNTIFS(Evaluations!$G$3:$G$10000,$A370,Evaluations!$T$3:$T$10000,0)),2),""))</f>
        <v/>
      </c>
      <c r="K370" s="10" t="str">
        <f>IF($A370="","",COUNTIFS(Evaluations!$G$3:$G$10000,$A370,Evaluations!$M$3:$M$10000,"عدم پاسخ"))</f>
        <v/>
      </c>
      <c r="L370" s="10" t="str">
        <f>IF($A370="","",COUNTIFS(Evaluations!$G$3:$G$10000,$A370,Evaluations!$O$3:$O$10000,"رعایت نشده"))</f>
        <v/>
      </c>
    </row>
    <row r="371">
      <c r="A371" s="10"/>
      <c r="B371" s="10" t="str">
        <f t="array" ref="B371">_xlfn.XLOOKUP(A371,DATA!D:D,DATA!E:E,"")</f>
        <v/>
      </c>
      <c r="C371" s="10" t="str">
        <f>IF($A371="","",COUNTIFS(Evaluations!$G$3:$G$10000,$A371,Evaluations!$U$3:$U$10000,"&gt;=0",Evaluations!$U$3:$U$10000,"&lt;=100"))</f>
        <v/>
      </c>
      <c r="D371" s="10" t="str">
        <f>IF(OR($A371="",C371=0),"",ROUND(SUMIFS(Evaluations!$U$3:$U$10000,Evaluations!$G$3:$G$10000,$A371)/C371,2))</f>
        <v/>
      </c>
      <c r="E371" s="10" t="str">
        <f>IF($A371="","",COUNTIFS(Evaluations!$G$3:$G$10000,$A371,Evaluations!$M$3:$M$10000,"پاسخ داده شده"))</f>
        <v/>
      </c>
      <c r="F371" s="10" t="str">
        <f>IF($A371="","",IFERROR(COUNTIFS(Evaluations!$G$3:$G$10000,$A371,Evaluations!$O$3:$O$10000,"رعایت شده")/(COUNTIFS(Evaluations!$G$3:$G$10000,$A371,Evaluations!$O$3:$O$10000,"رعایت شده")+COUNTIFS(Evaluations!$G$3:$G$10000,$A371,Evaluations!$O$3:$O$10000,"رعایت نشده")),""))</f>
        <v/>
      </c>
      <c r="G371" s="10" t="str">
        <f>IF($A371="","",IFERROR(ROUND(100*COUNTIFS(Evaluations!$G$3:$G$10000,$A371,Evaluations!$Q$3:$Q$10000,1)/(COUNTIFS(Evaluations!$G$3:$G$10000,$A371,Evaluations!$Q$3:$Q$10000,1)+COUNTIFS(Evaluations!$G$3:$G$10000,$A371,Evaluations!$Q$3:$Q$10000,0)),2),""))</f>
        <v/>
      </c>
      <c r="H371" s="10" t="str">
        <f>IF($A371="","",IFERROR(ROUND(100*COUNTIFS(Evaluations!$G$3:$G$10000,$A371,Evaluations!$R$3:$R$10000,1)/(COUNTIFS(Evaluations!$G$3:$G$10000,$A371,Evaluations!$R$3:$R$10000,1)+COUNTIFS(Evaluations!$G$3:$G$10000,$A371,Evaluations!$R$3:$R$10000,0)),2),""))</f>
        <v/>
      </c>
      <c r="I371" s="10" t="str">
        <f>IF($A371="","",IFERROR(ROUND(100*COUNTIFS(Evaluations!$G$3:$G$10000,$A371,Evaluations!$S$3:$S$10000,1)/(COUNTIFS(Evaluations!$G$3:$G$10000,$A371,Evaluations!$S$3:$S$10000,1)+COUNTIFS(Evaluations!$G$3:$G$10000,$A371,Evaluations!$S$3:$S$10000,0)),2),""))</f>
        <v/>
      </c>
      <c r="J371" s="10" t="str">
        <f>IF($A371="","",IFERROR(ROUND(100*COUNTIFS(Evaluations!$G$3:$G$10000,$A371,Evaluations!$T$3:$T$10000,1)/(COUNTIFS(Evaluations!$G$3:$G$10000,$A371,Evaluations!$T$3:$T$10000,1)+COUNTIFS(Evaluations!$G$3:$G$10000,$A371,Evaluations!$T$3:$T$10000,0)),2),""))</f>
        <v/>
      </c>
      <c r="K371" s="10" t="str">
        <f>IF($A371="","",COUNTIFS(Evaluations!$G$3:$G$10000,$A371,Evaluations!$M$3:$M$10000,"عدم پاسخ"))</f>
        <v/>
      </c>
      <c r="L371" s="10" t="str">
        <f>IF($A371="","",COUNTIFS(Evaluations!$G$3:$G$10000,$A371,Evaluations!$O$3:$O$10000,"رعایت نشده"))</f>
        <v/>
      </c>
    </row>
    <row r="372">
      <c r="A372" s="10"/>
      <c r="B372" s="10" t="str">
        <f t="array" ref="B372">_xlfn.XLOOKUP(A372,DATA!D:D,DATA!E:E,"")</f>
        <v/>
      </c>
      <c r="C372" s="10" t="str">
        <f>IF($A372="","",COUNTIFS(Evaluations!$G$3:$G$10000,$A372,Evaluations!$U$3:$U$10000,"&gt;=0",Evaluations!$U$3:$U$10000,"&lt;=100"))</f>
        <v/>
      </c>
      <c r="D372" s="10" t="str">
        <f>IF(OR($A372="",C372=0),"",ROUND(SUMIFS(Evaluations!$U$3:$U$10000,Evaluations!$G$3:$G$10000,$A372)/C372,2))</f>
        <v/>
      </c>
      <c r="E372" s="10" t="str">
        <f>IF($A372="","",COUNTIFS(Evaluations!$G$3:$G$10000,$A372,Evaluations!$M$3:$M$10000,"پاسخ داده شده"))</f>
        <v/>
      </c>
      <c r="F372" s="10" t="str">
        <f>IF($A372="","",IFERROR(COUNTIFS(Evaluations!$G$3:$G$10000,$A372,Evaluations!$O$3:$O$10000,"رعایت شده")/(COUNTIFS(Evaluations!$G$3:$G$10000,$A372,Evaluations!$O$3:$O$10000,"رعایت شده")+COUNTIFS(Evaluations!$G$3:$G$10000,$A372,Evaluations!$O$3:$O$10000,"رعایت نشده")),""))</f>
        <v/>
      </c>
      <c r="G372" s="10" t="str">
        <f>IF($A372="","",IFERROR(ROUND(100*COUNTIFS(Evaluations!$G$3:$G$10000,$A372,Evaluations!$Q$3:$Q$10000,1)/(COUNTIFS(Evaluations!$G$3:$G$10000,$A372,Evaluations!$Q$3:$Q$10000,1)+COUNTIFS(Evaluations!$G$3:$G$10000,$A372,Evaluations!$Q$3:$Q$10000,0)),2),""))</f>
        <v/>
      </c>
      <c r="H372" s="10" t="str">
        <f>IF($A372="","",IFERROR(ROUND(100*COUNTIFS(Evaluations!$G$3:$G$10000,$A372,Evaluations!$R$3:$R$10000,1)/(COUNTIFS(Evaluations!$G$3:$G$10000,$A372,Evaluations!$R$3:$R$10000,1)+COUNTIFS(Evaluations!$G$3:$G$10000,$A372,Evaluations!$R$3:$R$10000,0)),2),""))</f>
        <v/>
      </c>
      <c r="I372" s="10" t="str">
        <f>IF($A372="","",IFERROR(ROUND(100*COUNTIFS(Evaluations!$G$3:$G$10000,$A372,Evaluations!$S$3:$S$10000,1)/(COUNTIFS(Evaluations!$G$3:$G$10000,$A372,Evaluations!$S$3:$S$10000,1)+COUNTIFS(Evaluations!$G$3:$G$10000,$A372,Evaluations!$S$3:$S$10000,0)),2),""))</f>
        <v/>
      </c>
      <c r="J372" s="10" t="str">
        <f>IF($A372="","",IFERROR(ROUND(100*COUNTIFS(Evaluations!$G$3:$G$10000,$A372,Evaluations!$T$3:$T$10000,1)/(COUNTIFS(Evaluations!$G$3:$G$10000,$A372,Evaluations!$T$3:$T$10000,1)+COUNTIFS(Evaluations!$G$3:$G$10000,$A372,Evaluations!$T$3:$T$10000,0)),2),""))</f>
        <v/>
      </c>
      <c r="K372" s="10" t="str">
        <f>IF($A372="","",COUNTIFS(Evaluations!$G$3:$G$10000,$A372,Evaluations!$M$3:$M$10000,"عدم پاسخ"))</f>
        <v/>
      </c>
      <c r="L372" s="10" t="str">
        <f>IF($A372="","",COUNTIFS(Evaluations!$G$3:$G$10000,$A372,Evaluations!$O$3:$O$10000,"رعایت نشده"))</f>
        <v/>
      </c>
    </row>
    <row r="373">
      <c r="A373" s="10"/>
      <c r="B373" s="10" t="str">
        <f t="array" ref="B373">_xlfn.XLOOKUP(A373,DATA!D:D,DATA!E:E,"")</f>
        <v/>
      </c>
      <c r="C373" s="10" t="str">
        <f>IF($A373="","",COUNTIFS(Evaluations!$G$3:$G$10000,$A373,Evaluations!$U$3:$U$10000,"&gt;=0",Evaluations!$U$3:$U$10000,"&lt;=100"))</f>
        <v/>
      </c>
      <c r="D373" s="10" t="str">
        <f>IF(OR($A373="",C373=0),"",ROUND(SUMIFS(Evaluations!$U$3:$U$10000,Evaluations!$G$3:$G$10000,$A373)/C373,2))</f>
        <v/>
      </c>
      <c r="E373" s="10" t="str">
        <f>IF($A373="","",COUNTIFS(Evaluations!$G$3:$G$10000,$A373,Evaluations!$M$3:$M$10000,"پاسخ داده شده"))</f>
        <v/>
      </c>
      <c r="F373" s="10" t="str">
        <f>IF($A373="","",IFERROR(COUNTIFS(Evaluations!$G$3:$G$10000,$A373,Evaluations!$O$3:$O$10000,"رعایت شده")/(COUNTIFS(Evaluations!$G$3:$G$10000,$A373,Evaluations!$O$3:$O$10000,"رعایت شده")+COUNTIFS(Evaluations!$G$3:$G$10000,$A373,Evaluations!$O$3:$O$10000,"رعایت نشده")),""))</f>
        <v/>
      </c>
      <c r="G373" s="10" t="str">
        <f>IF($A373="","",IFERROR(ROUND(100*COUNTIFS(Evaluations!$G$3:$G$10000,$A373,Evaluations!$Q$3:$Q$10000,1)/(COUNTIFS(Evaluations!$G$3:$G$10000,$A373,Evaluations!$Q$3:$Q$10000,1)+COUNTIFS(Evaluations!$G$3:$G$10000,$A373,Evaluations!$Q$3:$Q$10000,0)),2),""))</f>
        <v/>
      </c>
      <c r="H373" s="10" t="str">
        <f>IF($A373="","",IFERROR(ROUND(100*COUNTIFS(Evaluations!$G$3:$G$10000,$A373,Evaluations!$R$3:$R$10000,1)/(COUNTIFS(Evaluations!$G$3:$G$10000,$A373,Evaluations!$R$3:$R$10000,1)+COUNTIFS(Evaluations!$G$3:$G$10000,$A373,Evaluations!$R$3:$R$10000,0)),2),""))</f>
        <v/>
      </c>
      <c r="I373" s="10" t="str">
        <f>IF($A373="","",IFERROR(ROUND(100*COUNTIFS(Evaluations!$G$3:$G$10000,$A373,Evaluations!$S$3:$S$10000,1)/(COUNTIFS(Evaluations!$G$3:$G$10000,$A373,Evaluations!$S$3:$S$10000,1)+COUNTIFS(Evaluations!$G$3:$G$10000,$A373,Evaluations!$S$3:$S$10000,0)),2),""))</f>
        <v/>
      </c>
      <c r="J373" s="10" t="str">
        <f>IF($A373="","",IFERROR(ROUND(100*COUNTIFS(Evaluations!$G$3:$G$10000,$A373,Evaluations!$T$3:$T$10000,1)/(COUNTIFS(Evaluations!$G$3:$G$10000,$A373,Evaluations!$T$3:$T$10000,1)+COUNTIFS(Evaluations!$G$3:$G$10000,$A373,Evaluations!$T$3:$T$10000,0)),2),""))</f>
        <v/>
      </c>
      <c r="K373" s="10" t="str">
        <f>IF($A373="","",COUNTIFS(Evaluations!$G$3:$G$10000,$A373,Evaluations!$M$3:$M$10000,"عدم پاسخ"))</f>
        <v/>
      </c>
      <c r="L373" s="10" t="str">
        <f>IF($A373="","",COUNTIFS(Evaluations!$G$3:$G$10000,$A373,Evaluations!$O$3:$O$10000,"رعایت نشده"))</f>
        <v/>
      </c>
    </row>
    <row r="374">
      <c r="A374" s="10"/>
      <c r="B374" s="10" t="str">
        <f t="array" ref="B374">_xlfn.XLOOKUP(A374,DATA!D:D,DATA!E:E,"")</f>
        <v/>
      </c>
      <c r="C374" s="10" t="str">
        <f>IF($A374="","",COUNTIFS(Evaluations!$G$3:$G$10000,$A374,Evaluations!$U$3:$U$10000,"&gt;=0",Evaluations!$U$3:$U$10000,"&lt;=100"))</f>
        <v/>
      </c>
      <c r="D374" s="10" t="str">
        <f>IF(OR($A374="",C374=0),"",ROUND(SUMIFS(Evaluations!$U$3:$U$10000,Evaluations!$G$3:$G$10000,$A374)/C374,2))</f>
        <v/>
      </c>
      <c r="E374" s="10" t="str">
        <f>IF($A374="","",COUNTIFS(Evaluations!$G$3:$G$10000,$A374,Evaluations!$M$3:$M$10000,"پاسخ داده شده"))</f>
        <v/>
      </c>
      <c r="F374" s="10" t="str">
        <f>IF($A374="","",IFERROR(COUNTIFS(Evaluations!$G$3:$G$10000,$A374,Evaluations!$O$3:$O$10000,"رعایت شده")/(COUNTIFS(Evaluations!$G$3:$G$10000,$A374,Evaluations!$O$3:$O$10000,"رعایت شده")+COUNTIFS(Evaluations!$G$3:$G$10000,$A374,Evaluations!$O$3:$O$10000,"رعایت نشده")),""))</f>
        <v/>
      </c>
      <c r="G374" s="10" t="str">
        <f>IF($A374="","",IFERROR(ROUND(100*COUNTIFS(Evaluations!$G$3:$G$10000,$A374,Evaluations!$Q$3:$Q$10000,1)/(COUNTIFS(Evaluations!$G$3:$G$10000,$A374,Evaluations!$Q$3:$Q$10000,1)+COUNTIFS(Evaluations!$G$3:$G$10000,$A374,Evaluations!$Q$3:$Q$10000,0)),2),""))</f>
        <v/>
      </c>
      <c r="H374" s="10" t="str">
        <f>IF($A374="","",IFERROR(ROUND(100*COUNTIFS(Evaluations!$G$3:$G$10000,$A374,Evaluations!$R$3:$R$10000,1)/(COUNTIFS(Evaluations!$G$3:$G$10000,$A374,Evaluations!$R$3:$R$10000,1)+COUNTIFS(Evaluations!$G$3:$G$10000,$A374,Evaluations!$R$3:$R$10000,0)),2),""))</f>
        <v/>
      </c>
      <c r="I374" s="10" t="str">
        <f>IF($A374="","",IFERROR(ROUND(100*COUNTIFS(Evaluations!$G$3:$G$10000,$A374,Evaluations!$S$3:$S$10000,1)/(COUNTIFS(Evaluations!$G$3:$G$10000,$A374,Evaluations!$S$3:$S$10000,1)+COUNTIFS(Evaluations!$G$3:$G$10000,$A374,Evaluations!$S$3:$S$10000,0)),2),""))</f>
        <v/>
      </c>
      <c r="J374" s="10" t="str">
        <f>IF($A374="","",IFERROR(ROUND(100*COUNTIFS(Evaluations!$G$3:$G$10000,$A374,Evaluations!$T$3:$T$10000,1)/(COUNTIFS(Evaluations!$G$3:$G$10000,$A374,Evaluations!$T$3:$T$10000,1)+COUNTIFS(Evaluations!$G$3:$G$10000,$A374,Evaluations!$T$3:$T$10000,0)),2),""))</f>
        <v/>
      </c>
      <c r="K374" s="10" t="str">
        <f>IF($A374="","",COUNTIFS(Evaluations!$G$3:$G$10000,$A374,Evaluations!$M$3:$M$10000,"عدم پاسخ"))</f>
        <v/>
      </c>
      <c r="L374" s="10" t="str">
        <f>IF($A374="","",COUNTIFS(Evaluations!$G$3:$G$10000,$A374,Evaluations!$O$3:$O$10000,"رعایت نشده"))</f>
        <v/>
      </c>
    </row>
    <row r="375">
      <c r="A375" s="10"/>
      <c r="B375" s="10" t="str">
        <f t="array" ref="B375">_xlfn.XLOOKUP(A375,DATA!D:D,DATA!E:E,"")</f>
        <v/>
      </c>
      <c r="C375" s="10" t="str">
        <f>IF($A375="","",COUNTIFS(Evaluations!$G$3:$G$10000,$A375,Evaluations!$U$3:$U$10000,"&gt;=0",Evaluations!$U$3:$U$10000,"&lt;=100"))</f>
        <v/>
      </c>
      <c r="D375" s="10" t="str">
        <f>IF(OR($A375="",C375=0),"",ROUND(SUMIFS(Evaluations!$U$3:$U$10000,Evaluations!$G$3:$G$10000,$A375)/C375,2))</f>
        <v/>
      </c>
      <c r="E375" s="10" t="str">
        <f>IF($A375="","",COUNTIFS(Evaluations!$G$3:$G$10000,$A375,Evaluations!$M$3:$M$10000,"پاسخ داده شده"))</f>
        <v/>
      </c>
      <c r="F375" s="10" t="str">
        <f>IF($A375="","",IFERROR(COUNTIFS(Evaluations!$G$3:$G$10000,$A375,Evaluations!$O$3:$O$10000,"رعایت شده")/(COUNTIFS(Evaluations!$G$3:$G$10000,$A375,Evaluations!$O$3:$O$10000,"رعایت شده")+COUNTIFS(Evaluations!$G$3:$G$10000,$A375,Evaluations!$O$3:$O$10000,"رعایت نشده")),""))</f>
        <v/>
      </c>
      <c r="G375" s="10" t="str">
        <f>IF($A375="","",IFERROR(ROUND(100*COUNTIFS(Evaluations!$G$3:$G$10000,$A375,Evaluations!$Q$3:$Q$10000,1)/(COUNTIFS(Evaluations!$G$3:$G$10000,$A375,Evaluations!$Q$3:$Q$10000,1)+COUNTIFS(Evaluations!$G$3:$G$10000,$A375,Evaluations!$Q$3:$Q$10000,0)),2),""))</f>
        <v/>
      </c>
      <c r="H375" s="10" t="str">
        <f>IF($A375="","",IFERROR(ROUND(100*COUNTIFS(Evaluations!$G$3:$G$10000,$A375,Evaluations!$R$3:$R$10000,1)/(COUNTIFS(Evaluations!$G$3:$G$10000,$A375,Evaluations!$R$3:$R$10000,1)+COUNTIFS(Evaluations!$G$3:$G$10000,$A375,Evaluations!$R$3:$R$10000,0)),2),""))</f>
        <v/>
      </c>
      <c r="I375" s="10" t="str">
        <f>IF($A375="","",IFERROR(ROUND(100*COUNTIFS(Evaluations!$G$3:$G$10000,$A375,Evaluations!$S$3:$S$10000,1)/(COUNTIFS(Evaluations!$G$3:$G$10000,$A375,Evaluations!$S$3:$S$10000,1)+COUNTIFS(Evaluations!$G$3:$G$10000,$A375,Evaluations!$S$3:$S$10000,0)),2),""))</f>
        <v/>
      </c>
      <c r="J375" s="10" t="str">
        <f>IF($A375="","",IFERROR(ROUND(100*COUNTIFS(Evaluations!$G$3:$G$10000,$A375,Evaluations!$T$3:$T$10000,1)/(COUNTIFS(Evaluations!$G$3:$G$10000,$A375,Evaluations!$T$3:$T$10000,1)+COUNTIFS(Evaluations!$G$3:$G$10000,$A375,Evaluations!$T$3:$T$10000,0)),2),""))</f>
        <v/>
      </c>
      <c r="K375" s="10" t="str">
        <f>IF($A375="","",COUNTIFS(Evaluations!$G$3:$G$10000,$A375,Evaluations!$M$3:$M$10000,"عدم پاسخ"))</f>
        <v/>
      </c>
      <c r="L375" s="10" t="str">
        <f>IF($A375="","",COUNTIFS(Evaluations!$G$3:$G$10000,$A375,Evaluations!$O$3:$O$10000,"رعایت نشده"))</f>
        <v/>
      </c>
    </row>
    <row r="376">
      <c r="A376" s="10"/>
      <c r="B376" s="10" t="str">
        <f t="array" ref="B376">_xlfn.XLOOKUP(A376,DATA!D:D,DATA!E:E,"")</f>
        <v/>
      </c>
      <c r="C376" s="10" t="str">
        <f>IF($A376="","",COUNTIFS(Evaluations!$G$3:$G$10000,$A376,Evaluations!$U$3:$U$10000,"&gt;=0",Evaluations!$U$3:$U$10000,"&lt;=100"))</f>
        <v/>
      </c>
      <c r="D376" s="10" t="str">
        <f>IF(OR($A376="",C376=0),"",ROUND(SUMIFS(Evaluations!$U$3:$U$10000,Evaluations!$G$3:$G$10000,$A376)/C376,2))</f>
        <v/>
      </c>
      <c r="E376" s="10" t="str">
        <f>IF($A376="","",COUNTIFS(Evaluations!$G$3:$G$10000,$A376,Evaluations!$M$3:$M$10000,"پاسخ داده شده"))</f>
        <v/>
      </c>
      <c r="F376" s="10" t="str">
        <f>IF($A376="","",IFERROR(COUNTIFS(Evaluations!$G$3:$G$10000,$A376,Evaluations!$O$3:$O$10000,"رعایت شده")/(COUNTIFS(Evaluations!$G$3:$G$10000,$A376,Evaluations!$O$3:$O$10000,"رعایت شده")+COUNTIFS(Evaluations!$G$3:$G$10000,$A376,Evaluations!$O$3:$O$10000,"رعایت نشده")),""))</f>
        <v/>
      </c>
      <c r="G376" s="10" t="str">
        <f>IF($A376="","",IFERROR(ROUND(100*COUNTIFS(Evaluations!$G$3:$G$10000,$A376,Evaluations!$Q$3:$Q$10000,1)/(COUNTIFS(Evaluations!$G$3:$G$10000,$A376,Evaluations!$Q$3:$Q$10000,1)+COUNTIFS(Evaluations!$G$3:$G$10000,$A376,Evaluations!$Q$3:$Q$10000,0)),2),""))</f>
        <v/>
      </c>
      <c r="H376" s="10" t="str">
        <f>IF($A376="","",IFERROR(ROUND(100*COUNTIFS(Evaluations!$G$3:$G$10000,$A376,Evaluations!$R$3:$R$10000,1)/(COUNTIFS(Evaluations!$G$3:$G$10000,$A376,Evaluations!$R$3:$R$10000,1)+COUNTIFS(Evaluations!$G$3:$G$10000,$A376,Evaluations!$R$3:$R$10000,0)),2),""))</f>
        <v/>
      </c>
      <c r="I376" s="10" t="str">
        <f>IF($A376="","",IFERROR(ROUND(100*COUNTIFS(Evaluations!$G$3:$G$10000,$A376,Evaluations!$S$3:$S$10000,1)/(COUNTIFS(Evaluations!$G$3:$G$10000,$A376,Evaluations!$S$3:$S$10000,1)+COUNTIFS(Evaluations!$G$3:$G$10000,$A376,Evaluations!$S$3:$S$10000,0)),2),""))</f>
        <v/>
      </c>
      <c r="J376" s="10" t="str">
        <f>IF($A376="","",IFERROR(ROUND(100*COUNTIFS(Evaluations!$G$3:$G$10000,$A376,Evaluations!$T$3:$T$10000,1)/(COUNTIFS(Evaluations!$G$3:$G$10000,$A376,Evaluations!$T$3:$T$10000,1)+COUNTIFS(Evaluations!$G$3:$G$10000,$A376,Evaluations!$T$3:$T$10000,0)),2),""))</f>
        <v/>
      </c>
      <c r="K376" s="10" t="str">
        <f>IF($A376="","",COUNTIFS(Evaluations!$G$3:$G$10000,$A376,Evaluations!$M$3:$M$10000,"عدم پاسخ"))</f>
        <v/>
      </c>
      <c r="L376" s="10" t="str">
        <f>IF($A376="","",COUNTIFS(Evaluations!$G$3:$G$10000,$A376,Evaluations!$O$3:$O$10000,"رعایت نشده"))</f>
        <v/>
      </c>
    </row>
    <row r="377">
      <c r="A377" s="10"/>
      <c r="B377" s="10" t="str">
        <f t="array" ref="B377">_xlfn.XLOOKUP(A377,DATA!D:D,DATA!E:E,"")</f>
        <v/>
      </c>
      <c r="C377" s="10" t="str">
        <f>IF($A377="","",COUNTIFS(Evaluations!$G$3:$G$10000,$A377,Evaluations!$U$3:$U$10000,"&gt;=0",Evaluations!$U$3:$U$10000,"&lt;=100"))</f>
        <v/>
      </c>
      <c r="D377" s="10" t="str">
        <f>IF(OR($A377="",C377=0),"",ROUND(SUMIFS(Evaluations!$U$3:$U$10000,Evaluations!$G$3:$G$10000,$A377)/C377,2))</f>
        <v/>
      </c>
      <c r="E377" s="10" t="str">
        <f>IF($A377="","",COUNTIFS(Evaluations!$G$3:$G$10000,$A377,Evaluations!$M$3:$M$10000,"پاسخ داده شده"))</f>
        <v/>
      </c>
      <c r="F377" s="10" t="str">
        <f>IF($A377="","",IFERROR(COUNTIFS(Evaluations!$G$3:$G$10000,$A377,Evaluations!$O$3:$O$10000,"رعایت شده")/(COUNTIFS(Evaluations!$G$3:$G$10000,$A377,Evaluations!$O$3:$O$10000,"رعایت شده")+COUNTIFS(Evaluations!$G$3:$G$10000,$A377,Evaluations!$O$3:$O$10000,"رعایت نشده")),""))</f>
        <v/>
      </c>
      <c r="G377" s="10" t="str">
        <f>IF($A377="","",IFERROR(ROUND(100*COUNTIFS(Evaluations!$G$3:$G$10000,$A377,Evaluations!$Q$3:$Q$10000,1)/(COUNTIFS(Evaluations!$G$3:$G$10000,$A377,Evaluations!$Q$3:$Q$10000,1)+COUNTIFS(Evaluations!$G$3:$G$10000,$A377,Evaluations!$Q$3:$Q$10000,0)),2),""))</f>
        <v/>
      </c>
      <c r="H377" s="10" t="str">
        <f>IF($A377="","",IFERROR(ROUND(100*COUNTIFS(Evaluations!$G$3:$G$10000,$A377,Evaluations!$R$3:$R$10000,1)/(COUNTIFS(Evaluations!$G$3:$G$10000,$A377,Evaluations!$R$3:$R$10000,1)+COUNTIFS(Evaluations!$G$3:$G$10000,$A377,Evaluations!$R$3:$R$10000,0)),2),""))</f>
        <v/>
      </c>
      <c r="I377" s="10" t="str">
        <f>IF($A377="","",IFERROR(ROUND(100*COUNTIFS(Evaluations!$G$3:$G$10000,$A377,Evaluations!$S$3:$S$10000,1)/(COUNTIFS(Evaluations!$G$3:$G$10000,$A377,Evaluations!$S$3:$S$10000,1)+COUNTIFS(Evaluations!$G$3:$G$10000,$A377,Evaluations!$S$3:$S$10000,0)),2),""))</f>
        <v/>
      </c>
      <c r="J377" s="10" t="str">
        <f>IF($A377="","",IFERROR(ROUND(100*COUNTIFS(Evaluations!$G$3:$G$10000,$A377,Evaluations!$T$3:$T$10000,1)/(COUNTIFS(Evaluations!$G$3:$G$10000,$A377,Evaluations!$T$3:$T$10000,1)+COUNTIFS(Evaluations!$G$3:$G$10000,$A377,Evaluations!$T$3:$T$10000,0)),2),""))</f>
        <v/>
      </c>
      <c r="K377" s="10" t="str">
        <f>IF($A377="","",COUNTIFS(Evaluations!$G$3:$G$10000,$A377,Evaluations!$M$3:$M$10000,"عدم پاسخ"))</f>
        <v/>
      </c>
      <c r="L377" s="10" t="str">
        <f>IF($A377="","",COUNTIFS(Evaluations!$G$3:$G$10000,$A377,Evaluations!$O$3:$O$10000,"رعایت نشده"))</f>
        <v/>
      </c>
    </row>
    <row r="378">
      <c r="A378" s="10"/>
      <c r="B378" s="10" t="str">
        <f t="array" ref="B378">_xlfn.XLOOKUP(A378,DATA!D:D,DATA!E:E,"")</f>
        <v/>
      </c>
      <c r="C378" s="10" t="str">
        <f>IF($A378="","",COUNTIFS(Evaluations!$G$3:$G$10000,$A378,Evaluations!$U$3:$U$10000,"&gt;=0",Evaluations!$U$3:$U$10000,"&lt;=100"))</f>
        <v/>
      </c>
      <c r="D378" s="10" t="str">
        <f>IF(OR($A378="",C378=0),"",ROUND(SUMIFS(Evaluations!$U$3:$U$10000,Evaluations!$G$3:$G$10000,$A378)/C378,2))</f>
        <v/>
      </c>
      <c r="E378" s="10" t="str">
        <f>IF($A378="","",COUNTIFS(Evaluations!$G$3:$G$10000,$A378,Evaluations!$M$3:$M$10000,"پاسخ داده شده"))</f>
        <v/>
      </c>
      <c r="F378" s="10" t="str">
        <f>IF($A378="","",IFERROR(COUNTIFS(Evaluations!$G$3:$G$10000,$A378,Evaluations!$O$3:$O$10000,"رعایت شده")/(COUNTIFS(Evaluations!$G$3:$G$10000,$A378,Evaluations!$O$3:$O$10000,"رعایت شده")+COUNTIFS(Evaluations!$G$3:$G$10000,$A378,Evaluations!$O$3:$O$10000,"رعایت نشده")),""))</f>
        <v/>
      </c>
      <c r="G378" s="10" t="str">
        <f>IF($A378="","",IFERROR(ROUND(100*COUNTIFS(Evaluations!$G$3:$G$10000,$A378,Evaluations!$Q$3:$Q$10000,1)/(COUNTIFS(Evaluations!$G$3:$G$10000,$A378,Evaluations!$Q$3:$Q$10000,1)+COUNTIFS(Evaluations!$G$3:$G$10000,$A378,Evaluations!$Q$3:$Q$10000,0)),2),""))</f>
        <v/>
      </c>
      <c r="H378" s="10" t="str">
        <f>IF($A378="","",IFERROR(ROUND(100*COUNTIFS(Evaluations!$G$3:$G$10000,$A378,Evaluations!$R$3:$R$10000,1)/(COUNTIFS(Evaluations!$G$3:$G$10000,$A378,Evaluations!$R$3:$R$10000,1)+COUNTIFS(Evaluations!$G$3:$G$10000,$A378,Evaluations!$R$3:$R$10000,0)),2),""))</f>
        <v/>
      </c>
      <c r="I378" s="10" t="str">
        <f>IF($A378="","",IFERROR(ROUND(100*COUNTIFS(Evaluations!$G$3:$G$10000,$A378,Evaluations!$S$3:$S$10000,1)/(COUNTIFS(Evaluations!$G$3:$G$10000,$A378,Evaluations!$S$3:$S$10000,1)+COUNTIFS(Evaluations!$G$3:$G$10000,$A378,Evaluations!$S$3:$S$10000,0)),2),""))</f>
        <v/>
      </c>
      <c r="J378" s="10" t="str">
        <f>IF($A378="","",IFERROR(ROUND(100*COUNTIFS(Evaluations!$G$3:$G$10000,$A378,Evaluations!$T$3:$T$10000,1)/(COUNTIFS(Evaluations!$G$3:$G$10000,$A378,Evaluations!$T$3:$T$10000,1)+COUNTIFS(Evaluations!$G$3:$G$10000,$A378,Evaluations!$T$3:$T$10000,0)),2),""))</f>
        <v/>
      </c>
      <c r="K378" s="10" t="str">
        <f>IF($A378="","",COUNTIFS(Evaluations!$G$3:$G$10000,$A378,Evaluations!$M$3:$M$10000,"عدم پاسخ"))</f>
        <v/>
      </c>
      <c r="L378" s="10" t="str">
        <f>IF($A378="","",COUNTIFS(Evaluations!$G$3:$G$10000,$A378,Evaluations!$O$3:$O$10000,"رعایت نشده"))</f>
        <v/>
      </c>
    </row>
    <row r="379">
      <c r="A379" s="10"/>
      <c r="B379" s="10" t="str">
        <f t="array" ref="B379">_xlfn.XLOOKUP(A379,DATA!D:D,DATA!E:E,"")</f>
        <v/>
      </c>
      <c r="C379" s="10" t="str">
        <f>IF($A379="","",COUNTIFS(Evaluations!$G$3:$G$10000,$A379,Evaluations!$U$3:$U$10000,"&gt;=0",Evaluations!$U$3:$U$10000,"&lt;=100"))</f>
        <v/>
      </c>
      <c r="D379" s="10" t="str">
        <f>IF(OR($A379="",C379=0),"",ROUND(SUMIFS(Evaluations!$U$3:$U$10000,Evaluations!$G$3:$G$10000,$A379)/C379,2))</f>
        <v/>
      </c>
      <c r="E379" s="10" t="str">
        <f>IF($A379="","",COUNTIFS(Evaluations!$G$3:$G$10000,$A379,Evaluations!$M$3:$M$10000,"پاسخ داده شده"))</f>
        <v/>
      </c>
      <c r="F379" s="10" t="str">
        <f>IF($A379="","",IFERROR(COUNTIFS(Evaluations!$G$3:$G$10000,$A379,Evaluations!$O$3:$O$10000,"رعایت شده")/(COUNTIFS(Evaluations!$G$3:$G$10000,$A379,Evaluations!$O$3:$O$10000,"رعایت شده")+COUNTIFS(Evaluations!$G$3:$G$10000,$A379,Evaluations!$O$3:$O$10000,"رعایت نشده")),""))</f>
        <v/>
      </c>
      <c r="G379" s="10" t="str">
        <f>IF($A379="","",IFERROR(ROUND(100*COUNTIFS(Evaluations!$G$3:$G$10000,$A379,Evaluations!$Q$3:$Q$10000,1)/(COUNTIFS(Evaluations!$G$3:$G$10000,$A379,Evaluations!$Q$3:$Q$10000,1)+COUNTIFS(Evaluations!$G$3:$G$10000,$A379,Evaluations!$Q$3:$Q$10000,0)),2),""))</f>
        <v/>
      </c>
      <c r="H379" s="10" t="str">
        <f>IF($A379="","",IFERROR(ROUND(100*COUNTIFS(Evaluations!$G$3:$G$10000,$A379,Evaluations!$R$3:$R$10000,1)/(COUNTIFS(Evaluations!$G$3:$G$10000,$A379,Evaluations!$R$3:$R$10000,1)+COUNTIFS(Evaluations!$G$3:$G$10000,$A379,Evaluations!$R$3:$R$10000,0)),2),""))</f>
        <v/>
      </c>
      <c r="I379" s="10" t="str">
        <f>IF($A379="","",IFERROR(ROUND(100*COUNTIFS(Evaluations!$G$3:$G$10000,$A379,Evaluations!$S$3:$S$10000,1)/(COUNTIFS(Evaluations!$G$3:$G$10000,$A379,Evaluations!$S$3:$S$10000,1)+COUNTIFS(Evaluations!$G$3:$G$10000,$A379,Evaluations!$S$3:$S$10000,0)),2),""))</f>
        <v/>
      </c>
      <c r="J379" s="10" t="str">
        <f>IF($A379="","",IFERROR(ROUND(100*COUNTIFS(Evaluations!$G$3:$G$10000,$A379,Evaluations!$T$3:$T$10000,1)/(COUNTIFS(Evaluations!$G$3:$G$10000,$A379,Evaluations!$T$3:$T$10000,1)+COUNTIFS(Evaluations!$G$3:$G$10000,$A379,Evaluations!$T$3:$T$10000,0)),2),""))</f>
        <v/>
      </c>
      <c r="K379" s="10" t="str">
        <f>IF($A379="","",COUNTIFS(Evaluations!$G$3:$G$10000,$A379,Evaluations!$M$3:$M$10000,"عدم پاسخ"))</f>
        <v/>
      </c>
      <c r="L379" s="10" t="str">
        <f>IF($A379="","",COUNTIFS(Evaluations!$G$3:$G$10000,$A379,Evaluations!$O$3:$O$10000,"رعایت نشده"))</f>
        <v/>
      </c>
    </row>
    <row r="380">
      <c r="A380" s="10"/>
      <c r="B380" s="10" t="str">
        <f t="array" ref="B380">_xlfn.XLOOKUP(A380,DATA!D:D,DATA!E:E,"")</f>
        <v/>
      </c>
      <c r="C380" s="10" t="str">
        <f>IF($A380="","",COUNTIFS(Evaluations!$G$3:$G$10000,$A380,Evaluations!$U$3:$U$10000,"&gt;=0",Evaluations!$U$3:$U$10000,"&lt;=100"))</f>
        <v/>
      </c>
      <c r="D380" s="10" t="str">
        <f>IF(OR($A380="",C380=0),"",ROUND(SUMIFS(Evaluations!$U$3:$U$10000,Evaluations!$G$3:$G$10000,$A380)/C380,2))</f>
        <v/>
      </c>
      <c r="E380" s="10" t="str">
        <f>IF($A380="","",COUNTIFS(Evaluations!$G$3:$G$10000,$A380,Evaluations!$M$3:$M$10000,"پاسخ داده شده"))</f>
        <v/>
      </c>
      <c r="F380" s="10" t="str">
        <f>IF($A380="","",IFERROR(COUNTIFS(Evaluations!$G$3:$G$10000,$A380,Evaluations!$O$3:$O$10000,"رعایت شده")/(COUNTIFS(Evaluations!$G$3:$G$10000,$A380,Evaluations!$O$3:$O$10000,"رعایت شده")+COUNTIFS(Evaluations!$G$3:$G$10000,$A380,Evaluations!$O$3:$O$10000,"رعایت نشده")),""))</f>
        <v/>
      </c>
      <c r="G380" s="10" t="str">
        <f>IF($A380="","",IFERROR(ROUND(100*COUNTIFS(Evaluations!$G$3:$G$10000,$A380,Evaluations!$Q$3:$Q$10000,1)/(COUNTIFS(Evaluations!$G$3:$G$10000,$A380,Evaluations!$Q$3:$Q$10000,1)+COUNTIFS(Evaluations!$G$3:$G$10000,$A380,Evaluations!$Q$3:$Q$10000,0)),2),""))</f>
        <v/>
      </c>
      <c r="H380" s="10" t="str">
        <f>IF($A380="","",IFERROR(ROUND(100*COUNTIFS(Evaluations!$G$3:$G$10000,$A380,Evaluations!$R$3:$R$10000,1)/(COUNTIFS(Evaluations!$G$3:$G$10000,$A380,Evaluations!$R$3:$R$10000,1)+COUNTIFS(Evaluations!$G$3:$G$10000,$A380,Evaluations!$R$3:$R$10000,0)),2),""))</f>
        <v/>
      </c>
      <c r="I380" s="10" t="str">
        <f>IF($A380="","",IFERROR(ROUND(100*COUNTIFS(Evaluations!$G$3:$G$10000,$A380,Evaluations!$S$3:$S$10000,1)/(COUNTIFS(Evaluations!$G$3:$G$10000,$A380,Evaluations!$S$3:$S$10000,1)+COUNTIFS(Evaluations!$G$3:$G$10000,$A380,Evaluations!$S$3:$S$10000,0)),2),""))</f>
        <v/>
      </c>
      <c r="J380" s="10" t="str">
        <f>IF($A380="","",IFERROR(ROUND(100*COUNTIFS(Evaluations!$G$3:$G$10000,$A380,Evaluations!$T$3:$T$10000,1)/(COUNTIFS(Evaluations!$G$3:$G$10000,$A380,Evaluations!$T$3:$T$10000,1)+COUNTIFS(Evaluations!$G$3:$G$10000,$A380,Evaluations!$T$3:$T$10000,0)),2),""))</f>
        <v/>
      </c>
      <c r="K380" s="10" t="str">
        <f>IF($A380="","",COUNTIFS(Evaluations!$G$3:$G$10000,$A380,Evaluations!$M$3:$M$10000,"عدم پاسخ"))</f>
        <v/>
      </c>
      <c r="L380" s="10" t="str">
        <f>IF($A380="","",COUNTIFS(Evaluations!$G$3:$G$10000,$A380,Evaluations!$O$3:$O$10000,"رعایت نشده"))</f>
        <v/>
      </c>
    </row>
    <row r="381">
      <c r="A381" s="10"/>
      <c r="B381" s="10" t="str">
        <f t="array" ref="B381">_xlfn.XLOOKUP(A381,DATA!D:D,DATA!E:E,"")</f>
        <v/>
      </c>
      <c r="C381" s="10" t="str">
        <f>IF($A381="","",COUNTIFS(Evaluations!$G$3:$G$10000,$A381,Evaluations!$U$3:$U$10000,"&gt;=0",Evaluations!$U$3:$U$10000,"&lt;=100"))</f>
        <v/>
      </c>
      <c r="D381" s="10" t="str">
        <f>IF(OR($A381="",C381=0),"",ROUND(SUMIFS(Evaluations!$U$3:$U$10000,Evaluations!$G$3:$G$10000,$A381)/C381,2))</f>
        <v/>
      </c>
      <c r="E381" s="10" t="str">
        <f>IF($A381="","",COUNTIFS(Evaluations!$G$3:$G$10000,$A381,Evaluations!$M$3:$M$10000,"پاسخ داده شده"))</f>
        <v/>
      </c>
      <c r="F381" s="10" t="str">
        <f>IF($A381="","",IFERROR(COUNTIFS(Evaluations!$G$3:$G$10000,$A381,Evaluations!$O$3:$O$10000,"رعایت شده")/(COUNTIFS(Evaluations!$G$3:$G$10000,$A381,Evaluations!$O$3:$O$10000,"رعایت شده")+COUNTIFS(Evaluations!$G$3:$G$10000,$A381,Evaluations!$O$3:$O$10000,"رعایت نشده")),""))</f>
        <v/>
      </c>
      <c r="G381" s="10" t="str">
        <f>IF($A381="","",IFERROR(ROUND(100*COUNTIFS(Evaluations!$G$3:$G$10000,$A381,Evaluations!$Q$3:$Q$10000,1)/(COUNTIFS(Evaluations!$G$3:$G$10000,$A381,Evaluations!$Q$3:$Q$10000,1)+COUNTIFS(Evaluations!$G$3:$G$10000,$A381,Evaluations!$Q$3:$Q$10000,0)),2),""))</f>
        <v/>
      </c>
      <c r="H381" s="10" t="str">
        <f>IF($A381="","",IFERROR(ROUND(100*COUNTIFS(Evaluations!$G$3:$G$10000,$A381,Evaluations!$R$3:$R$10000,1)/(COUNTIFS(Evaluations!$G$3:$G$10000,$A381,Evaluations!$R$3:$R$10000,1)+COUNTIFS(Evaluations!$G$3:$G$10000,$A381,Evaluations!$R$3:$R$10000,0)),2),""))</f>
        <v/>
      </c>
      <c r="I381" s="10" t="str">
        <f>IF($A381="","",IFERROR(ROUND(100*COUNTIFS(Evaluations!$G$3:$G$10000,$A381,Evaluations!$S$3:$S$10000,1)/(COUNTIFS(Evaluations!$G$3:$G$10000,$A381,Evaluations!$S$3:$S$10000,1)+COUNTIFS(Evaluations!$G$3:$G$10000,$A381,Evaluations!$S$3:$S$10000,0)),2),""))</f>
        <v/>
      </c>
      <c r="J381" s="10" t="str">
        <f>IF($A381="","",IFERROR(ROUND(100*COUNTIFS(Evaluations!$G$3:$G$10000,$A381,Evaluations!$T$3:$T$10000,1)/(COUNTIFS(Evaluations!$G$3:$G$10000,$A381,Evaluations!$T$3:$T$10000,1)+COUNTIFS(Evaluations!$G$3:$G$10000,$A381,Evaluations!$T$3:$T$10000,0)),2),""))</f>
        <v/>
      </c>
      <c r="K381" s="10" t="str">
        <f>IF($A381="","",COUNTIFS(Evaluations!$G$3:$G$10000,$A381,Evaluations!$M$3:$M$10000,"عدم پاسخ"))</f>
        <v/>
      </c>
      <c r="L381" s="10" t="str">
        <f>IF($A381="","",COUNTIFS(Evaluations!$G$3:$G$10000,$A381,Evaluations!$O$3:$O$10000,"رعایت نشده"))</f>
        <v/>
      </c>
    </row>
    <row r="382">
      <c r="A382" s="10"/>
      <c r="B382" s="10" t="str">
        <f t="array" ref="B382">_xlfn.XLOOKUP(A382,DATA!D:D,DATA!E:E,"")</f>
        <v/>
      </c>
      <c r="C382" s="10" t="str">
        <f>IF($A382="","",COUNTIFS(Evaluations!$G$3:$G$10000,$A382,Evaluations!$U$3:$U$10000,"&gt;=0",Evaluations!$U$3:$U$10000,"&lt;=100"))</f>
        <v/>
      </c>
      <c r="D382" s="10" t="str">
        <f>IF(OR($A382="",C382=0),"",ROUND(SUMIFS(Evaluations!$U$3:$U$10000,Evaluations!$G$3:$G$10000,$A382)/C382,2))</f>
        <v/>
      </c>
      <c r="E382" s="10" t="str">
        <f>IF($A382="","",COUNTIFS(Evaluations!$G$3:$G$10000,$A382,Evaluations!$M$3:$M$10000,"پاسخ داده شده"))</f>
        <v/>
      </c>
      <c r="F382" s="10" t="str">
        <f>IF($A382="","",IFERROR(COUNTIFS(Evaluations!$G$3:$G$10000,$A382,Evaluations!$O$3:$O$10000,"رعایت شده")/(COUNTIFS(Evaluations!$G$3:$G$10000,$A382,Evaluations!$O$3:$O$10000,"رعایت شده")+COUNTIFS(Evaluations!$G$3:$G$10000,$A382,Evaluations!$O$3:$O$10000,"رعایت نشده")),""))</f>
        <v/>
      </c>
      <c r="G382" s="10" t="str">
        <f>IF($A382="","",IFERROR(ROUND(100*COUNTIFS(Evaluations!$G$3:$G$10000,$A382,Evaluations!$Q$3:$Q$10000,1)/(COUNTIFS(Evaluations!$G$3:$G$10000,$A382,Evaluations!$Q$3:$Q$10000,1)+COUNTIFS(Evaluations!$G$3:$G$10000,$A382,Evaluations!$Q$3:$Q$10000,0)),2),""))</f>
        <v/>
      </c>
      <c r="H382" s="10" t="str">
        <f>IF($A382="","",IFERROR(ROUND(100*COUNTIFS(Evaluations!$G$3:$G$10000,$A382,Evaluations!$R$3:$R$10000,1)/(COUNTIFS(Evaluations!$G$3:$G$10000,$A382,Evaluations!$R$3:$R$10000,1)+COUNTIFS(Evaluations!$G$3:$G$10000,$A382,Evaluations!$R$3:$R$10000,0)),2),""))</f>
        <v/>
      </c>
      <c r="I382" s="10" t="str">
        <f>IF($A382="","",IFERROR(ROUND(100*COUNTIFS(Evaluations!$G$3:$G$10000,$A382,Evaluations!$S$3:$S$10000,1)/(COUNTIFS(Evaluations!$G$3:$G$10000,$A382,Evaluations!$S$3:$S$10000,1)+COUNTIFS(Evaluations!$G$3:$G$10000,$A382,Evaluations!$S$3:$S$10000,0)),2),""))</f>
        <v/>
      </c>
      <c r="J382" s="10" t="str">
        <f>IF($A382="","",IFERROR(ROUND(100*COUNTIFS(Evaluations!$G$3:$G$10000,$A382,Evaluations!$T$3:$T$10000,1)/(COUNTIFS(Evaluations!$G$3:$G$10000,$A382,Evaluations!$T$3:$T$10000,1)+COUNTIFS(Evaluations!$G$3:$G$10000,$A382,Evaluations!$T$3:$T$10000,0)),2),""))</f>
        <v/>
      </c>
      <c r="K382" s="10" t="str">
        <f>IF($A382="","",COUNTIFS(Evaluations!$G$3:$G$10000,$A382,Evaluations!$M$3:$M$10000,"عدم پاسخ"))</f>
        <v/>
      </c>
      <c r="L382" s="10" t="str">
        <f>IF($A382="","",COUNTIFS(Evaluations!$G$3:$G$10000,$A382,Evaluations!$O$3:$O$10000,"رعایت نشده"))</f>
        <v/>
      </c>
    </row>
    <row r="383">
      <c r="A383" s="10"/>
      <c r="B383" s="10" t="str">
        <f t="array" ref="B383">_xlfn.XLOOKUP(A383,DATA!D:D,DATA!E:E,"")</f>
        <v/>
      </c>
      <c r="C383" s="10" t="str">
        <f>IF($A383="","",COUNTIFS(Evaluations!$G$3:$G$10000,$A383,Evaluations!$U$3:$U$10000,"&gt;=0",Evaluations!$U$3:$U$10000,"&lt;=100"))</f>
        <v/>
      </c>
      <c r="D383" s="10" t="str">
        <f>IF(OR($A383="",C383=0),"",ROUND(SUMIFS(Evaluations!$U$3:$U$10000,Evaluations!$G$3:$G$10000,$A383)/C383,2))</f>
        <v/>
      </c>
      <c r="E383" s="10" t="str">
        <f>IF($A383="","",COUNTIFS(Evaluations!$G$3:$G$10000,$A383,Evaluations!$M$3:$M$10000,"پاسخ داده شده"))</f>
        <v/>
      </c>
      <c r="F383" s="10" t="str">
        <f>IF($A383="","",IFERROR(COUNTIFS(Evaluations!$G$3:$G$10000,$A383,Evaluations!$O$3:$O$10000,"رعایت شده")/(COUNTIFS(Evaluations!$G$3:$G$10000,$A383,Evaluations!$O$3:$O$10000,"رعایت شده")+COUNTIFS(Evaluations!$G$3:$G$10000,$A383,Evaluations!$O$3:$O$10000,"رعایت نشده")),""))</f>
        <v/>
      </c>
      <c r="G383" s="10" t="str">
        <f>IF($A383="","",IFERROR(ROUND(100*COUNTIFS(Evaluations!$G$3:$G$10000,$A383,Evaluations!$Q$3:$Q$10000,1)/(COUNTIFS(Evaluations!$G$3:$G$10000,$A383,Evaluations!$Q$3:$Q$10000,1)+COUNTIFS(Evaluations!$G$3:$G$10000,$A383,Evaluations!$Q$3:$Q$10000,0)),2),""))</f>
        <v/>
      </c>
      <c r="H383" s="10" t="str">
        <f>IF($A383="","",IFERROR(ROUND(100*COUNTIFS(Evaluations!$G$3:$G$10000,$A383,Evaluations!$R$3:$R$10000,1)/(COUNTIFS(Evaluations!$G$3:$G$10000,$A383,Evaluations!$R$3:$R$10000,1)+COUNTIFS(Evaluations!$G$3:$G$10000,$A383,Evaluations!$R$3:$R$10000,0)),2),""))</f>
        <v/>
      </c>
      <c r="I383" s="10" t="str">
        <f>IF($A383="","",IFERROR(ROUND(100*COUNTIFS(Evaluations!$G$3:$G$10000,$A383,Evaluations!$S$3:$S$10000,1)/(COUNTIFS(Evaluations!$G$3:$G$10000,$A383,Evaluations!$S$3:$S$10000,1)+COUNTIFS(Evaluations!$G$3:$G$10000,$A383,Evaluations!$S$3:$S$10000,0)),2),""))</f>
        <v/>
      </c>
      <c r="J383" s="10" t="str">
        <f>IF($A383="","",IFERROR(ROUND(100*COUNTIFS(Evaluations!$G$3:$G$10000,$A383,Evaluations!$T$3:$T$10000,1)/(COUNTIFS(Evaluations!$G$3:$G$10000,$A383,Evaluations!$T$3:$T$10000,1)+COUNTIFS(Evaluations!$G$3:$G$10000,$A383,Evaluations!$T$3:$T$10000,0)),2),""))</f>
        <v/>
      </c>
      <c r="K383" s="10" t="str">
        <f>IF($A383="","",COUNTIFS(Evaluations!$G$3:$G$10000,$A383,Evaluations!$M$3:$M$10000,"عدم پاسخ"))</f>
        <v/>
      </c>
      <c r="L383" s="10" t="str">
        <f>IF($A383="","",COUNTIFS(Evaluations!$G$3:$G$10000,$A383,Evaluations!$O$3:$O$10000,"رعایت نشده"))</f>
        <v/>
      </c>
    </row>
    <row r="384">
      <c r="A384" s="10"/>
      <c r="B384" s="10" t="str">
        <f t="array" ref="B384">_xlfn.XLOOKUP(A384,DATA!D:D,DATA!E:E,"")</f>
        <v/>
      </c>
      <c r="C384" s="10" t="str">
        <f>IF($A384="","",COUNTIFS(Evaluations!$G$3:$G$10000,$A384,Evaluations!$U$3:$U$10000,"&gt;=0",Evaluations!$U$3:$U$10000,"&lt;=100"))</f>
        <v/>
      </c>
      <c r="D384" s="10" t="str">
        <f>IF(OR($A384="",C384=0),"",ROUND(SUMIFS(Evaluations!$U$3:$U$10000,Evaluations!$G$3:$G$10000,$A384)/C384,2))</f>
        <v/>
      </c>
      <c r="E384" s="10" t="str">
        <f>IF($A384="","",COUNTIFS(Evaluations!$G$3:$G$10000,$A384,Evaluations!$M$3:$M$10000,"پاسخ داده شده"))</f>
        <v/>
      </c>
      <c r="F384" s="10" t="str">
        <f>IF($A384="","",IFERROR(COUNTIFS(Evaluations!$G$3:$G$10000,$A384,Evaluations!$O$3:$O$10000,"رعایت شده")/(COUNTIFS(Evaluations!$G$3:$G$10000,$A384,Evaluations!$O$3:$O$10000,"رعایت شده")+COUNTIFS(Evaluations!$G$3:$G$10000,$A384,Evaluations!$O$3:$O$10000,"رعایت نشده")),""))</f>
        <v/>
      </c>
      <c r="G384" s="10" t="str">
        <f>IF($A384="","",IFERROR(ROUND(100*COUNTIFS(Evaluations!$G$3:$G$10000,$A384,Evaluations!$Q$3:$Q$10000,1)/(COUNTIFS(Evaluations!$G$3:$G$10000,$A384,Evaluations!$Q$3:$Q$10000,1)+COUNTIFS(Evaluations!$G$3:$G$10000,$A384,Evaluations!$Q$3:$Q$10000,0)),2),""))</f>
        <v/>
      </c>
      <c r="H384" s="10" t="str">
        <f>IF($A384="","",IFERROR(ROUND(100*COUNTIFS(Evaluations!$G$3:$G$10000,$A384,Evaluations!$R$3:$R$10000,1)/(COUNTIFS(Evaluations!$G$3:$G$10000,$A384,Evaluations!$R$3:$R$10000,1)+COUNTIFS(Evaluations!$G$3:$G$10000,$A384,Evaluations!$R$3:$R$10000,0)),2),""))</f>
        <v/>
      </c>
      <c r="I384" s="10" t="str">
        <f>IF($A384="","",IFERROR(ROUND(100*COUNTIFS(Evaluations!$G$3:$G$10000,$A384,Evaluations!$S$3:$S$10000,1)/(COUNTIFS(Evaluations!$G$3:$G$10000,$A384,Evaluations!$S$3:$S$10000,1)+COUNTIFS(Evaluations!$G$3:$G$10000,$A384,Evaluations!$S$3:$S$10000,0)),2),""))</f>
        <v/>
      </c>
      <c r="J384" s="10" t="str">
        <f>IF($A384="","",IFERROR(ROUND(100*COUNTIFS(Evaluations!$G$3:$G$10000,$A384,Evaluations!$T$3:$T$10000,1)/(COUNTIFS(Evaluations!$G$3:$G$10000,$A384,Evaluations!$T$3:$T$10000,1)+COUNTIFS(Evaluations!$G$3:$G$10000,$A384,Evaluations!$T$3:$T$10000,0)),2),""))</f>
        <v/>
      </c>
      <c r="K384" s="10" t="str">
        <f>IF($A384="","",COUNTIFS(Evaluations!$G$3:$G$10000,$A384,Evaluations!$M$3:$M$10000,"عدم پاسخ"))</f>
        <v/>
      </c>
      <c r="L384" s="10" t="str">
        <f>IF($A384="","",COUNTIFS(Evaluations!$G$3:$G$10000,$A384,Evaluations!$O$3:$O$10000,"رعایت نشده"))</f>
        <v/>
      </c>
    </row>
    <row r="385">
      <c r="A385" s="10"/>
      <c r="B385" s="10" t="str">
        <f t="array" ref="B385">_xlfn.XLOOKUP(A385,DATA!D:D,DATA!E:E,"")</f>
        <v/>
      </c>
      <c r="C385" s="10" t="str">
        <f>IF($A385="","",COUNTIFS(Evaluations!$G$3:$G$10000,$A385,Evaluations!$U$3:$U$10000,"&gt;=0",Evaluations!$U$3:$U$10000,"&lt;=100"))</f>
        <v/>
      </c>
      <c r="D385" s="10" t="str">
        <f>IF(OR($A385="",C385=0),"",ROUND(SUMIFS(Evaluations!$U$3:$U$10000,Evaluations!$G$3:$G$10000,$A385)/C385,2))</f>
        <v/>
      </c>
      <c r="E385" s="10" t="str">
        <f>IF($A385="","",COUNTIFS(Evaluations!$G$3:$G$10000,$A385,Evaluations!$M$3:$M$10000,"پاسخ داده شده"))</f>
        <v/>
      </c>
      <c r="F385" s="10" t="str">
        <f>IF($A385="","",IFERROR(COUNTIFS(Evaluations!$G$3:$G$10000,$A385,Evaluations!$O$3:$O$10000,"رعایت شده")/(COUNTIFS(Evaluations!$G$3:$G$10000,$A385,Evaluations!$O$3:$O$10000,"رعایت شده")+COUNTIFS(Evaluations!$G$3:$G$10000,$A385,Evaluations!$O$3:$O$10000,"رعایت نشده")),""))</f>
        <v/>
      </c>
      <c r="G385" s="10" t="str">
        <f>IF($A385="","",IFERROR(ROUND(100*COUNTIFS(Evaluations!$G$3:$G$10000,$A385,Evaluations!$Q$3:$Q$10000,1)/(COUNTIFS(Evaluations!$G$3:$G$10000,$A385,Evaluations!$Q$3:$Q$10000,1)+COUNTIFS(Evaluations!$G$3:$G$10000,$A385,Evaluations!$Q$3:$Q$10000,0)),2),""))</f>
        <v/>
      </c>
      <c r="H385" s="10" t="str">
        <f>IF($A385="","",IFERROR(ROUND(100*COUNTIFS(Evaluations!$G$3:$G$10000,$A385,Evaluations!$R$3:$R$10000,1)/(COUNTIFS(Evaluations!$G$3:$G$10000,$A385,Evaluations!$R$3:$R$10000,1)+COUNTIFS(Evaluations!$G$3:$G$10000,$A385,Evaluations!$R$3:$R$10000,0)),2),""))</f>
        <v/>
      </c>
      <c r="I385" s="10" t="str">
        <f>IF($A385="","",IFERROR(ROUND(100*COUNTIFS(Evaluations!$G$3:$G$10000,$A385,Evaluations!$S$3:$S$10000,1)/(COUNTIFS(Evaluations!$G$3:$G$10000,$A385,Evaluations!$S$3:$S$10000,1)+COUNTIFS(Evaluations!$G$3:$G$10000,$A385,Evaluations!$S$3:$S$10000,0)),2),""))</f>
        <v/>
      </c>
      <c r="J385" s="10" t="str">
        <f>IF($A385="","",IFERROR(ROUND(100*COUNTIFS(Evaluations!$G$3:$G$10000,$A385,Evaluations!$T$3:$T$10000,1)/(COUNTIFS(Evaluations!$G$3:$G$10000,$A385,Evaluations!$T$3:$T$10000,1)+COUNTIFS(Evaluations!$G$3:$G$10000,$A385,Evaluations!$T$3:$T$10000,0)),2),""))</f>
        <v/>
      </c>
      <c r="K385" s="10" t="str">
        <f>IF($A385="","",COUNTIFS(Evaluations!$G$3:$G$10000,$A385,Evaluations!$M$3:$M$10000,"عدم پاسخ"))</f>
        <v/>
      </c>
      <c r="L385" s="10" t="str">
        <f>IF($A385="","",COUNTIFS(Evaluations!$G$3:$G$10000,$A385,Evaluations!$O$3:$O$10000,"رعایت نشده"))</f>
        <v/>
      </c>
    </row>
    <row r="386">
      <c r="A386" s="10"/>
      <c r="B386" s="10" t="str">
        <f t="array" ref="B386">_xlfn.XLOOKUP(A386,DATA!D:D,DATA!E:E,"")</f>
        <v/>
      </c>
      <c r="C386" s="10" t="str">
        <f>IF($A386="","",COUNTIFS(Evaluations!$G$3:$G$10000,$A386,Evaluations!$U$3:$U$10000,"&gt;=0",Evaluations!$U$3:$U$10000,"&lt;=100"))</f>
        <v/>
      </c>
      <c r="D386" s="10" t="str">
        <f>IF(OR($A386="",C386=0),"",ROUND(SUMIFS(Evaluations!$U$3:$U$10000,Evaluations!$G$3:$G$10000,$A386)/C386,2))</f>
        <v/>
      </c>
      <c r="E386" s="10" t="str">
        <f>IF($A386="","",COUNTIFS(Evaluations!$G$3:$G$10000,$A386,Evaluations!$M$3:$M$10000,"پاسخ داده شده"))</f>
        <v/>
      </c>
      <c r="F386" s="10" t="str">
        <f>IF($A386="","",IFERROR(COUNTIFS(Evaluations!$G$3:$G$10000,$A386,Evaluations!$O$3:$O$10000,"رعایت شده")/(COUNTIFS(Evaluations!$G$3:$G$10000,$A386,Evaluations!$O$3:$O$10000,"رعایت شده")+COUNTIFS(Evaluations!$G$3:$G$10000,$A386,Evaluations!$O$3:$O$10000,"رعایت نشده")),""))</f>
        <v/>
      </c>
      <c r="G386" s="10" t="str">
        <f>IF($A386="","",IFERROR(ROUND(100*COUNTIFS(Evaluations!$G$3:$G$10000,$A386,Evaluations!$Q$3:$Q$10000,1)/(COUNTIFS(Evaluations!$G$3:$G$10000,$A386,Evaluations!$Q$3:$Q$10000,1)+COUNTIFS(Evaluations!$G$3:$G$10000,$A386,Evaluations!$Q$3:$Q$10000,0)),2),""))</f>
        <v/>
      </c>
      <c r="H386" s="10" t="str">
        <f>IF($A386="","",IFERROR(ROUND(100*COUNTIFS(Evaluations!$G$3:$G$10000,$A386,Evaluations!$R$3:$R$10000,1)/(COUNTIFS(Evaluations!$G$3:$G$10000,$A386,Evaluations!$R$3:$R$10000,1)+COUNTIFS(Evaluations!$G$3:$G$10000,$A386,Evaluations!$R$3:$R$10000,0)),2),""))</f>
        <v/>
      </c>
      <c r="I386" s="10" t="str">
        <f>IF($A386="","",IFERROR(ROUND(100*COUNTIFS(Evaluations!$G$3:$G$10000,$A386,Evaluations!$S$3:$S$10000,1)/(COUNTIFS(Evaluations!$G$3:$G$10000,$A386,Evaluations!$S$3:$S$10000,1)+COUNTIFS(Evaluations!$G$3:$G$10000,$A386,Evaluations!$S$3:$S$10000,0)),2),""))</f>
        <v/>
      </c>
      <c r="J386" s="10" t="str">
        <f>IF($A386="","",IFERROR(ROUND(100*COUNTIFS(Evaluations!$G$3:$G$10000,$A386,Evaluations!$T$3:$T$10000,1)/(COUNTIFS(Evaluations!$G$3:$G$10000,$A386,Evaluations!$T$3:$T$10000,1)+COUNTIFS(Evaluations!$G$3:$G$10000,$A386,Evaluations!$T$3:$T$10000,0)),2),""))</f>
        <v/>
      </c>
      <c r="K386" s="10" t="str">
        <f>IF($A386="","",COUNTIFS(Evaluations!$G$3:$G$10000,$A386,Evaluations!$M$3:$M$10000,"عدم پاسخ"))</f>
        <v/>
      </c>
      <c r="L386" s="10" t="str">
        <f>IF($A386="","",COUNTIFS(Evaluations!$G$3:$G$10000,$A386,Evaluations!$O$3:$O$10000,"رعایت نشده"))</f>
        <v/>
      </c>
    </row>
    <row r="387">
      <c r="A387" s="10"/>
      <c r="B387" s="10" t="str">
        <f t="array" ref="B387">_xlfn.XLOOKUP(A387,DATA!D:D,DATA!E:E,"")</f>
        <v/>
      </c>
      <c r="C387" s="10" t="str">
        <f>IF($A387="","",COUNTIFS(Evaluations!$G$3:$G$10000,$A387,Evaluations!$U$3:$U$10000,"&gt;=0",Evaluations!$U$3:$U$10000,"&lt;=100"))</f>
        <v/>
      </c>
      <c r="D387" s="10" t="str">
        <f>IF(OR($A387="",C387=0),"",ROUND(SUMIFS(Evaluations!$U$3:$U$10000,Evaluations!$G$3:$G$10000,$A387)/C387,2))</f>
        <v/>
      </c>
      <c r="E387" s="10" t="str">
        <f>IF($A387="","",COUNTIFS(Evaluations!$G$3:$G$10000,$A387,Evaluations!$M$3:$M$10000,"پاسخ داده شده"))</f>
        <v/>
      </c>
      <c r="F387" s="10" t="str">
        <f>IF($A387="","",IFERROR(COUNTIFS(Evaluations!$G$3:$G$10000,$A387,Evaluations!$O$3:$O$10000,"رعایت شده")/(COUNTIFS(Evaluations!$G$3:$G$10000,$A387,Evaluations!$O$3:$O$10000,"رعایت شده")+COUNTIFS(Evaluations!$G$3:$G$10000,$A387,Evaluations!$O$3:$O$10000,"رعایت نشده")),""))</f>
        <v/>
      </c>
      <c r="G387" s="10" t="str">
        <f>IF($A387="","",IFERROR(ROUND(100*COUNTIFS(Evaluations!$G$3:$G$10000,$A387,Evaluations!$Q$3:$Q$10000,1)/(COUNTIFS(Evaluations!$G$3:$G$10000,$A387,Evaluations!$Q$3:$Q$10000,1)+COUNTIFS(Evaluations!$G$3:$G$10000,$A387,Evaluations!$Q$3:$Q$10000,0)),2),""))</f>
        <v/>
      </c>
      <c r="H387" s="10" t="str">
        <f>IF($A387="","",IFERROR(ROUND(100*COUNTIFS(Evaluations!$G$3:$G$10000,$A387,Evaluations!$R$3:$R$10000,1)/(COUNTIFS(Evaluations!$G$3:$G$10000,$A387,Evaluations!$R$3:$R$10000,1)+COUNTIFS(Evaluations!$G$3:$G$10000,$A387,Evaluations!$R$3:$R$10000,0)),2),""))</f>
        <v/>
      </c>
      <c r="I387" s="10" t="str">
        <f>IF($A387="","",IFERROR(ROUND(100*COUNTIFS(Evaluations!$G$3:$G$10000,$A387,Evaluations!$S$3:$S$10000,1)/(COUNTIFS(Evaluations!$G$3:$G$10000,$A387,Evaluations!$S$3:$S$10000,1)+COUNTIFS(Evaluations!$G$3:$G$10000,$A387,Evaluations!$S$3:$S$10000,0)),2),""))</f>
        <v/>
      </c>
      <c r="J387" s="10" t="str">
        <f>IF($A387="","",IFERROR(ROUND(100*COUNTIFS(Evaluations!$G$3:$G$10000,$A387,Evaluations!$T$3:$T$10000,1)/(COUNTIFS(Evaluations!$G$3:$G$10000,$A387,Evaluations!$T$3:$T$10000,1)+COUNTIFS(Evaluations!$G$3:$G$10000,$A387,Evaluations!$T$3:$T$10000,0)),2),""))</f>
        <v/>
      </c>
      <c r="K387" s="10" t="str">
        <f>IF($A387="","",COUNTIFS(Evaluations!$G$3:$G$10000,$A387,Evaluations!$M$3:$M$10000,"عدم پاسخ"))</f>
        <v/>
      </c>
      <c r="L387" s="10" t="str">
        <f>IF($A387="","",COUNTIFS(Evaluations!$G$3:$G$10000,$A387,Evaluations!$O$3:$O$10000,"رعایت نشده"))</f>
        <v/>
      </c>
    </row>
    <row r="388">
      <c r="A388" s="10"/>
      <c r="B388" s="10" t="str">
        <f t="array" ref="B388">_xlfn.XLOOKUP(A388,DATA!D:D,DATA!E:E,"")</f>
        <v/>
      </c>
      <c r="C388" s="10" t="str">
        <f>IF($A388="","",COUNTIFS(Evaluations!$G$3:$G$10000,$A388,Evaluations!$U$3:$U$10000,"&gt;=0",Evaluations!$U$3:$U$10000,"&lt;=100"))</f>
        <v/>
      </c>
      <c r="D388" s="10" t="str">
        <f>IF(OR($A388="",C388=0),"",ROUND(SUMIFS(Evaluations!$U$3:$U$10000,Evaluations!$G$3:$G$10000,$A388)/C388,2))</f>
        <v/>
      </c>
      <c r="E388" s="10" t="str">
        <f>IF($A388="","",COUNTIFS(Evaluations!$G$3:$G$10000,$A388,Evaluations!$M$3:$M$10000,"پاسخ داده شده"))</f>
        <v/>
      </c>
      <c r="F388" s="10" t="str">
        <f>IF($A388="","",IFERROR(COUNTIFS(Evaluations!$G$3:$G$10000,$A388,Evaluations!$O$3:$O$10000,"رعایت شده")/(COUNTIFS(Evaluations!$G$3:$G$10000,$A388,Evaluations!$O$3:$O$10000,"رعایت شده")+COUNTIFS(Evaluations!$G$3:$G$10000,$A388,Evaluations!$O$3:$O$10000,"رعایت نشده")),""))</f>
        <v/>
      </c>
      <c r="G388" s="10" t="str">
        <f>IF($A388="","",IFERROR(ROUND(100*COUNTIFS(Evaluations!$G$3:$G$10000,$A388,Evaluations!$Q$3:$Q$10000,1)/(COUNTIFS(Evaluations!$G$3:$G$10000,$A388,Evaluations!$Q$3:$Q$10000,1)+COUNTIFS(Evaluations!$G$3:$G$10000,$A388,Evaluations!$Q$3:$Q$10000,0)),2),""))</f>
        <v/>
      </c>
      <c r="H388" s="10" t="str">
        <f>IF($A388="","",IFERROR(ROUND(100*COUNTIFS(Evaluations!$G$3:$G$10000,$A388,Evaluations!$R$3:$R$10000,1)/(COUNTIFS(Evaluations!$G$3:$G$10000,$A388,Evaluations!$R$3:$R$10000,1)+COUNTIFS(Evaluations!$G$3:$G$10000,$A388,Evaluations!$R$3:$R$10000,0)),2),""))</f>
        <v/>
      </c>
      <c r="I388" s="10" t="str">
        <f>IF($A388="","",IFERROR(ROUND(100*COUNTIFS(Evaluations!$G$3:$G$10000,$A388,Evaluations!$S$3:$S$10000,1)/(COUNTIFS(Evaluations!$G$3:$G$10000,$A388,Evaluations!$S$3:$S$10000,1)+COUNTIFS(Evaluations!$G$3:$G$10000,$A388,Evaluations!$S$3:$S$10000,0)),2),""))</f>
        <v/>
      </c>
      <c r="J388" s="10" t="str">
        <f>IF($A388="","",IFERROR(ROUND(100*COUNTIFS(Evaluations!$G$3:$G$10000,$A388,Evaluations!$T$3:$T$10000,1)/(COUNTIFS(Evaluations!$G$3:$G$10000,$A388,Evaluations!$T$3:$T$10000,1)+COUNTIFS(Evaluations!$G$3:$G$10000,$A388,Evaluations!$T$3:$T$10000,0)),2),""))</f>
        <v/>
      </c>
      <c r="K388" s="10" t="str">
        <f>IF($A388="","",COUNTIFS(Evaluations!$G$3:$G$10000,$A388,Evaluations!$M$3:$M$10000,"عدم پاسخ"))</f>
        <v/>
      </c>
      <c r="L388" s="10" t="str">
        <f>IF($A388="","",COUNTIFS(Evaluations!$G$3:$G$10000,$A388,Evaluations!$O$3:$O$10000,"رعایت نشده"))</f>
        <v/>
      </c>
    </row>
    <row r="389">
      <c r="A389" s="10"/>
      <c r="B389" s="10" t="str">
        <f t="array" ref="B389">_xlfn.XLOOKUP(A389,DATA!D:D,DATA!E:E,"")</f>
        <v/>
      </c>
      <c r="C389" s="10" t="str">
        <f>IF($A389="","",COUNTIFS(Evaluations!$G$3:$G$10000,$A389,Evaluations!$U$3:$U$10000,"&gt;=0",Evaluations!$U$3:$U$10000,"&lt;=100"))</f>
        <v/>
      </c>
      <c r="D389" s="10" t="str">
        <f>IF(OR($A389="",C389=0),"",ROUND(SUMIFS(Evaluations!$U$3:$U$10000,Evaluations!$G$3:$G$10000,$A389)/C389,2))</f>
        <v/>
      </c>
      <c r="E389" s="10" t="str">
        <f>IF($A389="","",COUNTIFS(Evaluations!$G$3:$G$10000,$A389,Evaluations!$M$3:$M$10000,"پاسخ داده شده"))</f>
        <v/>
      </c>
      <c r="F389" s="10" t="str">
        <f>IF($A389="","",IFERROR(COUNTIFS(Evaluations!$G$3:$G$10000,$A389,Evaluations!$O$3:$O$10000,"رعایت شده")/(COUNTIFS(Evaluations!$G$3:$G$10000,$A389,Evaluations!$O$3:$O$10000,"رعایت شده")+COUNTIFS(Evaluations!$G$3:$G$10000,$A389,Evaluations!$O$3:$O$10000,"رعایت نشده")),""))</f>
        <v/>
      </c>
      <c r="G389" s="10" t="str">
        <f>IF($A389="","",IFERROR(ROUND(100*COUNTIFS(Evaluations!$G$3:$G$10000,$A389,Evaluations!$Q$3:$Q$10000,1)/(COUNTIFS(Evaluations!$G$3:$G$10000,$A389,Evaluations!$Q$3:$Q$10000,1)+COUNTIFS(Evaluations!$G$3:$G$10000,$A389,Evaluations!$Q$3:$Q$10000,0)),2),""))</f>
        <v/>
      </c>
      <c r="H389" s="10" t="str">
        <f>IF($A389="","",IFERROR(ROUND(100*COUNTIFS(Evaluations!$G$3:$G$10000,$A389,Evaluations!$R$3:$R$10000,1)/(COUNTIFS(Evaluations!$G$3:$G$10000,$A389,Evaluations!$R$3:$R$10000,1)+COUNTIFS(Evaluations!$G$3:$G$10000,$A389,Evaluations!$R$3:$R$10000,0)),2),""))</f>
        <v/>
      </c>
      <c r="I389" s="10" t="str">
        <f>IF($A389="","",IFERROR(ROUND(100*COUNTIFS(Evaluations!$G$3:$G$10000,$A389,Evaluations!$S$3:$S$10000,1)/(COUNTIFS(Evaluations!$G$3:$G$10000,$A389,Evaluations!$S$3:$S$10000,1)+COUNTIFS(Evaluations!$G$3:$G$10000,$A389,Evaluations!$S$3:$S$10000,0)),2),""))</f>
        <v/>
      </c>
      <c r="J389" s="10" t="str">
        <f>IF($A389="","",IFERROR(ROUND(100*COUNTIFS(Evaluations!$G$3:$G$10000,$A389,Evaluations!$T$3:$T$10000,1)/(COUNTIFS(Evaluations!$G$3:$G$10000,$A389,Evaluations!$T$3:$T$10000,1)+COUNTIFS(Evaluations!$G$3:$G$10000,$A389,Evaluations!$T$3:$T$10000,0)),2),""))</f>
        <v/>
      </c>
      <c r="K389" s="10" t="str">
        <f>IF($A389="","",COUNTIFS(Evaluations!$G$3:$G$10000,$A389,Evaluations!$M$3:$M$10000,"عدم پاسخ"))</f>
        <v/>
      </c>
      <c r="L389" s="10" t="str">
        <f>IF($A389="","",COUNTIFS(Evaluations!$G$3:$G$10000,$A389,Evaluations!$O$3:$O$10000,"رعایت نشده"))</f>
        <v/>
      </c>
    </row>
    <row r="390">
      <c r="A390" s="10"/>
      <c r="B390" s="10" t="str">
        <f t="array" ref="B390">_xlfn.XLOOKUP(A390,DATA!D:D,DATA!E:E,"")</f>
        <v/>
      </c>
      <c r="C390" s="10" t="str">
        <f>IF($A390="","",COUNTIFS(Evaluations!$G$3:$G$10000,$A390,Evaluations!$U$3:$U$10000,"&gt;=0",Evaluations!$U$3:$U$10000,"&lt;=100"))</f>
        <v/>
      </c>
      <c r="D390" s="10" t="str">
        <f>IF(OR($A390="",C390=0),"",ROUND(SUMIFS(Evaluations!$U$3:$U$10000,Evaluations!$G$3:$G$10000,$A390)/C390,2))</f>
        <v/>
      </c>
      <c r="E390" s="10" t="str">
        <f>IF($A390="","",COUNTIFS(Evaluations!$G$3:$G$10000,$A390,Evaluations!$M$3:$M$10000,"پاسخ داده شده"))</f>
        <v/>
      </c>
      <c r="F390" s="10" t="str">
        <f>IF($A390="","",IFERROR(COUNTIFS(Evaluations!$G$3:$G$10000,$A390,Evaluations!$O$3:$O$10000,"رعایت شده")/(COUNTIFS(Evaluations!$G$3:$G$10000,$A390,Evaluations!$O$3:$O$10000,"رعایت شده")+COUNTIFS(Evaluations!$G$3:$G$10000,$A390,Evaluations!$O$3:$O$10000,"رعایت نشده")),""))</f>
        <v/>
      </c>
      <c r="G390" s="10" t="str">
        <f>IF($A390="","",IFERROR(ROUND(100*COUNTIFS(Evaluations!$G$3:$G$10000,$A390,Evaluations!$Q$3:$Q$10000,1)/(COUNTIFS(Evaluations!$G$3:$G$10000,$A390,Evaluations!$Q$3:$Q$10000,1)+COUNTIFS(Evaluations!$G$3:$G$10000,$A390,Evaluations!$Q$3:$Q$10000,0)),2),""))</f>
        <v/>
      </c>
      <c r="H390" s="10" t="str">
        <f>IF($A390="","",IFERROR(ROUND(100*COUNTIFS(Evaluations!$G$3:$G$10000,$A390,Evaluations!$R$3:$R$10000,1)/(COUNTIFS(Evaluations!$G$3:$G$10000,$A390,Evaluations!$R$3:$R$10000,1)+COUNTIFS(Evaluations!$G$3:$G$10000,$A390,Evaluations!$R$3:$R$10000,0)),2),""))</f>
        <v/>
      </c>
      <c r="I390" s="10" t="str">
        <f>IF($A390="","",IFERROR(ROUND(100*COUNTIFS(Evaluations!$G$3:$G$10000,$A390,Evaluations!$S$3:$S$10000,1)/(COUNTIFS(Evaluations!$G$3:$G$10000,$A390,Evaluations!$S$3:$S$10000,1)+COUNTIFS(Evaluations!$G$3:$G$10000,$A390,Evaluations!$S$3:$S$10000,0)),2),""))</f>
        <v/>
      </c>
      <c r="J390" s="10" t="str">
        <f>IF($A390="","",IFERROR(ROUND(100*COUNTIFS(Evaluations!$G$3:$G$10000,$A390,Evaluations!$T$3:$T$10000,1)/(COUNTIFS(Evaluations!$G$3:$G$10000,$A390,Evaluations!$T$3:$T$10000,1)+COUNTIFS(Evaluations!$G$3:$G$10000,$A390,Evaluations!$T$3:$T$10000,0)),2),""))</f>
        <v/>
      </c>
      <c r="K390" s="10" t="str">
        <f>IF($A390="","",COUNTIFS(Evaluations!$G$3:$G$10000,$A390,Evaluations!$M$3:$M$10000,"عدم پاسخ"))</f>
        <v/>
      </c>
      <c r="L390" s="10" t="str">
        <f>IF($A390="","",COUNTIFS(Evaluations!$G$3:$G$10000,$A390,Evaluations!$O$3:$O$10000,"رعایت نشده"))</f>
        <v/>
      </c>
    </row>
    <row r="391">
      <c r="A391" s="10"/>
      <c r="B391" s="10" t="str">
        <f t="array" ref="B391">_xlfn.XLOOKUP(A391,DATA!D:D,DATA!E:E,"")</f>
        <v/>
      </c>
      <c r="C391" s="10" t="str">
        <f>IF($A391="","",COUNTIFS(Evaluations!$G$3:$G$10000,$A391,Evaluations!$U$3:$U$10000,"&gt;=0",Evaluations!$U$3:$U$10000,"&lt;=100"))</f>
        <v/>
      </c>
      <c r="D391" s="10" t="str">
        <f>IF(OR($A391="",C391=0),"",ROUND(SUMIFS(Evaluations!$U$3:$U$10000,Evaluations!$G$3:$G$10000,$A391)/C391,2))</f>
        <v/>
      </c>
      <c r="E391" s="10" t="str">
        <f>IF($A391="","",COUNTIFS(Evaluations!$G$3:$G$10000,$A391,Evaluations!$M$3:$M$10000,"پاسخ داده شده"))</f>
        <v/>
      </c>
      <c r="F391" s="10" t="str">
        <f>IF($A391="","",IFERROR(COUNTIFS(Evaluations!$G$3:$G$10000,$A391,Evaluations!$O$3:$O$10000,"رعایت شده")/(COUNTIFS(Evaluations!$G$3:$G$10000,$A391,Evaluations!$O$3:$O$10000,"رعایت شده")+COUNTIFS(Evaluations!$G$3:$G$10000,$A391,Evaluations!$O$3:$O$10000,"رعایت نشده")),""))</f>
        <v/>
      </c>
      <c r="G391" s="10" t="str">
        <f>IF($A391="","",IFERROR(ROUND(100*COUNTIFS(Evaluations!$G$3:$G$10000,$A391,Evaluations!$Q$3:$Q$10000,1)/(COUNTIFS(Evaluations!$G$3:$G$10000,$A391,Evaluations!$Q$3:$Q$10000,1)+COUNTIFS(Evaluations!$G$3:$G$10000,$A391,Evaluations!$Q$3:$Q$10000,0)),2),""))</f>
        <v/>
      </c>
      <c r="H391" s="10" t="str">
        <f>IF($A391="","",IFERROR(ROUND(100*COUNTIFS(Evaluations!$G$3:$G$10000,$A391,Evaluations!$R$3:$R$10000,1)/(COUNTIFS(Evaluations!$G$3:$G$10000,$A391,Evaluations!$R$3:$R$10000,1)+COUNTIFS(Evaluations!$G$3:$G$10000,$A391,Evaluations!$R$3:$R$10000,0)),2),""))</f>
        <v/>
      </c>
      <c r="I391" s="10" t="str">
        <f>IF($A391="","",IFERROR(ROUND(100*COUNTIFS(Evaluations!$G$3:$G$10000,$A391,Evaluations!$S$3:$S$10000,1)/(COUNTIFS(Evaluations!$G$3:$G$10000,$A391,Evaluations!$S$3:$S$10000,1)+COUNTIFS(Evaluations!$G$3:$G$10000,$A391,Evaluations!$S$3:$S$10000,0)),2),""))</f>
        <v/>
      </c>
      <c r="J391" s="10" t="str">
        <f>IF($A391="","",IFERROR(ROUND(100*COUNTIFS(Evaluations!$G$3:$G$10000,$A391,Evaluations!$T$3:$T$10000,1)/(COUNTIFS(Evaluations!$G$3:$G$10000,$A391,Evaluations!$T$3:$T$10000,1)+COUNTIFS(Evaluations!$G$3:$G$10000,$A391,Evaluations!$T$3:$T$10000,0)),2),""))</f>
        <v/>
      </c>
      <c r="K391" s="10" t="str">
        <f>IF($A391="","",COUNTIFS(Evaluations!$G$3:$G$10000,$A391,Evaluations!$M$3:$M$10000,"عدم پاسخ"))</f>
        <v/>
      </c>
      <c r="L391" s="10" t="str">
        <f>IF($A391="","",COUNTIFS(Evaluations!$G$3:$G$10000,$A391,Evaluations!$O$3:$O$10000,"رعایت نشده"))</f>
        <v/>
      </c>
    </row>
    <row r="392">
      <c r="A392" s="10"/>
      <c r="B392" s="10" t="str">
        <f t="array" ref="B392">_xlfn.XLOOKUP(A392,DATA!D:D,DATA!E:E,"")</f>
        <v/>
      </c>
      <c r="C392" s="10" t="str">
        <f>IF($A392="","",COUNTIFS(Evaluations!$G$3:$G$10000,$A392,Evaluations!$U$3:$U$10000,"&gt;=0",Evaluations!$U$3:$U$10000,"&lt;=100"))</f>
        <v/>
      </c>
      <c r="D392" s="10" t="str">
        <f>IF(OR($A392="",C392=0),"",ROUND(SUMIFS(Evaluations!$U$3:$U$10000,Evaluations!$G$3:$G$10000,$A392)/C392,2))</f>
        <v/>
      </c>
      <c r="E392" s="10" t="str">
        <f>IF($A392="","",COUNTIFS(Evaluations!$G$3:$G$10000,$A392,Evaluations!$M$3:$M$10000,"پاسخ داده شده"))</f>
        <v/>
      </c>
      <c r="F392" s="10" t="str">
        <f>IF($A392="","",IFERROR(COUNTIFS(Evaluations!$G$3:$G$10000,$A392,Evaluations!$O$3:$O$10000,"رعایت شده")/(COUNTIFS(Evaluations!$G$3:$G$10000,$A392,Evaluations!$O$3:$O$10000,"رعایت شده")+COUNTIFS(Evaluations!$G$3:$G$10000,$A392,Evaluations!$O$3:$O$10000,"رعایت نشده")),""))</f>
        <v/>
      </c>
      <c r="G392" s="10" t="str">
        <f>IF($A392="","",IFERROR(ROUND(100*COUNTIFS(Evaluations!$G$3:$G$10000,$A392,Evaluations!$Q$3:$Q$10000,1)/(COUNTIFS(Evaluations!$G$3:$G$10000,$A392,Evaluations!$Q$3:$Q$10000,1)+COUNTIFS(Evaluations!$G$3:$G$10000,$A392,Evaluations!$Q$3:$Q$10000,0)),2),""))</f>
        <v/>
      </c>
      <c r="H392" s="10" t="str">
        <f>IF($A392="","",IFERROR(ROUND(100*COUNTIFS(Evaluations!$G$3:$G$10000,$A392,Evaluations!$R$3:$R$10000,1)/(COUNTIFS(Evaluations!$G$3:$G$10000,$A392,Evaluations!$R$3:$R$10000,1)+COUNTIFS(Evaluations!$G$3:$G$10000,$A392,Evaluations!$R$3:$R$10000,0)),2),""))</f>
        <v/>
      </c>
      <c r="I392" s="10" t="str">
        <f>IF($A392="","",IFERROR(ROUND(100*COUNTIFS(Evaluations!$G$3:$G$10000,$A392,Evaluations!$S$3:$S$10000,1)/(COUNTIFS(Evaluations!$G$3:$G$10000,$A392,Evaluations!$S$3:$S$10000,1)+COUNTIFS(Evaluations!$G$3:$G$10000,$A392,Evaluations!$S$3:$S$10000,0)),2),""))</f>
        <v/>
      </c>
      <c r="J392" s="10" t="str">
        <f>IF($A392="","",IFERROR(ROUND(100*COUNTIFS(Evaluations!$G$3:$G$10000,$A392,Evaluations!$T$3:$T$10000,1)/(COUNTIFS(Evaluations!$G$3:$G$10000,$A392,Evaluations!$T$3:$T$10000,1)+COUNTIFS(Evaluations!$G$3:$G$10000,$A392,Evaluations!$T$3:$T$10000,0)),2),""))</f>
        <v/>
      </c>
      <c r="K392" s="10" t="str">
        <f>IF($A392="","",COUNTIFS(Evaluations!$G$3:$G$10000,$A392,Evaluations!$M$3:$M$10000,"عدم پاسخ"))</f>
        <v/>
      </c>
      <c r="L392" s="10" t="str">
        <f>IF($A392="","",COUNTIFS(Evaluations!$G$3:$G$10000,$A392,Evaluations!$O$3:$O$10000,"رعایت نشده"))</f>
        <v/>
      </c>
    </row>
    <row r="393">
      <c r="A393" s="10"/>
      <c r="B393" s="10" t="str">
        <f t="array" ref="B393">_xlfn.XLOOKUP(A393,DATA!D:D,DATA!E:E,"")</f>
        <v/>
      </c>
      <c r="C393" s="10" t="str">
        <f>IF($A393="","",COUNTIFS(Evaluations!$G$3:$G$10000,$A393,Evaluations!$U$3:$U$10000,"&gt;=0",Evaluations!$U$3:$U$10000,"&lt;=100"))</f>
        <v/>
      </c>
      <c r="D393" s="10" t="str">
        <f>IF(OR($A393="",C393=0),"",ROUND(SUMIFS(Evaluations!$U$3:$U$10000,Evaluations!$G$3:$G$10000,$A393)/C393,2))</f>
        <v/>
      </c>
      <c r="E393" s="10" t="str">
        <f>IF($A393="","",COUNTIFS(Evaluations!$G$3:$G$10000,$A393,Evaluations!$M$3:$M$10000,"پاسخ داده شده"))</f>
        <v/>
      </c>
      <c r="F393" s="10" t="str">
        <f>IF($A393="","",IFERROR(COUNTIFS(Evaluations!$G$3:$G$10000,$A393,Evaluations!$O$3:$O$10000,"رعایت شده")/(COUNTIFS(Evaluations!$G$3:$G$10000,$A393,Evaluations!$O$3:$O$10000,"رعایت شده")+COUNTIFS(Evaluations!$G$3:$G$10000,$A393,Evaluations!$O$3:$O$10000,"رعایت نشده")),""))</f>
        <v/>
      </c>
      <c r="G393" s="10" t="str">
        <f>IF($A393="","",IFERROR(ROUND(100*COUNTIFS(Evaluations!$G$3:$G$10000,$A393,Evaluations!$Q$3:$Q$10000,1)/(COUNTIFS(Evaluations!$G$3:$G$10000,$A393,Evaluations!$Q$3:$Q$10000,1)+COUNTIFS(Evaluations!$G$3:$G$10000,$A393,Evaluations!$Q$3:$Q$10000,0)),2),""))</f>
        <v/>
      </c>
      <c r="H393" s="10" t="str">
        <f>IF($A393="","",IFERROR(ROUND(100*COUNTIFS(Evaluations!$G$3:$G$10000,$A393,Evaluations!$R$3:$R$10000,1)/(COUNTIFS(Evaluations!$G$3:$G$10000,$A393,Evaluations!$R$3:$R$10000,1)+COUNTIFS(Evaluations!$G$3:$G$10000,$A393,Evaluations!$R$3:$R$10000,0)),2),""))</f>
        <v/>
      </c>
      <c r="I393" s="10" t="str">
        <f>IF($A393="","",IFERROR(ROUND(100*COUNTIFS(Evaluations!$G$3:$G$10000,$A393,Evaluations!$S$3:$S$10000,1)/(COUNTIFS(Evaluations!$G$3:$G$10000,$A393,Evaluations!$S$3:$S$10000,1)+COUNTIFS(Evaluations!$G$3:$G$10000,$A393,Evaluations!$S$3:$S$10000,0)),2),""))</f>
        <v/>
      </c>
      <c r="J393" s="10" t="str">
        <f>IF($A393="","",IFERROR(ROUND(100*COUNTIFS(Evaluations!$G$3:$G$10000,$A393,Evaluations!$T$3:$T$10000,1)/(COUNTIFS(Evaluations!$G$3:$G$10000,$A393,Evaluations!$T$3:$T$10000,1)+COUNTIFS(Evaluations!$G$3:$G$10000,$A393,Evaluations!$T$3:$T$10000,0)),2),""))</f>
        <v/>
      </c>
      <c r="K393" s="10" t="str">
        <f>IF($A393="","",COUNTIFS(Evaluations!$G$3:$G$10000,$A393,Evaluations!$M$3:$M$10000,"عدم پاسخ"))</f>
        <v/>
      </c>
      <c r="L393" s="10" t="str">
        <f>IF($A393="","",COUNTIFS(Evaluations!$G$3:$G$10000,$A393,Evaluations!$O$3:$O$10000,"رعایت نشده"))</f>
        <v/>
      </c>
    </row>
    <row r="394">
      <c r="A394" s="10"/>
      <c r="B394" s="10" t="str">
        <f t="array" ref="B394">_xlfn.XLOOKUP(A394,DATA!D:D,DATA!E:E,"")</f>
        <v/>
      </c>
      <c r="C394" s="10" t="str">
        <f>IF($A394="","",COUNTIFS(Evaluations!$G$3:$G$10000,$A394,Evaluations!$U$3:$U$10000,"&gt;=0",Evaluations!$U$3:$U$10000,"&lt;=100"))</f>
        <v/>
      </c>
      <c r="D394" s="10" t="str">
        <f>IF(OR($A394="",C394=0),"",ROUND(SUMIFS(Evaluations!$U$3:$U$10000,Evaluations!$G$3:$G$10000,$A394)/C394,2))</f>
        <v/>
      </c>
      <c r="E394" s="10" t="str">
        <f>IF($A394="","",COUNTIFS(Evaluations!$G$3:$G$10000,$A394,Evaluations!$M$3:$M$10000,"پاسخ داده شده"))</f>
        <v/>
      </c>
      <c r="F394" s="10" t="str">
        <f>IF($A394="","",IFERROR(COUNTIFS(Evaluations!$G$3:$G$10000,$A394,Evaluations!$O$3:$O$10000,"رعایت شده")/(COUNTIFS(Evaluations!$G$3:$G$10000,$A394,Evaluations!$O$3:$O$10000,"رعایت شده")+COUNTIFS(Evaluations!$G$3:$G$10000,$A394,Evaluations!$O$3:$O$10000,"رعایت نشده")),""))</f>
        <v/>
      </c>
      <c r="G394" s="10" t="str">
        <f>IF($A394="","",IFERROR(ROUND(100*COUNTIFS(Evaluations!$G$3:$G$10000,$A394,Evaluations!$Q$3:$Q$10000,1)/(COUNTIFS(Evaluations!$G$3:$G$10000,$A394,Evaluations!$Q$3:$Q$10000,1)+COUNTIFS(Evaluations!$G$3:$G$10000,$A394,Evaluations!$Q$3:$Q$10000,0)),2),""))</f>
        <v/>
      </c>
      <c r="H394" s="10" t="str">
        <f>IF($A394="","",IFERROR(ROUND(100*COUNTIFS(Evaluations!$G$3:$G$10000,$A394,Evaluations!$R$3:$R$10000,1)/(COUNTIFS(Evaluations!$G$3:$G$10000,$A394,Evaluations!$R$3:$R$10000,1)+COUNTIFS(Evaluations!$G$3:$G$10000,$A394,Evaluations!$R$3:$R$10000,0)),2),""))</f>
        <v/>
      </c>
      <c r="I394" s="10" t="str">
        <f>IF($A394="","",IFERROR(ROUND(100*COUNTIFS(Evaluations!$G$3:$G$10000,$A394,Evaluations!$S$3:$S$10000,1)/(COUNTIFS(Evaluations!$G$3:$G$10000,$A394,Evaluations!$S$3:$S$10000,1)+COUNTIFS(Evaluations!$G$3:$G$10000,$A394,Evaluations!$S$3:$S$10000,0)),2),""))</f>
        <v/>
      </c>
      <c r="J394" s="10" t="str">
        <f>IF($A394="","",IFERROR(ROUND(100*COUNTIFS(Evaluations!$G$3:$G$10000,$A394,Evaluations!$T$3:$T$10000,1)/(COUNTIFS(Evaluations!$G$3:$G$10000,$A394,Evaluations!$T$3:$T$10000,1)+COUNTIFS(Evaluations!$G$3:$G$10000,$A394,Evaluations!$T$3:$T$10000,0)),2),""))</f>
        <v/>
      </c>
      <c r="K394" s="10" t="str">
        <f>IF($A394="","",COUNTIFS(Evaluations!$G$3:$G$10000,$A394,Evaluations!$M$3:$M$10000,"عدم پاسخ"))</f>
        <v/>
      </c>
      <c r="L394" s="10" t="str">
        <f>IF($A394="","",COUNTIFS(Evaluations!$G$3:$G$10000,$A394,Evaluations!$O$3:$O$10000,"رعایت نشده"))</f>
        <v/>
      </c>
    </row>
    <row r="395">
      <c r="A395" s="10"/>
      <c r="B395" s="10" t="str">
        <f t="array" ref="B395">_xlfn.XLOOKUP(A395,DATA!D:D,DATA!E:E,"")</f>
        <v/>
      </c>
      <c r="C395" s="10" t="str">
        <f>IF($A395="","",COUNTIFS(Evaluations!$G$3:$G$10000,$A395,Evaluations!$U$3:$U$10000,"&gt;=0",Evaluations!$U$3:$U$10000,"&lt;=100"))</f>
        <v/>
      </c>
      <c r="D395" s="10" t="str">
        <f>IF(OR($A395="",C395=0),"",ROUND(SUMIFS(Evaluations!$U$3:$U$10000,Evaluations!$G$3:$G$10000,$A395)/C395,2))</f>
        <v/>
      </c>
      <c r="E395" s="10" t="str">
        <f>IF($A395="","",COUNTIFS(Evaluations!$G$3:$G$10000,$A395,Evaluations!$M$3:$M$10000,"پاسخ داده شده"))</f>
        <v/>
      </c>
      <c r="F395" s="10" t="str">
        <f>IF($A395="","",IFERROR(COUNTIFS(Evaluations!$G$3:$G$10000,$A395,Evaluations!$O$3:$O$10000,"رعایت شده")/(COUNTIFS(Evaluations!$G$3:$G$10000,$A395,Evaluations!$O$3:$O$10000,"رعایت شده")+COUNTIFS(Evaluations!$G$3:$G$10000,$A395,Evaluations!$O$3:$O$10000,"رعایت نشده")),""))</f>
        <v/>
      </c>
      <c r="G395" s="10" t="str">
        <f>IF($A395="","",IFERROR(ROUND(100*COUNTIFS(Evaluations!$G$3:$G$10000,$A395,Evaluations!$Q$3:$Q$10000,1)/(COUNTIFS(Evaluations!$G$3:$G$10000,$A395,Evaluations!$Q$3:$Q$10000,1)+COUNTIFS(Evaluations!$G$3:$G$10000,$A395,Evaluations!$Q$3:$Q$10000,0)),2),""))</f>
        <v/>
      </c>
      <c r="H395" s="10" t="str">
        <f>IF($A395="","",IFERROR(ROUND(100*COUNTIFS(Evaluations!$G$3:$G$10000,$A395,Evaluations!$R$3:$R$10000,1)/(COUNTIFS(Evaluations!$G$3:$G$10000,$A395,Evaluations!$R$3:$R$10000,1)+COUNTIFS(Evaluations!$G$3:$G$10000,$A395,Evaluations!$R$3:$R$10000,0)),2),""))</f>
        <v/>
      </c>
      <c r="I395" s="10" t="str">
        <f>IF($A395="","",IFERROR(ROUND(100*COUNTIFS(Evaluations!$G$3:$G$10000,$A395,Evaluations!$S$3:$S$10000,1)/(COUNTIFS(Evaluations!$G$3:$G$10000,$A395,Evaluations!$S$3:$S$10000,1)+COUNTIFS(Evaluations!$G$3:$G$10000,$A395,Evaluations!$S$3:$S$10000,0)),2),""))</f>
        <v/>
      </c>
      <c r="J395" s="10" t="str">
        <f>IF($A395="","",IFERROR(ROUND(100*COUNTIFS(Evaluations!$G$3:$G$10000,$A395,Evaluations!$T$3:$T$10000,1)/(COUNTIFS(Evaluations!$G$3:$G$10000,$A395,Evaluations!$T$3:$T$10000,1)+COUNTIFS(Evaluations!$G$3:$G$10000,$A395,Evaluations!$T$3:$T$10000,0)),2),""))</f>
        <v/>
      </c>
      <c r="K395" s="10" t="str">
        <f>IF($A395="","",COUNTIFS(Evaluations!$G$3:$G$10000,$A395,Evaluations!$M$3:$M$10000,"عدم پاسخ"))</f>
        <v/>
      </c>
      <c r="L395" s="10" t="str">
        <f>IF($A395="","",COUNTIFS(Evaluations!$G$3:$G$10000,$A395,Evaluations!$O$3:$O$10000,"رعایت نشده"))</f>
        <v/>
      </c>
    </row>
    <row r="396">
      <c r="A396" s="10"/>
      <c r="B396" s="10" t="str">
        <f t="array" ref="B396">_xlfn.XLOOKUP(A396,DATA!D:D,DATA!E:E,"")</f>
        <v/>
      </c>
      <c r="C396" s="10" t="str">
        <f>IF($A396="","",COUNTIFS(Evaluations!$G$3:$G$10000,$A396,Evaluations!$U$3:$U$10000,"&gt;=0",Evaluations!$U$3:$U$10000,"&lt;=100"))</f>
        <v/>
      </c>
      <c r="D396" s="10" t="str">
        <f>IF(OR($A396="",C396=0),"",ROUND(SUMIFS(Evaluations!$U$3:$U$10000,Evaluations!$G$3:$G$10000,$A396)/C396,2))</f>
        <v/>
      </c>
      <c r="E396" s="10" t="str">
        <f>IF($A396="","",COUNTIFS(Evaluations!$G$3:$G$10000,$A396,Evaluations!$M$3:$M$10000,"پاسخ داده شده"))</f>
        <v/>
      </c>
      <c r="F396" s="10" t="str">
        <f>IF($A396="","",IFERROR(COUNTIFS(Evaluations!$G$3:$G$10000,$A396,Evaluations!$O$3:$O$10000,"رعایت شده")/(COUNTIFS(Evaluations!$G$3:$G$10000,$A396,Evaluations!$O$3:$O$10000,"رعایت شده")+COUNTIFS(Evaluations!$G$3:$G$10000,$A396,Evaluations!$O$3:$O$10000,"رعایت نشده")),""))</f>
        <v/>
      </c>
      <c r="G396" s="10" t="str">
        <f>IF($A396="","",IFERROR(ROUND(100*COUNTIFS(Evaluations!$G$3:$G$10000,$A396,Evaluations!$Q$3:$Q$10000,1)/(COUNTIFS(Evaluations!$G$3:$G$10000,$A396,Evaluations!$Q$3:$Q$10000,1)+COUNTIFS(Evaluations!$G$3:$G$10000,$A396,Evaluations!$Q$3:$Q$10000,0)),2),""))</f>
        <v/>
      </c>
      <c r="H396" s="10" t="str">
        <f>IF($A396="","",IFERROR(ROUND(100*COUNTIFS(Evaluations!$G$3:$G$10000,$A396,Evaluations!$R$3:$R$10000,1)/(COUNTIFS(Evaluations!$G$3:$G$10000,$A396,Evaluations!$R$3:$R$10000,1)+COUNTIFS(Evaluations!$G$3:$G$10000,$A396,Evaluations!$R$3:$R$10000,0)),2),""))</f>
        <v/>
      </c>
      <c r="I396" s="10" t="str">
        <f>IF($A396="","",IFERROR(ROUND(100*COUNTIFS(Evaluations!$G$3:$G$10000,$A396,Evaluations!$S$3:$S$10000,1)/(COUNTIFS(Evaluations!$G$3:$G$10000,$A396,Evaluations!$S$3:$S$10000,1)+COUNTIFS(Evaluations!$G$3:$G$10000,$A396,Evaluations!$S$3:$S$10000,0)),2),""))</f>
        <v/>
      </c>
      <c r="J396" s="10" t="str">
        <f>IF($A396="","",IFERROR(ROUND(100*COUNTIFS(Evaluations!$G$3:$G$10000,$A396,Evaluations!$T$3:$T$10000,1)/(COUNTIFS(Evaluations!$G$3:$G$10000,$A396,Evaluations!$T$3:$T$10000,1)+COUNTIFS(Evaluations!$G$3:$G$10000,$A396,Evaluations!$T$3:$T$10000,0)),2),""))</f>
        <v/>
      </c>
      <c r="K396" s="10" t="str">
        <f>IF($A396="","",COUNTIFS(Evaluations!$G$3:$G$10000,$A396,Evaluations!$M$3:$M$10000,"عدم پاسخ"))</f>
        <v/>
      </c>
      <c r="L396" s="10" t="str">
        <f>IF($A396="","",COUNTIFS(Evaluations!$G$3:$G$10000,$A396,Evaluations!$O$3:$O$10000,"رعایت نشده"))</f>
        <v/>
      </c>
    </row>
    <row r="397">
      <c r="A397" s="10"/>
      <c r="B397" s="10" t="str">
        <f t="array" ref="B397">_xlfn.XLOOKUP(A397,DATA!D:D,DATA!E:E,"")</f>
        <v/>
      </c>
      <c r="C397" s="10" t="str">
        <f>IF($A397="","",COUNTIFS(Evaluations!$G$3:$G$10000,$A397,Evaluations!$U$3:$U$10000,"&gt;=0",Evaluations!$U$3:$U$10000,"&lt;=100"))</f>
        <v/>
      </c>
      <c r="D397" s="10" t="str">
        <f>IF(OR($A397="",C397=0),"",ROUND(SUMIFS(Evaluations!$U$3:$U$10000,Evaluations!$G$3:$G$10000,$A397)/C397,2))</f>
        <v/>
      </c>
      <c r="E397" s="10" t="str">
        <f>IF($A397="","",COUNTIFS(Evaluations!$G$3:$G$10000,$A397,Evaluations!$M$3:$M$10000,"پاسخ داده شده"))</f>
        <v/>
      </c>
      <c r="F397" s="10" t="str">
        <f>IF($A397="","",IFERROR(COUNTIFS(Evaluations!$G$3:$G$10000,$A397,Evaluations!$O$3:$O$10000,"رعایت شده")/(COUNTIFS(Evaluations!$G$3:$G$10000,$A397,Evaluations!$O$3:$O$10000,"رعایت شده")+COUNTIFS(Evaluations!$G$3:$G$10000,$A397,Evaluations!$O$3:$O$10000,"رعایت نشده")),""))</f>
        <v/>
      </c>
      <c r="G397" s="10" t="str">
        <f>IF($A397="","",IFERROR(ROUND(100*COUNTIFS(Evaluations!$G$3:$G$10000,$A397,Evaluations!$Q$3:$Q$10000,1)/(COUNTIFS(Evaluations!$G$3:$G$10000,$A397,Evaluations!$Q$3:$Q$10000,1)+COUNTIFS(Evaluations!$G$3:$G$10000,$A397,Evaluations!$Q$3:$Q$10000,0)),2),""))</f>
        <v/>
      </c>
      <c r="H397" s="10" t="str">
        <f>IF($A397="","",IFERROR(ROUND(100*COUNTIFS(Evaluations!$G$3:$G$10000,$A397,Evaluations!$R$3:$R$10000,1)/(COUNTIFS(Evaluations!$G$3:$G$10000,$A397,Evaluations!$R$3:$R$10000,1)+COUNTIFS(Evaluations!$G$3:$G$10000,$A397,Evaluations!$R$3:$R$10000,0)),2),""))</f>
        <v/>
      </c>
      <c r="I397" s="10" t="str">
        <f>IF($A397="","",IFERROR(ROUND(100*COUNTIFS(Evaluations!$G$3:$G$10000,$A397,Evaluations!$S$3:$S$10000,1)/(COUNTIFS(Evaluations!$G$3:$G$10000,$A397,Evaluations!$S$3:$S$10000,1)+COUNTIFS(Evaluations!$G$3:$G$10000,$A397,Evaluations!$S$3:$S$10000,0)),2),""))</f>
        <v/>
      </c>
      <c r="J397" s="10" t="str">
        <f>IF($A397="","",IFERROR(ROUND(100*COUNTIFS(Evaluations!$G$3:$G$10000,$A397,Evaluations!$T$3:$T$10000,1)/(COUNTIFS(Evaluations!$G$3:$G$10000,$A397,Evaluations!$T$3:$T$10000,1)+COUNTIFS(Evaluations!$G$3:$G$10000,$A397,Evaluations!$T$3:$T$10000,0)),2),""))</f>
        <v/>
      </c>
      <c r="K397" s="10" t="str">
        <f>IF($A397="","",COUNTIFS(Evaluations!$G$3:$G$10000,$A397,Evaluations!$M$3:$M$10000,"عدم پاسخ"))</f>
        <v/>
      </c>
      <c r="L397" s="10" t="str">
        <f>IF($A397="","",COUNTIFS(Evaluations!$G$3:$G$10000,$A397,Evaluations!$O$3:$O$10000,"رعایت نشده"))</f>
        <v/>
      </c>
    </row>
    <row r="398">
      <c r="A398" s="10"/>
      <c r="B398" s="10" t="str">
        <f t="array" ref="B398">_xlfn.XLOOKUP(A398,DATA!D:D,DATA!E:E,"")</f>
        <v/>
      </c>
      <c r="C398" s="10" t="str">
        <f>IF($A398="","",COUNTIFS(Evaluations!$G$3:$G$10000,$A398,Evaluations!$U$3:$U$10000,"&gt;=0",Evaluations!$U$3:$U$10000,"&lt;=100"))</f>
        <v/>
      </c>
      <c r="D398" s="10" t="str">
        <f>IF(OR($A398="",C398=0),"",ROUND(SUMIFS(Evaluations!$U$3:$U$10000,Evaluations!$G$3:$G$10000,$A398)/C398,2))</f>
        <v/>
      </c>
      <c r="E398" s="10" t="str">
        <f>IF($A398="","",COUNTIFS(Evaluations!$G$3:$G$10000,$A398,Evaluations!$M$3:$M$10000,"پاسخ داده شده"))</f>
        <v/>
      </c>
      <c r="F398" s="10" t="str">
        <f>IF($A398="","",IFERROR(COUNTIFS(Evaluations!$G$3:$G$10000,$A398,Evaluations!$O$3:$O$10000,"رعایت شده")/(COUNTIFS(Evaluations!$G$3:$G$10000,$A398,Evaluations!$O$3:$O$10000,"رعایت شده")+COUNTIFS(Evaluations!$G$3:$G$10000,$A398,Evaluations!$O$3:$O$10000,"رعایت نشده")),""))</f>
        <v/>
      </c>
      <c r="G398" s="10" t="str">
        <f>IF($A398="","",IFERROR(ROUND(100*COUNTIFS(Evaluations!$G$3:$G$10000,$A398,Evaluations!$Q$3:$Q$10000,1)/(COUNTIFS(Evaluations!$G$3:$G$10000,$A398,Evaluations!$Q$3:$Q$10000,1)+COUNTIFS(Evaluations!$G$3:$G$10000,$A398,Evaluations!$Q$3:$Q$10000,0)),2),""))</f>
        <v/>
      </c>
      <c r="H398" s="10" t="str">
        <f>IF($A398="","",IFERROR(ROUND(100*COUNTIFS(Evaluations!$G$3:$G$10000,$A398,Evaluations!$R$3:$R$10000,1)/(COUNTIFS(Evaluations!$G$3:$G$10000,$A398,Evaluations!$R$3:$R$10000,1)+COUNTIFS(Evaluations!$G$3:$G$10000,$A398,Evaluations!$R$3:$R$10000,0)),2),""))</f>
        <v/>
      </c>
      <c r="I398" s="10" t="str">
        <f>IF($A398="","",IFERROR(ROUND(100*COUNTIFS(Evaluations!$G$3:$G$10000,$A398,Evaluations!$S$3:$S$10000,1)/(COUNTIFS(Evaluations!$G$3:$G$10000,$A398,Evaluations!$S$3:$S$10000,1)+COUNTIFS(Evaluations!$G$3:$G$10000,$A398,Evaluations!$S$3:$S$10000,0)),2),""))</f>
        <v/>
      </c>
      <c r="J398" s="10" t="str">
        <f>IF($A398="","",IFERROR(ROUND(100*COUNTIFS(Evaluations!$G$3:$G$10000,$A398,Evaluations!$T$3:$T$10000,1)/(COUNTIFS(Evaluations!$G$3:$G$10000,$A398,Evaluations!$T$3:$T$10000,1)+COUNTIFS(Evaluations!$G$3:$G$10000,$A398,Evaluations!$T$3:$T$10000,0)),2),""))</f>
        <v/>
      </c>
      <c r="K398" s="10" t="str">
        <f>IF($A398="","",COUNTIFS(Evaluations!$G$3:$G$10000,$A398,Evaluations!$M$3:$M$10000,"عدم پاسخ"))</f>
        <v/>
      </c>
      <c r="L398" s="10" t="str">
        <f>IF($A398="","",COUNTIFS(Evaluations!$G$3:$G$10000,$A398,Evaluations!$O$3:$O$10000,"رعایت نشده"))</f>
        <v/>
      </c>
    </row>
    <row r="399">
      <c r="A399" s="10"/>
      <c r="B399" s="10" t="str">
        <f t="array" ref="B399">_xlfn.XLOOKUP(A399,DATA!D:D,DATA!E:E,"")</f>
        <v/>
      </c>
      <c r="C399" s="10" t="str">
        <f>IF($A399="","",COUNTIFS(Evaluations!$G$3:$G$10000,$A399,Evaluations!$U$3:$U$10000,"&gt;=0",Evaluations!$U$3:$U$10000,"&lt;=100"))</f>
        <v/>
      </c>
      <c r="D399" s="10" t="str">
        <f>IF(OR($A399="",C399=0),"",ROUND(SUMIFS(Evaluations!$U$3:$U$10000,Evaluations!$G$3:$G$10000,$A399)/C399,2))</f>
        <v/>
      </c>
      <c r="E399" s="10" t="str">
        <f>IF($A399="","",COUNTIFS(Evaluations!$G$3:$G$10000,$A399,Evaluations!$M$3:$M$10000,"پاسخ داده شده"))</f>
        <v/>
      </c>
      <c r="F399" s="10" t="str">
        <f>IF($A399="","",IFERROR(COUNTIFS(Evaluations!$G$3:$G$10000,$A399,Evaluations!$O$3:$O$10000,"رعایت شده")/(COUNTIFS(Evaluations!$G$3:$G$10000,$A399,Evaluations!$O$3:$O$10000,"رعایت شده")+COUNTIFS(Evaluations!$G$3:$G$10000,$A399,Evaluations!$O$3:$O$10000,"رعایت نشده")),""))</f>
        <v/>
      </c>
      <c r="G399" s="10" t="str">
        <f>IF($A399="","",IFERROR(ROUND(100*COUNTIFS(Evaluations!$G$3:$G$10000,$A399,Evaluations!$Q$3:$Q$10000,1)/(COUNTIFS(Evaluations!$G$3:$G$10000,$A399,Evaluations!$Q$3:$Q$10000,1)+COUNTIFS(Evaluations!$G$3:$G$10000,$A399,Evaluations!$Q$3:$Q$10000,0)),2),""))</f>
        <v/>
      </c>
      <c r="H399" s="10" t="str">
        <f>IF($A399="","",IFERROR(ROUND(100*COUNTIFS(Evaluations!$G$3:$G$10000,$A399,Evaluations!$R$3:$R$10000,1)/(COUNTIFS(Evaluations!$G$3:$G$10000,$A399,Evaluations!$R$3:$R$10000,1)+COUNTIFS(Evaluations!$G$3:$G$10000,$A399,Evaluations!$R$3:$R$10000,0)),2),""))</f>
        <v/>
      </c>
      <c r="I399" s="10" t="str">
        <f>IF($A399="","",IFERROR(ROUND(100*COUNTIFS(Evaluations!$G$3:$G$10000,$A399,Evaluations!$S$3:$S$10000,1)/(COUNTIFS(Evaluations!$G$3:$G$10000,$A399,Evaluations!$S$3:$S$10000,1)+COUNTIFS(Evaluations!$G$3:$G$10000,$A399,Evaluations!$S$3:$S$10000,0)),2),""))</f>
        <v/>
      </c>
      <c r="J399" s="10" t="str">
        <f>IF($A399="","",IFERROR(ROUND(100*COUNTIFS(Evaluations!$G$3:$G$10000,$A399,Evaluations!$T$3:$T$10000,1)/(COUNTIFS(Evaluations!$G$3:$G$10000,$A399,Evaluations!$T$3:$T$10000,1)+COUNTIFS(Evaluations!$G$3:$G$10000,$A399,Evaluations!$T$3:$T$10000,0)),2),""))</f>
        <v/>
      </c>
      <c r="K399" s="10" t="str">
        <f>IF($A399="","",COUNTIFS(Evaluations!$G$3:$G$10000,$A399,Evaluations!$M$3:$M$10000,"عدم پاسخ"))</f>
        <v/>
      </c>
      <c r="L399" s="10" t="str">
        <f>IF($A399="","",COUNTIFS(Evaluations!$G$3:$G$10000,$A399,Evaluations!$O$3:$O$10000,"رعایت نشده"))</f>
        <v/>
      </c>
    </row>
    <row r="400">
      <c r="A400" s="10"/>
      <c r="B400" s="10" t="str">
        <f t="array" ref="B400">_xlfn.XLOOKUP(A400,DATA!D:D,DATA!E:E,"")</f>
        <v/>
      </c>
      <c r="C400" s="10" t="str">
        <f>IF($A400="","",COUNTIFS(Evaluations!$G$3:$G$10000,$A400,Evaluations!$U$3:$U$10000,"&gt;=0",Evaluations!$U$3:$U$10000,"&lt;=100"))</f>
        <v/>
      </c>
      <c r="D400" s="10" t="str">
        <f>IF(OR($A400="",C400=0),"",ROUND(SUMIFS(Evaluations!$U$3:$U$10000,Evaluations!$G$3:$G$10000,$A400)/C400,2))</f>
        <v/>
      </c>
      <c r="E400" s="10" t="str">
        <f>IF($A400="","",COUNTIFS(Evaluations!$G$3:$G$10000,$A400,Evaluations!$M$3:$M$10000,"پاسخ داده شده"))</f>
        <v/>
      </c>
      <c r="F400" s="10" t="str">
        <f>IF($A400="","",IFERROR(COUNTIFS(Evaluations!$G$3:$G$10000,$A400,Evaluations!$O$3:$O$10000,"رعایت شده")/(COUNTIFS(Evaluations!$G$3:$G$10000,$A400,Evaluations!$O$3:$O$10000,"رعایت شده")+COUNTIFS(Evaluations!$G$3:$G$10000,$A400,Evaluations!$O$3:$O$10000,"رعایت نشده")),""))</f>
        <v/>
      </c>
      <c r="G400" s="10" t="str">
        <f>IF($A400="","",IFERROR(ROUND(100*COUNTIFS(Evaluations!$G$3:$G$10000,$A400,Evaluations!$Q$3:$Q$10000,1)/(COUNTIFS(Evaluations!$G$3:$G$10000,$A400,Evaluations!$Q$3:$Q$10000,1)+COUNTIFS(Evaluations!$G$3:$G$10000,$A400,Evaluations!$Q$3:$Q$10000,0)),2),""))</f>
        <v/>
      </c>
      <c r="H400" s="10" t="str">
        <f>IF($A400="","",IFERROR(ROUND(100*COUNTIFS(Evaluations!$G$3:$G$10000,$A400,Evaluations!$R$3:$R$10000,1)/(COUNTIFS(Evaluations!$G$3:$G$10000,$A400,Evaluations!$R$3:$R$10000,1)+COUNTIFS(Evaluations!$G$3:$G$10000,$A400,Evaluations!$R$3:$R$10000,0)),2),""))</f>
        <v/>
      </c>
      <c r="I400" s="10" t="str">
        <f>IF($A400="","",IFERROR(ROUND(100*COUNTIFS(Evaluations!$G$3:$G$10000,$A400,Evaluations!$S$3:$S$10000,1)/(COUNTIFS(Evaluations!$G$3:$G$10000,$A400,Evaluations!$S$3:$S$10000,1)+COUNTIFS(Evaluations!$G$3:$G$10000,$A400,Evaluations!$S$3:$S$10000,0)),2),""))</f>
        <v/>
      </c>
      <c r="J400" s="10" t="str">
        <f>IF($A400="","",IFERROR(ROUND(100*COUNTIFS(Evaluations!$G$3:$G$10000,$A400,Evaluations!$T$3:$T$10000,1)/(COUNTIFS(Evaluations!$G$3:$G$10000,$A400,Evaluations!$T$3:$T$10000,1)+COUNTIFS(Evaluations!$G$3:$G$10000,$A400,Evaluations!$T$3:$T$10000,0)),2),""))</f>
        <v/>
      </c>
      <c r="K400" s="10" t="str">
        <f>IF($A400="","",COUNTIFS(Evaluations!$G$3:$G$10000,$A400,Evaluations!$M$3:$M$10000,"عدم پاسخ"))</f>
        <v/>
      </c>
      <c r="L400" s="10" t="str">
        <f>IF($A400="","",COUNTIFS(Evaluations!$G$3:$G$10000,$A400,Evaluations!$O$3:$O$10000,"رعایت نشده"))</f>
        <v/>
      </c>
    </row>
    <row r="401">
      <c r="A401" s="10"/>
      <c r="B401" s="10" t="str">
        <f t="array" ref="B401">_xlfn.XLOOKUP(A401,DATA!D:D,DATA!E:E,"")</f>
        <v/>
      </c>
      <c r="C401" s="10" t="str">
        <f>IF($A401="","",COUNTIFS(Evaluations!$G$3:$G$10000,$A401,Evaluations!$U$3:$U$10000,"&gt;=0",Evaluations!$U$3:$U$10000,"&lt;=100"))</f>
        <v/>
      </c>
      <c r="D401" s="10" t="str">
        <f>IF(OR($A401="",C401=0),"",ROUND(SUMIFS(Evaluations!$U$3:$U$10000,Evaluations!$G$3:$G$10000,$A401)/C401,2))</f>
        <v/>
      </c>
      <c r="E401" s="10" t="str">
        <f>IF($A401="","",COUNTIFS(Evaluations!$G$3:$G$10000,$A401,Evaluations!$M$3:$M$10000,"پاسخ داده شده"))</f>
        <v/>
      </c>
      <c r="F401" s="10" t="str">
        <f>IF($A401="","",IFERROR(COUNTIFS(Evaluations!$G$3:$G$10000,$A401,Evaluations!$O$3:$O$10000,"رعایت شده")/(COUNTIFS(Evaluations!$G$3:$G$10000,$A401,Evaluations!$O$3:$O$10000,"رعایت شده")+COUNTIFS(Evaluations!$G$3:$G$10000,$A401,Evaluations!$O$3:$O$10000,"رعایت نشده")),""))</f>
        <v/>
      </c>
      <c r="G401" s="10" t="str">
        <f>IF($A401="","",IFERROR(ROUND(100*COUNTIFS(Evaluations!$G$3:$G$10000,$A401,Evaluations!$Q$3:$Q$10000,1)/(COUNTIFS(Evaluations!$G$3:$G$10000,$A401,Evaluations!$Q$3:$Q$10000,1)+COUNTIFS(Evaluations!$G$3:$G$10000,$A401,Evaluations!$Q$3:$Q$10000,0)),2),""))</f>
        <v/>
      </c>
      <c r="H401" s="10" t="str">
        <f>IF($A401="","",IFERROR(ROUND(100*COUNTIFS(Evaluations!$G$3:$G$10000,$A401,Evaluations!$R$3:$R$10000,1)/(COUNTIFS(Evaluations!$G$3:$G$10000,$A401,Evaluations!$R$3:$R$10000,1)+COUNTIFS(Evaluations!$G$3:$G$10000,$A401,Evaluations!$R$3:$R$10000,0)),2),""))</f>
        <v/>
      </c>
      <c r="I401" s="10" t="str">
        <f>IF($A401="","",IFERROR(ROUND(100*COUNTIFS(Evaluations!$G$3:$G$10000,$A401,Evaluations!$S$3:$S$10000,1)/(COUNTIFS(Evaluations!$G$3:$G$10000,$A401,Evaluations!$S$3:$S$10000,1)+COUNTIFS(Evaluations!$G$3:$G$10000,$A401,Evaluations!$S$3:$S$10000,0)),2),""))</f>
        <v/>
      </c>
      <c r="J401" s="10" t="str">
        <f>IF($A401="","",IFERROR(ROUND(100*COUNTIFS(Evaluations!$G$3:$G$10000,$A401,Evaluations!$T$3:$T$10000,1)/(COUNTIFS(Evaluations!$G$3:$G$10000,$A401,Evaluations!$T$3:$T$10000,1)+COUNTIFS(Evaluations!$G$3:$G$10000,$A401,Evaluations!$T$3:$T$10000,0)),2),""))</f>
        <v/>
      </c>
      <c r="K401" s="10" t="str">
        <f>IF($A401="","",COUNTIFS(Evaluations!$G$3:$G$10000,$A401,Evaluations!$M$3:$M$10000,"عدم پاسخ"))</f>
        <v/>
      </c>
      <c r="L401" s="10" t="str">
        <f>IF($A401="","",COUNTIFS(Evaluations!$G$3:$G$10000,$A401,Evaluations!$O$3:$O$10000,"رعایت نشده"))</f>
        <v/>
      </c>
    </row>
    <row r="402">
      <c r="A402" s="10"/>
      <c r="B402" s="10" t="str">
        <f t="array" ref="B402">_xlfn.XLOOKUP(A402,DATA!D:D,DATA!E:E,"")</f>
        <v/>
      </c>
      <c r="C402" s="10" t="str">
        <f>IF($A402="","",COUNTIFS(Evaluations!$G$3:$G$10000,$A402,Evaluations!$U$3:$U$10000,"&gt;=0",Evaluations!$U$3:$U$10000,"&lt;=100"))</f>
        <v/>
      </c>
      <c r="D402" s="10" t="str">
        <f>IF(OR($A402="",C402=0),"",ROUND(SUMIFS(Evaluations!$U$3:$U$10000,Evaluations!$G$3:$G$10000,$A402)/C402,2))</f>
        <v/>
      </c>
      <c r="E402" s="10" t="str">
        <f>IF($A402="","",COUNTIFS(Evaluations!$G$3:$G$10000,$A402,Evaluations!$M$3:$M$10000,"پاسخ داده شده"))</f>
        <v/>
      </c>
      <c r="F402" s="10" t="str">
        <f>IF($A402="","",IFERROR(COUNTIFS(Evaluations!$G$3:$G$10000,$A402,Evaluations!$O$3:$O$10000,"رعایت شده")/(COUNTIFS(Evaluations!$G$3:$G$10000,$A402,Evaluations!$O$3:$O$10000,"رعایت شده")+COUNTIFS(Evaluations!$G$3:$G$10000,$A402,Evaluations!$O$3:$O$10000,"رعایت نشده")),""))</f>
        <v/>
      </c>
      <c r="G402" s="10" t="str">
        <f>IF($A402="","",IFERROR(ROUND(100*COUNTIFS(Evaluations!$G$3:$G$10000,$A402,Evaluations!$Q$3:$Q$10000,1)/(COUNTIFS(Evaluations!$G$3:$G$10000,$A402,Evaluations!$Q$3:$Q$10000,1)+COUNTIFS(Evaluations!$G$3:$G$10000,$A402,Evaluations!$Q$3:$Q$10000,0)),2),""))</f>
        <v/>
      </c>
      <c r="H402" s="10" t="str">
        <f>IF($A402="","",IFERROR(ROUND(100*COUNTIFS(Evaluations!$G$3:$G$10000,$A402,Evaluations!$R$3:$R$10000,1)/(COUNTIFS(Evaluations!$G$3:$G$10000,$A402,Evaluations!$R$3:$R$10000,1)+COUNTIFS(Evaluations!$G$3:$G$10000,$A402,Evaluations!$R$3:$R$10000,0)),2),""))</f>
        <v/>
      </c>
      <c r="I402" s="10" t="str">
        <f>IF($A402="","",IFERROR(ROUND(100*COUNTIFS(Evaluations!$G$3:$G$10000,$A402,Evaluations!$S$3:$S$10000,1)/(COUNTIFS(Evaluations!$G$3:$G$10000,$A402,Evaluations!$S$3:$S$10000,1)+COUNTIFS(Evaluations!$G$3:$G$10000,$A402,Evaluations!$S$3:$S$10000,0)),2),""))</f>
        <v/>
      </c>
      <c r="J402" s="10" t="str">
        <f>IF($A402="","",IFERROR(ROUND(100*COUNTIFS(Evaluations!$G$3:$G$10000,$A402,Evaluations!$T$3:$T$10000,1)/(COUNTIFS(Evaluations!$G$3:$G$10000,$A402,Evaluations!$T$3:$T$10000,1)+COUNTIFS(Evaluations!$G$3:$G$10000,$A402,Evaluations!$T$3:$T$10000,0)),2),""))</f>
        <v/>
      </c>
      <c r="K402" s="10" t="str">
        <f>IF($A402="","",COUNTIFS(Evaluations!$G$3:$G$10000,$A402,Evaluations!$M$3:$M$10000,"عدم پاسخ"))</f>
        <v/>
      </c>
      <c r="L402" s="10" t="str">
        <f>IF($A402="","",COUNTIFS(Evaluations!$G$3:$G$10000,$A402,Evaluations!$O$3:$O$10000,"رعایت نشده"))</f>
        <v/>
      </c>
    </row>
    <row r="403">
      <c r="A403" s="10"/>
      <c r="B403" s="10" t="str">
        <f t="array" ref="B403">_xlfn.XLOOKUP(A403,DATA!D:D,DATA!E:E,"")</f>
        <v/>
      </c>
      <c r="C403" s="10" t="str">
        <f>IF($A403="","",COUNTIFS(Evaluations!$G$3:$G$10000,$A403,Evaluations!$U$3:$U$10000,"&gt;=0",Evaluations!$U$3:$U$10000,"&lt;=100"))</f>
        <v/>
      </c>
      <c r="D403" s="10" t="str">
        <f>IF(OR($A403="",C403=0),"",ROUND(SUMIFS(Evaluations!$U$3:$U$10000,Evaluations!$G$3:$G$10000,$A403)/C403,2))</f>
        <v/>
      </c>
      <c r="E403" s="10" t="str">
        <f>IF($A403="","",COUNTIFS(Evaluations!$G$3:$G$10000,$A403,Evaluations!$M$3:$M$10000,"پاسخ داده شده"))</f>
        <v/>
      </c>
      <c r="F403" s="10" t="str">
        <f>IF($A403="","",IFERROR(COUNTIFS(Evaluations!$G$3:$G$10000,$A403,Evaluations!$O$3:$O$10000,"رعایت شده")/(COUNTIFS(Evaluations!$G$3:$G$10000,$A403,Evaluations!$O$3:$O$10000,"رعایت شده")+COUNTIFS(Evaluations!$G$3:$G$10000,$A403,Evaluations!$O$3:$O$10000,"رعایت نشده")),""))</f>
        <v/>
      </c>
      <c r="G403" s="10" t="str">
        <f>IF($A403="","",IFERROR(ROUND(100*COUNTIFS(Evaluations!$G$3:$G$10000,$A403,Evaluations!$Q$3:$Q$10000,1)/(COUNTIFS(Evaluations!$G$3:$G$10000,$A403,Evaluations!$Q$3:$Q$10000,1)+COUNTIFS(Evaluations!$G$3:$G$10000,$A403,Evaluations!$Q$3:$Q$10000,0)),2),""))</f>
        <v/>
      </c>
      <c r="H403" s="10" t="str">
        <f>IF($A403="","",IFERROR(ROUND(100*COUNTIFS(Evaluations!$G$3:$G$10000,$A403,Evaluations!$R$3:$R$10000,1)/(COUNTIFS(Evaluations!$G$3:$G$10000,$A403,Evaluations!$R$3:$R$10000,1)+COUNTIFS(Evaluations!$G$3:$G$10000,$A403,Evaluations!$R$3:$R$10000,0)),2),""))</f>
        <v/>
      </c>
      <c r="I403" s="10" t="str">
        <f>IF($A403="","",IFERROR(ROUND(100*COUNTIFS(Evaluations!$G$3:$G$10000,$A403,Evaluations!$S$3:$S$10000,1)/(COUNTIFS(Evaluations!$G$3:$G$10000,$A403,Evaluations!$S$3:$S$10000,1)+COUNTIFS(Evaluations!$G$3:$G$10000,$A403,Evaluations!$S$3:$S$10000,0)),2),""))</f>
        <v/>
      </c>
      <c r="J403" s="10" t="str">
        <f>IF($A403="","",IFERROR(ROUND(100*COUNTIFS(Evaluations!$G$3:$G$10000,$A403,Evaluations!$T$3:$T$10000,1)/(COUNTIFS(Evaluations!$G$3:$G$10000,$A403,Evaluations!$T$3:$T$10000,1)+COUNTIFS(Evaluations!$G$3:$G$10000,$A403,Evaluations!$T$3:$T$10000,0)),2),""))</f>
        <v/>
      </c>
      <c r="K403" s="10" t="str">
        <f>IF($A403="","",COUNTIFS(Evaluations!$G$3:$G$10000,$A403,Evaluations!$M$3:$M$10000,"عدم پاسخ"))</f>
        <v/>
      </c>
      <c r="L403" s="10" t="str">
        <f>IF($A403="","",COUNTIFS(Evaluations!$G$3:$G$10000,$A403,Evaluations!$O$3:$O$10000,"رعایت نشده"))</f>
        <v/>
      </c>
    </row>
    <row r="404">
      <c r="A404" s="10"/>
      <c r="B404" s="10" t="str">
        <f t="array" ref="B404">_xlfn.XLOOKUP(A404,DATA!D:D,DATA!E:E,"")</f>
        <v/>
      </c>
      <c r="C404" s="10" t="str">
        <f>IF($A404="","",COUNTIFS(Evaluations!$G$3:$G$10000,$A404,Evaluations!$U$3:$U$10000,"&gt;=0",Evaluations!$U$3:$U$10000,"&lt;=100"))</f>
        <v/>
      </c>
      <c r="D404" s="10" t="str">
        <f>IF(OR($A404="",C404=0),"",ROUND(SUMIFS(Evaluations!$U$3:$U$10000,Evaluations!$G$3:$G$10000,$A404)/C404,2))</f>
        <v/>
      </c>
      <c r="E404" s="10" t="str">
        <f>IF($A404="","",COUNTIFS(Evaluations!$G$3:$G$10000,$A404,Evaluations!$M$3:$M$10000,"پاسخ داده شده"))</f>
        <v/>
      </c>
      <c r="F404" s="10" t="str">
        <f>IF($A404="","",IFERROR(COUNTIFS(Evaluations!$G$3:$G$10000,$A404,Evaluations!$O$3:$O$10000,"رعایت شده")/(COUNTIFS(Evaluations!$G$3:$G$10000,$A404,Evaluations!$O$3:$O$10000,"رعایت شده")+COUNTIFS(Evaluations!$G$3:$G$10000,$A404,Evaluations!$O$3:$O$10000,"رعایت نشده")),""))</f>
        <v/>
      </c>
      <c r="G404" s="10" t="str">
        <f>IF($A404="","",IFERROR(ROUND(100*COUNTIFS(Evaluations!$G$3:$G$10000,$A404,Evaluations!$Q$3:$Q$10000,1)/(COUNTIFS(Evaluations!$G$3:$G$10000,$A404,Evaluations!$Q$3:$Q$10000,1)+COUNTIFS(Evaluations!$G$3:$G$10000,$A404,Evaluations!$Q$3:$Q$10000,0)),2),""))</f>
        <v/>
      </c>
      <c r="H404" s="10" t="str">
        <f>IF($A404="","",IFERROR(ROUND(100*COUNTIFS(Evaluations!$G$3:$G$10000,$A404,Evaluations!$R$3:$R$10000,1)/(COUNTIFS(Evaluations!$G$3:$G$10000,$A404,Evaluations!$R$3:$R$10000,1)+COUNTIFS(Evaluations!$G$3:$G$10000,$A404,Evaluations!$R$3:$R$10000,0)),2),""))</f>
        <v/>
      </c>
      <c r="I404" s="10" t="str">
        <f>IF($A404="","",IFERROR(ROUND(100*COUNTIFS(Evaluations!$G$3:$G$10000,$A404,Evaluations!$S$3:$S$10000,1)/(COUNTIFS(Evaluations!$G$3:$G$10000,$A404,Evaluations!$S$3:$S$10000,1)+COUNTIFS(Evaluations!$G$3:$G$10000,$A404,Evaluations!$S$3:$S$10000,0)),2),""))</f>
        <v/>
      </c>
      <c r="J404" s="10" t="str">
        <f>IF($A404="","",IFERROR(ROUND(100*COUNTIFS(Evaluations!$G$3:$G$10000,$A404,Evaluations!$T$3:$T$10000,1)/(COUNTIFS(Evaluations!$G$3:$G$10000,$A404,Evaluations!$T$3:$T$10000,1)+COUNTIFS(Evaluations!$G$3:$G$10000,$A404,Evaluations!$T$3:$T$10000,0)),2),""))</f>
        <v/>
      </c>
      <c r="K404" s="10" t="str">
        <f>IF($A404="","",COUNTIFS(Evaluations!$G$3:$G$10000,$A404,Evaluations!$M$3:$M$10000,"عدم پاسخ"))</f>
        <v/>
      </c>
      <c r="L404" s="10" t="str">
        <f>IF($A404="","",COUNTIFS(Evaluations!$G$3:$G$10000,$A404,Evaluations!$O$3:$O$10000,"رعایت نشده"))</f>
        <v/>
      </c>
    </row>
    <row r="405">
      <c r="A405" s="10"/>
      <c r="B405" s="10" t="str">
        <f t="array" ref="B405">_xlfn.XLOOKUP(A405,DATA!D:D,DATA!E:E,"")</f>
        <v/>
      </c>
      <c r="C405" s="10" t="str">
        <f>IF($A405="","",COUNTIFS(Evaluations!$G$3:$G$10000,$A405,Evaluations!$U$3:$U$10000,"&gt;=0",Evaluations!$U$3:$U$10000,"&lt;=100"))</f>
        <v/>
      </c>
      <c r="D405" s="10" t="str">
        <f>IF(OR($A405="",C405=0),"",ROUND(SUMIFS(Evaluations!$U$3:$U$10000,Evaluations!$G$3:$G$10000,$A405)/C405,2))</f>
        <v/>
      </c>
      <c r="E405" s="10" t="str">
        <f>IF($A405="","",COUNTIFS(Evaluations!$G$3:$G$10000,$A405,Evaluations!$M$3:$M$10000,"پاسخ داده شده"))</f>
        <v/>
      </c>
      <c r="F405" s="10" t="str">
        <f>IF($A405="","",IFERROR(COUNTIFS(Evaluations!$G$3:$G$10000,$A405,Evaluations!$O$3:$O$10000,"رعایت شده")/(COUNTIFS(Evaluations!$G$3:$G$10000,$A405,Evaluations!$O$3:$O$10000,"رعایت شده")+COUNTIFS(Evaluations!$G$3:$G$10000,$A405,Evaluations!$O$3:$O$10000,"رعایت نشده")),""))</f>
        <v/>
      </c>
      <c r="G405" s="10" t="str">
        <f>IF($A405="","",IFERROR(ROUND(100*COUNTIFS(Evaluations!$G$3:$G$10000,$A405,Evaluations!$Q$3:$Q$10000,1)/(COUNTIFS(Evaluations!$G$3:$G$10000,$A405,Evaluations!$Q$3:$Q$10000,1)+COUNTIFS(Evaluations!$G$3:$G$10000,$A405,Evaluations!$Q$3:$Q$10000,0)),2),""))</f>
        <v/>
      </c>
      <c r="H405" s="10" t="str">
        <f>IF($A405="","",IFERROR(ROUND(100*COUNTIFS(Evaluations!$G$3:$G$10000,$A405,Evaluations!$R$3:$R$10000,1)/(COUNTIFS(Evaluations!$G$3:$G$10000,$A405,Evaluations!$R$3:$R$10000,1)+COUNTIFS(Evaluations!$G$3:$G$10000,$A405,Evaluations!$R$3:$R$10000,0)),2),""))</f>
        <v/>
      </c>
      <c r="I405" s="10" t="str">
        <f>IF($A405="","",IFERROR(ROUND(100*COUNTIFS(Evaluations!$G$3:$G$10000,$A405,Evaluations!$S$3:$S$10000,1)/(COUNTIFS(Evaluations!$G$3:$G$10000,$A405,Evaluations!$S$3:$S$10000,1)+COUNTIFS(Evaluations!$G$3:$G$10000,$A405,Evaluations!$S$3:$S$10000,0)),2),""))</f>
        <v/>
      </c>
      <c r="J405" s="10" t="str">
        <f>IF($A405="","",IFERROR(ROUND(100*COUNTIFS(Evaluations!$G$3:$G$10000,$A405,Evaluations!$T$3:$T$10000,1)/(COUNTIFS(Evaluations!$G$3:$G$10000,$A405,Evaluations!$T$3:$T$10000,1)+COUNTIFS(Evaluations!$G$3:$G$10000,$A405,Evaluations!$T$3:$T$10000,0)),2),""))</f>
        <v/>
      </c>
      <c r="K405" s="10" t="str">
        <f>IF($A405="","",COUNTIFS(Evaluations!$G$3:$G$10000,$A405,Evaluations!$M$3:$M$10000,"عدم پاسخ"))</f>
        <v/>
      </c>
      <c r="L405" s="10" t="str">
        <f>IF($A405="","",COUNTIFS(Evaluations!$G$3:$G$10000,$A405,Evaluations!$O$3:$O$10000,"رعایت نشده"))</f>
        <v/>
      </c>
    </row>
    <row r="406">
      <c r="A406" s="10"/>
      <c r="B406" s="10" t="str">
        <f t="array" ref="B406">_xlfn.XLOOKUP(A406,DATA!D:D,DATA!E:E,"")</f>
        <v/>
      </c>
      <c r="C406" s="10" t="str">
        <f>IF($A406="","",COUNTIFS(Evaluations!$G$3:$G$10000,$A406,Evaluations!$U$3:$U$10000,"&gt;=0",Evaluations!$U$3:$U$10000,"&lt;=100"))</f>
        <v/>
      </c>
      <c r="D406" s="10" t="str">
        <f>IF(OR($A406="",C406=0),"",ROUND(SUMIFS(Evaluations!$U$3:$U$10000,Evaluations!$G$3:$G$10000,$A406)/C406,2))</f>
        <v/>
      </c>
      <c r="E406" s="10" t="str">
        <f>IF($A406="","",COUNTIFS(Evaluations!$G$3:$G$10000,$A406,Evaluations!$M$3:$M$10000,"پاسخ داده شده"))</f>
        <v/>
      </c>
      <c r="F406" s="10" t="str">
        <f>IF($A406="","",IFERROR(COUNTIFS(Evaluations!$G$3:$G$10000,$A406,Evaluations!$O$3:$O$10000,"رعایت شده")/(COUNTIFS(Evaluations!$G$3:$G$10000,$A406,Evaluations!$O$3:$O$10000,"رعایت شده")+COUNTIFS(Evaluations!$G$3:$G$10000,$A406,Evaluations!$O$3:$O$10000,"رعایت نشده")),""))</f>
        <v/>
      </c>
      <c r="G406" s="10" t="str">
        <f>IF($A406="","",IFERROR(ROUND(100*COUNTIFS(Evaluations!$G$3:$G$10000,$A406,Evaluations!$Q$3:$Q$10000,1)/(COUNTIFS(Evaluations!$G$3:$G$10000,$A406,Evaluations!$Q$3:$Q$10000,1)+COUNTIFS(Evaluations!$G$3:$G$10000,$A406,Evaluations!$Q$3:$Q$10000,0)),2),""))</f>
        <v/>
      </c>
      <c r="H406" s="10" t="str">
        <f>IF($A406="","",IFERROR(ROUND(100*COUNTIFS(Evaluations!$G$3:$G$10000,$A406,Evaluations!$R$3:$R$10000,1)/(COUNTIFS(Evaluations!$G$3:$G$10000,$A406,Evaluations!$R$3:$R$10000,1)+COUNTIFS(Evaluations!$G$3:$G$10000,$A406,Evaluations!$R$3:$R$10000,0)),2),""))</f>
        <v/>
      </c>
      <c r="I406" s="10" t="str">
        <f>IF($A406="","",IFERROR(ROUND(100*COUNTIFS(Evaluations!$G$3:$G$10000,$A406,Evaluations!$S$3:$S$10000,1)/(COUNTIFS(Evaluations!$G$3:$G$10000,$A406,Evaluations!$S$3:$S$10000,1)+COUNTIFS(Evaluations!$G$3:$G$10000,$A406,Evaluations!$S$3:$S$10000,0)),2),""))</f>
        <v/>
      </c>
      <c r="J406" s="10" t="str">
        <f>IF($A406="","",IFERROR(ROUND(100*COUNTIFS(Evaluations!$G$3:$G$10000,$A406,Evaluations!$T$3:$T$10000,1)/(COUNTIFS(Evaluations!$G$3:$G$10000,$A406,Evaluations!$T$3:$T$10000,1)+COUNTIFS(Evaluations!$G$3:$G$10000,$A406,Evaluations!$T$3:$T$10000,0)),2),""))</f>
        <v/>
      </c>
      <c r="K406" s="10" t="str">
        <f>IF($A406="","",COUNTIFS(Evaluations!$G$3:$G$10000,$A406,Evaluations!$M$3:$M$10000,"عدم پاسخ"))</f>
        <v/>
      </c>
      <c r="L406" s="10" t="str">
        <f>IF($A406="","",COUNTIFS(Evaluations!$G$3:$G$10000,$A406,Evaluations!$O$3:$O$10000,"رعایت نشده"))</f>
        <v/>
      </c>
    </row>
    <row r="407">
      <c r="A407" s="10"/>
      <c r="B407" s="10" t="str">
        <f t="array" ref="B407">_xlfn.XLOOKUP(A407,DATA!D:D,DATA!E:E,"")</f>
        <v/>
      </c>
      <c r="C407" s="10" t="str">
        <f>IF($A407="","",COUNTIFS(Evaluations!$G$3:$G$10000,$A407,Evaluations!$U$3:$U$10000,"&gt;=0",Evaluations!$U$3:$U$10000,"&lt;=100"))</f>
        <v/>
      </c>
      <c r="D407" s="10" t="str">
        <f>IF(OR($A407="",C407=0),"",ROUND(SUMIFS(Evaluations!$U$3:$U$10000,Evaluations!$G$3:$G$10000,$A407)/C407,2))</f>
        <v/>
      </c>
      <c r="E407" s="10" t="str">
        <f>IF($A407="","",COUNTIFS(Evaluations!$G$3:$G$10000,$A407,Evaluations!$M$3:$M$10000,"پاسخ داده شده"))</f>
        <v/>
      </c>
      <c r="F407" s="10" t="str">
        <f>IF($A407="","",IFERROR(COUNTIFS(Evaluations!$G$3:$G$10000,$A407,Evaluations!$O$3:$O$10000,"رعایت شده")/(COUNTIFS(Evaluations!$G$3:$G$10000,$A407,Evaluations!$O$3:$O$10000,"رعایت شده")+COUNTIFS(Evaluations!$G$3:$G$10000,$A407,Evaluations!$O$3:$O$10000,"رعایت نشده")),""))</f>
        <v/>
      </c>
      <c r="G407" s="10" t="str">
        <f>IF($A407="","",IFERROR(ROUND(100*COUNTIFS(Evaluations!$G$3:$G$10000,$A407,Evaluations!$Q$3:$Q$10000,1)/(COUNTIFS(Evaluations!$G$3:$G$10000,$A407,Evaluations!$Q$3:$Q$10000,1)+COUNTIFS(Evaluations!$G$3:$G$10000,$A407,Evaluations!$Q$3:$Q$10000,0)),2),""))</f>
        <v/>
      </c>
      <c r="H407" s="10" t="str">
        <f>IF($A407="","",IFERROR(ROUND(100*COUNTIFS(Evaluations!$G$3:$G$10000,$A407,Evaluations!$R$3:$R$10000,1)/(COUNTIFS(Evaluations!$G$3:$G$10000,$A407,Evaluations!$R$3:$R$10000,1)+COUNTIFS(Evaluations!$G$3:$G$10000,$A407,Evaluations!$R$3:$R$10000,0)),2),""))</f>
        <v/>
      </c>
      <c r="I407" s="10" t="str">
        <f>IF($A407="","",IFERROR(ROUND(100*COUNTIFS(Evaluations!$G$3:$G$10000,$A407,Evaluations!$S$3:$S$10000,1)/(COUNTIFS(Evaluations!$G$3:$G$10000,$A407,Evaluations!$S$3:$S$10000,1)+COUNTIFS(Evaluations!$G$3:$G$10000,$A407,Evaluations!$S$3:$S$10000,0)),2),""))</f>
        <v/>
      </c>
      <c r="J407" s="10" t="str">
        <f>IF($A407="","",IFERROR(ROUND(100*COUNTIFS(Evaluations!$G$3:$G$10000,$A407,Evaluations!$T$3:$T$10000,1)/(COUNTIFS(Evaluations!$G$3:$G$10000,$A407,Evaluations!$T$3:$T$10000,1)+COUNTIFS(Evaluations!$G$3:$G$10000,$A407,Evaluations!$T$3:$T$10000,0)),2),""))</f>
        <v/>
      </c>
      <c r="K407" s="10" t="str">
        <f>IF($A407="","",COUNTIFS(Evaluations!$G$3:$G$10000,$A407,Evaluations!$M$3:$M$10000,"عدم پاسخ"))</f>
        <v/>
      </c>
      <c r="L407" s="10" t="str">
        <f>IF($A407="","",COUNTIFS(Evaluations!$G$3:$G$10000,$A407,Evaluations!$O$3:$O$10000,"رعایت نشده"))</f>
        <v/>
      </c>
    </row>
    <row r="408">
      <c r="A408" s="10"/>
      <c r="B408" s="10" t="str">
        <f t="array" ref="B408">_xlfn.XLOOKUP(A408,DATA!D:D,DATA!E:E,"")</f>
        <v/>
      </c>
      <c r="C408" s="10" t="str">
        <f>IF($A408="","",COUNTIFS(Evaluations!$G$3:$G$10000,$A408,Evaluations!$U$3:$U$10000,"&gt;=0",Evaluations!$U$3:$U$10000,"&lt;=100"))</f>
        <v/>
      </c>
      <c r="D408" s="10" t="str">
        <f>IF(OR($A408="",C408=0),"",ROUND(SUMIFS(Evaluations!$U$3:$U$10000,Evaluations!$G$3:$G$10000,$A408)/C408,2))</f>
        <v/>
      </c>
      <c r="E408" s="10" t="str">
        <f>IF($A408="","",COUNTIFS(Evaluations!$G$3:$G$10000,$A408,Evaluations!$M$3:$M$10000,"پاسخ داده شده"))</f>
        <v/>
      </c>
      <c r="F408" s="10" t="str">
        <f>IF($A408="","",IFERROR(COUNTIFS(Evaluations!$G$3:$G$10000,$A408,Evaluations!$O$3:$O$10000,"رعایت شده")/(COUNTIFS(Evaluations!$G$3:$G$10000,$A408,Evaluations!$O$3:$O$10000,"رعایت شده")+COUNTIFS(Evaluations!$G$3:$G$10000,$A408,Evaluations!$O$3:$O$10000,"رعایت نشده")),""))</f>
        <v/>
      </c>
      <c r="G408" s="10" t="str">
        <f>IF($A408="","",IFERROR(ROUND(100*COUNTIFS(Evaluations!$G$3:$G$10000,$A408,Evaluations!$Q$3:$Q$10000,1)/(COUNTIFS(Evaluations!$G$3:$G$10000,$A408,Evaluations!$Q$3:$Q$10000,1)+COUNTIFS(Evaluations!$G$3:$G$10000,$A408,Evaluations!$Q$3:$Q$10000,0)),2),""))</f>
        <v/>
      </c>
      <c r="H408" s="10" t="str">
        <f>IF($A408="","",IFERROR(ROUND(100*COUNTIFS(Evaluations!$G$3:$G$10000,$A408,Evaluations!$R$3:$R$10000,1)/(COUNTIFS(Evaluations!$G$3:$G$10000,$A408,Evaluations!$R$3:$R$10000,1)+COUNTIFS(Evaluations!$G$3:$G$10000,$A408,Evaluations!$R$3:$R$10000,0)),2),""))</f>
        <v/>
      </c>
      <c r="I408" s="10" t="str">
        <f>IF($A408="","",IFERROR(ROUND(100*COUNTIFS(Evaluations!$G$3:$G$10000,$A408,Evaluations!$S$3:$S$10000,1)/(COUNTIFS(Evaluations!$G$3:$G$10000,$A408,Evaluations!$S$3:$S$10000,1)+COUNTIFS(Evaluations!$G$3:$G$10000,$A408,Evaluations!$S$3:$S$10000,0)),2),""))</f>
        <v/>
      </c>
      <c r="J408" s="10" t="str">
        <f>IF($A408="","",IFERROR(ROUND(100*COUNTIFS(Evaluations!$G$3:$G$10000,$A408,Evaluations!$T$3:$T$10000,1)/(COUNTIFS(Evaluations!$G$3:$G$10000,$A408,Evaluations!$T$3:$T$10000,1)+COUNTIFS(Evaluations!$G$3:$G$10000,$A408,Evaluations!$T$3:$T$10000,0)),2),""))</f>
        <v/>
      </c>
      <c r="K408" s="10" t="str">
        <f>IF($A408="","",COUNTIFS(Evaluations!$G$3:$G$10000,$A408,Evaluations!$M$3:$M$10000,"عدم پاسخ"))</f>
        <v/>
      </c>
      <c r="L408" s="10" t="str">
        <f>IF($A408="","",COUNTIFS(Evaluations!$G$3:$G$10000,$A408,Evaluations!$O$3:$O$10000,"رعایت نشده"))</f>
        <v/>
      </c>
    </row>
    <row r="409">
      <c r="A409" s="10"/>
      <c r="B409" s="10" t="str">
        <f t="array" ref="B409">_xlfn.XLOOKUP(A409,DATA!D:D,DATA!E:E,"")</f>
        <v/>
      </c>
      <c r="C409" s="10" t="str">
        <f>IF($A409="","",COUNTIFS(Evaluations!$G$3:$G$10000,$A409,Evaluations!$U$3:$U$10000,"&gt;=0",Evaluations!$U$3:$U$10000,"&lt;=100"))</f>
        <v/>
      </c>
      <c r="D409" s="10" t="str">
        <f>IF(OR($A409="",C409=0),"",ROUND(SUMIFS(Evaluations!$U$3:$U$10000,Evaluations!$G$3:$G$10000,$A409)/C409,2))</f>
        <v/>
      </c>
      <c r="E409" s="10" t="str">
        <f>IF($A409="","",COUNTIFS(Evaluations!$G$3:$G$10000,$A409,Evaluations!$M$3:$M$10000,"پاسخ داده شده"))</f>
        <v/>
      </c>
      <c r="F409" s="10" t="str">
        <f>IF($A409="","",IFERROR(COUNTIFS(Evaluations!$G$3:$G$10000,$A409,Evaluations!$O$3:$O$10000,"رعایت شده")/(COUNTIFS(Evaluations!$G$3:$G$10000,$A409,Evaluations!$O$3:$O$10000,"رعایت شده")+COUNTIFS(Evaluations!$G$3:$G$10000,$A409,Evaluations!$O$3:$O$10000,"رعایت نشده")),""))</f>
        <v/>
      </c>
      <c r="G409" s="10" t="str">
        <f>IF($A409="","",IFERROR(ROUND(100*COUNTIFS(Evaluations!$G$3:$G$10000,$A409,Evaluations!$Q$3:$Q$10000,1)/(COUNTIFS(Evaluations!$G$3:$G$10000,$A409,Evaluations!$Q$3:$Q$10000,1)+COUNTIFS(Evaluations!$G$3:$G$10000,$A409,Evaluations!$Q$3:$Q$10000,0)),2),""))</f>
        <v/>
      </c>
      <c r="H409" s="10" t="str">
        <f>IF($A409="","",IFERROR(ROUND(100*COUNTIFS(Evaluations!$G$3:$G$10000,$A409,Evaluations!$R$3:$R$10000,1)/(COUNTIFS(Evaluations!$G$3:$G$10000,$A409,Evaluations!$R$3:$R$10000,1)+COUNTIFS(Evaluations!$G$3:$G$10000,$A409,Evaluations!$R$3:$R$10000,0)),2),""))</f>
        <v/>
      </c>
      <c r="I409" s="10" t="str">
        <f>IF($A409="","",IFERROR(ROUND(100*COUNTIFS(Evaluations!$G$3:$G$10000,$A409,Evaluations!$S$3:$S$10000,1)/(COUNTIFS(Evaluations!$G$3:$G$10000,$A409,Evaluations!$S$3:$S$10000,1)+COUNTIFS(Evaluations!$G$3:$G$10000,$A409,Evaluations!$S$3:$S$10000,0)),2),""))</f>
        <v/>
      </c>
      <c r="J409" s="10" t="str">
        <f>IF($A409="","",IFERROR(ROUND(100*COUNTIFS(Evaluations!$G$3:$G$10000,$A409,Evaluations!$T$3:$T$10000,1)/(COUNTIFS(Evaluations!$G$3:$G$10000,$A409,Evaluations!$T$3:$T$10000,1)+COUNTIFS(Evaluations!$G$3:$G$10000,$A409,Evaluations!$T$3:$T$10000,0)),2),""))</f>
        <v/>
      </c>
      <c r="K409" s="10" t="str">
        <f>IF($A409="","",COUNTIFS(Evaluations!$G$3:$G$10000,$A409,Evaluations!$M$3:$M$10000,"عدم پاسخ"))</f>
        <v/>
      </c>
      <c r="L409" s="10" t="str">
        <f>IF($A409="","",COUNTIFS(Evaluations!$G$3:$G$10000,$A409,Evaluations!$O$3:$O$10000,"رعایت نشده"))</f>
        <v/>
      </c>
    </row>
    <row r="410">
      <c r="A410" s="10"/>
      <c r="B410" s="10" t="str">
        <f t="array" ref="B410">_xlfn.XLOOKUP(A410,DATA!D:D,DATA!E:E,"")</f>
        <v/>
      </c>
      <c r="C410" s="10" t="str">
        <f>IF($A410="","",COUNTIFS(Evaluations!$G$3:$G$10000,$A410,Evaluations!$U$3:$U$10000,"&gt;=0",Evaluations!$U$3:$U$10000,"&lt;=100"))</f>
        <v/>
      </c>
      <c r="D410" s="10" t="str">
        <f>IF(OR($A410="",C410=0),"",ROUND(SUMIFS(Evaluations!$U$3:$U$10000,Evaluations!$G$3:$G$10000,$A410)/C410,2))</f>
        <v/>
      </c>
      <c r="E410" s="10" t="str">
        <f>IF($A410="","",COUNTIFS(Evaluations!$G$3:$G$10000,$A410,Evaluations!$M$3:$M$10000,"پاسخ داده شده"))</f>
        <v/>
      </c>
      <c r="F410" s="10" t="str">
        <f>IF($A410="","",IFERROR(COUNTIFS(Evaluations!$G$3:$G$10000,$A410,Evaluations!$O$3:$O$10000,"رعایت شده")/(COUNTIFS(Evaluations!$G$3:$G$10000,$A410,Evaluations!$O$3:$O$10000,"رعایت شده")+COUNTIFS(Evaluations!$G$3:$G$10000,$A410,Evaluations!$O$3:$O$10000,"رعایت نشده")),""))</f>
        <v/>
      </c>
      <c r="G410" s="10" t="str">
        <f>IF($A410="","",IFERROR(ROUND(100*COUNTIFS(Evaluations!$G$3:$G$10000,$A410,Evaluations!$Q$3:$Q$10000,1)/(COUNTIFS(Evaluations!$G$3:$G$10000,$A410,Evaluations!$Q$3:$Q$10000,1)+COUNTIFS(Evaluations!$G$3:$G$10000,$A410,Evaluations!$Q$3:$Q$10000,0)),2),""))</f>
        <v/>
      </c>
      <c r="H410" s="10" t="str">
        <f>IF($A410="","",IFERROR(ROUND(100*COUNTIFS(Evaluations!$G$3:$G$10000,$A410,Evaluations!$R$3:$R$10000,1)/(COUNTIFS(Evaluations!$G$3:$G$10000,$A410,Evaluations!$R$3:$R$10000,1)+COUNTIFS(Evaluations!$G$3:$G$10000,$A410,Evaluations!$R$3:$R$10000,0)),2),""))</f>
        <v/>
      </c>
      <c r="I410" s="10" t="str">
        <f>IF($A410="","",IFERROR(ROUND(100*COUNTIFS(Evaluations!$G$3:$G$10000,$A410,Evaluations!$S$3:$S$10000,1)/(COUNTIFS(Evaluations!$G$3:$G$10000,$A410,Evaluations!$S$3:$S$10000,1)+COUNTIFS(Evaluations!$G$3:$G$10000,$A410,Evaluations!$S$3:$S$10000,0)),2),""))</f>
        <v/>
      </c>
      <c r="J410" s="10" t="str">
        <f>IF($A410="","",IFERROR(ROUND(100*COUNTIFS(Evaluations!$G$3:$G$10000,$A410,Evaluations!$T$3:$T$10000,1)/(COUNTIFS(Evaluations!$G$3:$G$10000,$A410,Evaluations!$T$3:$T$10000,1)+COUNTIFS(Evaluations!$G$3:$G$10000,$A410,Evaluations!$T$3:$T$10000,0)),2),""))</f>
        <v/>
      </c>
      <c r="K410" s="10" t="str">
        <f>IF($A410="","",COUNTIFS(Evaluations!$G$3:$G$10000,$A410,Evaluations!$M$3:$M$10000,"عدم پاسخ"))</f>
        <v/>
      </c>
      <c r="L410" s="10" t="str">
        <f>IF($A410="","",COUNTIFS(Evaluations!$G$3:$G$10000,$A410,Evaluations!$O$3:$O$10000,"رعایت نشده"))</f>
        <v/>
      </c>
    </row>
    <row r="411">
      <c r="A411" s="10"/>
      <c r="B411" s="10" t="str">
        <f t="array" ref="B411">_xlfn.XLOOKUP(A411,DATA!D:D,DATA!E:E,"")</f>
        <v/>
      </c>
      <c r="C411" s="10" t="str">
        <f>IF($A411="","",COUNTIFS(Evaluations!$G$3:$G$10000,$A411,Evaluations!$U$3:$U$10000,"&gt;=0",Evaluations!$U$3:$U$10000,"&lt;=100"))</f>
        <v/>
      </c>
      <c r="D411" s="10" t="str">
        <f>IF(OR($A411="",C411=0),"",ROUND(SUMIFS(Evaluations!$U$3:$U$10000,Evaluations!$G$3:$G$10000,$A411)/C411,2))</f>
        <v/>
      </c>
      <c r="E411" s="10" t="str">
        <f>IF($A411="","",COUNTIFS(Evaluations!$G$3:$G$10000,$A411,Evaluations!$M$3:$M$10000,"پاسخ داده شده"))</f>
        <v/>
      </c>
      <c r="F411" s="10" t="str">
        <f>IF($A411="","",IFERROR(COUNTIFS(Evaluations!$G$3:$G$10000,$A411,Evaluations!$O$3:$O$10000,"رعایت شده")/(COUNTIFS(Evaluations!$G$3:$G$10000,$A411,Evaluations!$O$3:$O$10000,"رعایت شده")+COUNTIFS(Evaluations!$G$3:$G$10000,$A411,Evaluations!$O$3:$O$10000,"رعایت نشده")),""))</f>
        <v/>
      </c>
      <c r="G411" s="10" t="str">
        <f>IF($A411="","",IFERROR(ROUND(100*COUNTIFS(Evaluations!$G$3:$G$10000,$A411,Evaluations!$Q$3:$Q$10000,1)/(COUNTIFS(Evaluations!$G$3:$G$10000,$A411,Evaluations!$Q$3:$Q$10000,1)+COUNTIFS(Evaluations!$G$3:$G$10000,$A411,Evaluations!$Q$3:$Q$10000,0)),2),""))</f>
        <v/>
      </c>
      <c r="H411" s="10" t="str">
        <f>IF($A411="","",IFERROR(ROUND(100*COUNTIFS(Evaluations!$G$3:$G$10000,$A411,Evaluations!$R$3:$R$10000,1)/(COUNTIFS(Evaluations!$G$3:$G$10000,$A411,Evaluations!$R$3:$R$10000,1)+COUNTIFS(Evaluations!$G$3:$G$10000,$A411,Evaluations!$R$3:$R$10000,0)),2),""))</f>
        <v/>
      </c>
      <c r="I411" s="10" t="str">
        <f>IF($A411="","",IFERROR(ROUND(100*COUNTIFS(Evaluations!$G$3:$G$10000,$A411,Evaluations!$S$3:$S$10000,1)/(COUNTIFS(Evaluations!$G$3:$G$10000,$A411,Evaluations!$S$3:$S$10000,1)+COUNTIFS(Evaluations!$G$3:$G$10000,$A411,Evaluations!$S$3:$S$10000,0)),2),""))</f>
        <v/>
      </c>
      <c r="J411" s="10" t="str">
        <f>IF($A411="","",IFERROR(ROUND(100*COUNTIFS(Evaluations!$G$3:$G$10000,$A411,Evaluations!$T$3:$T$10000,1)/(COUNTIFS(Evaluations!$G$3:$G$10000,$A411,Evaluations!$T$3:$T$10000,1)+COUNTIFS(Evaluations!$G$3:$G$10000,$A411,Evaluations!$T$3:$T$10000,0)),2),""))</f>
        <v/>
      </c>
      <c r="K411" s="10" t="str">
        <f>IF($A411="","",COUNTIFS(Evaluations!$G$3:$G$10000,$A411,Evaluations!$M$3:$M$10000,"عدم پاسخ"))</f>
        <v/>
      </c>
      <c r="L411" s="10" t="str">
        <f>IF($A411="","",COUNTIFS(Evaluations!$G$3:$G$10000,$A411,Evaluations!$O$3:$O$10000,"رعایت نشده"))</f>
        <v/>
      </c>
    </row>
    <row r="412">
      <c r="A412" s="10"/>
      <c r="B412" s="10" t="str">
        <f t="array" ref="B412">_xlfn.XLOOKUP(A412,DATA!D:D,DATA!E:E,"")</f>
        <v/>
      </c>
      <c r="C412" s="10" t="str">
        <f>IF($A412="","",COUNTIFS(Evaluations!$G$3:$G$10000,$A412,Evaluations!$U$3:$U$10000,"&gt;=0",Evaluations!$U$3:$U$10000,"&lt;=100"))</f>
        <v/>
      </c>
      <c r="D412" s="10" t="str">
        <f>IF(OR($A412="",C412=0),"",ROUND(SUMIFS(Evaluations!$U$3:$U$10000,Evaluations!$G$3:$G$10000,$A412)/C412,2))</f>
        <v/>
      </c>
      <c r="E412" s="10" t="str">
        <f>IF($A412="","",COUNTIFS(Evaluations!$G$3:$G$10000,$A412,Evaluations!$M$3:$M$10000,"پاسخ داده شده"))</f>
        <v/>
      </c>
      <c r="F412" s="10" t="str">
        <f>IF($A412="","",IFERROR(COUNTIFS(Evaluations!$G$3:$G$10000,$A412,Evaluations!$O$3:$O$10000,"رعایت شده")/(COUNTIFS(Evaluations!$G$3:$G$10000,$A412,Evaluations!$O$3:$O$10000,"رعایت شده")+COUNTIFS(Evaluations!$G$3:$G$10000,$A412,Evaluations!$O$3:$O$10000,"رعایت نشده")),""))</f>
        <v/>
      </c>
      <c r="G412" s="10" t="str">
        <f>IF($A412="","",IFERROR(ROUND(100*COUNTIFS(Evaluations!$G$3:$G$10000,$A412,Evaluations!$Q$3:$Q$10000,1)/(COUNTIFS(Evaluations!$G$3:$G$10000,$A412,Evaluations!$Q$3:$Q$10000,1)+COUNTIFS(Evaluations!$G$3:$G$10000,$A412,Evaluations!$Q$3:$Q$10000,0)),2),""))</f>
        <v/>
      </c>
      <c r="H412" s="10" t="str">
        <f>IF($A412="","",IFERROR(ROUND(100*COUNTIFS(Evaluations!$G$3:$G$10000,$A412,Evaluations!$R$3:$R$10000,1)/(COUNTIFS(Evaluations!$G$3:$G$10000,$A412,Evaluations!$R$3:$R$10000,1)+COUNTIFS(Evaluations!$G$3:$G$10000,$A412,Evaluations!$R$3:$R$10000,0)),2),""))</f>
        <v/>
      </c>
      <c r="I412" s="10" t="str">
        <f>IF($A412="","",IFERROR(ROUND(100*COUNTIFS(Evaluations!$G$3:$G$10000,$A412,Evaluations!$S$3:$S$10000,1)/(COUNTIFS(Evaluations!$G$3:$G$10000,$A412,Evaluations!$S$3:$S$10000,1)+COUNTIFS(Evaluations!$G$3:$G$10000,$A412,Evaluations!$S$3:$S$10000,0)),2),""))</f>
        <v/>
      </c>
      <c r="J412" s="10" t="str">
        <f>IF($A412="","",IFERROR(ROUND(100*COUNTIFS(Evaluations!$G$3:$G$10000,$A412,Evaluations!$T$3:$T$10000,1)/(COUNTIFS(Evaluations!$G$3:$G$10000,$A412,Evaluations!$T$3:$T$10000,1)+COUNTIFS(Evaluations!$G$3:$G$10000,$A412,Evaluations!$T$3:$T$10000,0)),2),""))</f>
        <v/>
      </c>
      <c r="K412" s="10" t="str">
        <f>IF($A412="","",COUNTIFS(Evaluations!$G$3:$G$10000,$A412,Evaluations!$M$3:$M$10000,"عدم پاسخ"))</f>
        <v/>
      </c>
      <c r="L412" s="10" t="str">
        <f>IF($A412="","",COUNTIFS(Evaluations!$G$3:$G$10000,$A412,Evaluations!$O$3:$O$10000,"رعایت نشده"))</f>
        <v/>
      </c>
    </row>
    <row r="413">
      <c r="A413" s="10"/>
      <c r="B413" s="10" t="str">
        <f t="array" ref="B413">_xlfn.XLOOKUP(A413,DATA!D:D,DATA!E:E,"")</f>
        <v/>
      </c>
      <c r="C413" s="10" t="str">
        <f>IF($A413="","",COUNTIFS(Evaluations!$G$3:$G$10000,$A413,Evaluations!$U$3:$U$10000,"&gt;=0",Evaluations!$U$3:$U$10000,"&lt;=100"))</f>
        <v/>
      </c>
      <c r="D413" s="10" t="str">
        <f>IF(OR($A413="",C413=0),"",ROUND(SUMIFS(Evaluations!$U$3:$U$10000,Evaluations!$G$3:$G$10000,$A413)/C413,2))</f>
        <v/>
      </c>
      <c r="E413" s="10" t="str">
        <f>IF($A413="","",COUNTIFS(Evaluations!$G$3:$G$10000,$A413,Evaluations!$M$3:$M$10000,"پاسخ داده شده"))</f>
        <v/>
      </c>
      <c r="F413" s="10" t="str">
        <f>IF($A413="","",IFERROR(COUNTIFS(Evaluations!$G$3:$G$10000,$A413,Evaluations!$O$3:$O$10000,"رعایت شده")/(COUNTIFS(Evaluations!$G$3:$G$10000,$A413,Evaluations!$O$3:$O$10000,"رعایت شده")+COUNTIFS(Evaluations!$G$3:$G$10000,$A413,Evaluations!$O$3:$O$10000,"رعایت نشده")),""))</f>
        <v/>
      </c>
      <c r="G413" s="10" t="str">
        <f>IF($A413="","",IFERROR(ROUND(100*COUNTIFS(Evaluations!$G$3:$G$10000,$A413,Evaluations!$Q$3:$Q$10000,1)/(COUNTIFS(Evaluations!$G$3:$G$10000,$A413,Evaluations!$Q$3:$Q$10000,1)+COUNTIFS(Evaluations!$G$3:$G$10000,$A413,Evaluations!$Q$3:$Q$10000,0)),2),""))</f>
        <v/>
      </c>
      <c r="H413" s="10" t="str">
        <f>IF($A413="","",IFERROR(ROUND(100*COUNTIFS(Evaluations!$G$3:$G$10000,$A413,Evaluations!$R$3:$R$10000,1)/(COUNTIFS(Evaluations!$G$3:$G$10000,$A413,Evaluations!$R$3:$R$10000,1)+COUNTIFS(Evaluations!$G$3:$G$10000,$A413,Evaluations!$R$3:$R$10000,0)),2),""))</f>
        <v/>
      </c>
      <c r="I413" s="10" t="str">
        <f>IF($A413="","",IFERROR(ROUND(100*COUNTIFS(Evaluations!$G$3:$G$10000,$A413,Evaluations!$S$3:$S$10000,1)/(COUNTIFS(Evaluations!$G$3:$G$10000,$A413,Evaluations!$S$3:$S$10000,1)+COUNTIFS(Evaluations!$G$3:$G$10000,$A413,Evaluations!$S$3:$S$10000,0)),2),""))</f>
        <v/>
      </c>
      <c r="J413" s="10" t="str">
        <f>IF($A413="","",IFERROR(ROUND(100*COUNTIFS(Evaluations!$G$3:$G$10000,$A413,Evaluations!$T$3:$T$10000,1)/(COUNTIFS(Evaluations!$G$3:$G$10000,$A413,Evaluations!$T$3:$T$10000,1)+COUNTIFS(Evaluations!$G$3:$G$10000,$A413,Evaluations!$T$3:$T$10000,0)),2),""))</f>
        <v/>
      </c>
      <c r="K413" s="10" t="str">
        <f>IF($A413="","",COUNTIFS(Evaluations!$G$3:$G$10000,$A413,Evaluations!$M$3:$M$10000,"عدم پاسخ"))</f>
        <v/>
      </c>
      <c r="L413" s="10" t="str">
        <f>IF($A413="","",COUNTIFS(Evaluations!$G$3:$G$10000,$A413,Evaluations!$O$3:$O$10000,"رعایت نشده"))</f>
        <v/>
      </c>
    </row>
    <row r="414">
      <c r="A414" s="10"/>
      <c r="B414" s="10" t="str">
        <f t="array" ref="B414">_xlfn.XLOOKUP(A414,DATA!D:D,DATA!E:E,"")</f>
        <v/>
      </c>
      <c r="C414" s="10" t="str">
        <f>IF($A414="","",COUNTIFS(Evaluations!$G$3:$G$10000,$A414,Evaluations!$U$3:$U$10000,"&gt;=0",Evaluations!$U$3:$U$10000,"&lt;=100"))</f>
        <v/>
      </c>
      <c r="D414" s="10" t="str">
        <f>IF(OR($A414="",C414=0),"",ROUND(SUMIFS(Evaluations!$U$3:$U$10000,Evaluations!$G$3:$G$10000,$A414)/C414,2))</f>
        <v/>
      </c>
      <c r="E414" s="10" t="str">
        <f>IF($A414="","",COUNTIFS(Evaluations!$G$3:$G$10000,$A414,Evaluations!$M$3:$M$10000,"پاسخ داده شده"))</f>
        <v/>
      </c>
      <c r="F414" s="10" t="str">
        <f>IF($A414="","",IFERROR(COUNTIFS(Evaluations!$G$3:$G$10000,$A414,Evaluations!$O$3:$O$10000,"رعایت شده")/(COUNTIFS(Evaluations!$G$3:$G$10000,$A414,Evaluations!$O$3:$O$10000,"رعایت شده")+COUNTIFS(Evaluations!$G$3:$G$10000,$A414,Evaluations!$O$3:$O$10000,"رعایت نشده")),""))</f>
        <v/>
      </c>
      <c r="G414" s="10" t="str">
        <f>IF($A414="","",IFERROR(ROUND(100*COUNTIFS(Evaluations!$G$3:$G$10000,$A414,Evaluations!$Q$3:$Q$10000,1)/(COUNTIFS(Evaluations!$G$3:$G$10000,$A414,Evaluations!$Q$3:$Q$10000,1)+COUNTIFS(Evaluations!$G$3:$G$10000,$A414,Evaluations!$Q$3:$Q$10000,0)),2),""))</f>
        <v/>
      </c>
      <c r="H414" s="10" t="str">
        <f>IF($A414="","",IFERROR(ROUND(100*COUNTIFS(Evaluations!$G$3:$G$10000,$A414,Evaluations!$R$3:$R$10000,1)/(COUNTIFS(Evaluations!$G$3:$G$10000,$A414,Evaluations!$R$3:$R$10000,1)+COUNTIFS(Evaluations!$G$3:$G$10000,$A414,Evaluations!$R$3:$R$10000,0)),2),""))</f>
        <v/>
      </c>
      <c r="I414" s="10" t="str">
        <f>IF($A414="","",IFERROR(ROUND(100*COUNTIFS(Evaluations!$G$3:$G$10000,$A414,Evaluations!$S$3:$S$10000,1)/(COUNTIFS(Evaluations!$G$3:$G$10000,$A414,Evaluations!$S$3:$S$10000,1)+COUNTIFS(Evaluations!$G$3:$G$10000,$A414,Evaluations!$S$3:$S$10000,0)),2),""))</f>
        <v/>
      </c>
      <c r="J414" s="10" t="str">
        <f>IF($A414="","",IFERROR(ROUND(100*COUNTIFS(Evaluations!$G$3:$G$10000,$A414,Evaluations!$T$3:$T$10000,1)/(COUNTIFS(Evaluations!$G$3:$G$10000,$A414,Evaluations!$T$3:$T$10000,1)+COUNTIFS(Evaluations!$G$3:$G$10000,$A414,Evaluations!$T$3:$T$10000,0)),2),""))</f>
        <v/>
      </c>
      <c r="K414" s="10" t="str">
        <f>IF($A414="","",COUNTIFS(Evaluations!$G$3:$G$10000,$A414,Evaluations!$M$3:$M$10000,"عدم پاسخ"))</f>
        <v/>
      </c>
      <c r="L414" s="10" t="str">
        <f>IF($A414="","",COUNTIFS(Evaluations!$G$3:$G$10000,$A414,Evaluations!$O$3:$O$10000,"رعایت نشده"))</f>
        <v/>
      </c>
    </row>
    <row r="415">
      <c r="A415" s="10"/>
      <c r="B415" s="10" t="str">
        <f t="array" ref="B415">_xlfn.XLOOKUP(A415,DATA!D:D,DATA!E:E,"")</f>
        <v/>
      </c>
      <c r="C415" s="10" t="str">
        <f>IF($A415="","",COUNTIFS(Evaluations!$G$3:$G$10000,$A415,Evaluations!$U$3:$U$10000,"&gt;=0",Evaluations!$U$3:$U$10000,"&lt;=100"))</f>
        <v/>
      </c>
      <c r="D415" s="10" t="str">
        <f>IF(OR($A415="",C415=0),"",ROUND(SUMIFS(Evaluations!$U$3:$U$10000,Evaluations!$G$3:$G$10000,$A415)/C415,2))</f>
        <v/>
      </c>
      <c r="E415" s="10" t="str">
        <f>IF($A415="","",COUNTIFS(Evaluations!$G$3:$G$10000,$A415,Evaluations!$M$3:$M$10000,"پاسخ داده شده"))</f>
        <v/>
      </c>
      <c r="F415" s="10" t="str">
        <f>IF($A415="","",IFERROR(COUNTIFS(Evaluations!$G$3:$G$10000,$A415,Evaluations!$O$3:$O$10000,"رعایت شده")/(COUNTIFS(Evaluations!$G$3:$G$10000,$A415,Evaluations!$O$3:$O$10000,"رعایت شده")+COUNTIFS(Evaluations!$G$3:$G$10000,$A415,Evaluations!$O$3:$O$10000,"رعایت نشده")),""))</f>
        <v/>
      </c>
      <c r="G415" s="10" t="str">
        <f>IF($A415="","",IFERROR(ROUND(100*COUNTIFS(Evaluations!$G$3:$G$10000,$A415,Evaluations!$Q$3:$Q$10000,1)/(COUNTIFS(Evaluations!$G$3:$G$10000,$A415,Evaluations!$Q$3:$Q$10000,1)+COUNTIFS(Evaluations!$G$3:$G$10000,$A415,Evaluations!$Q$3:$Q$10000,0)),2),""))</f>
        <v/>
      </c>
      <c r="H415" s="10" t="str">
        <f>IF($A415="","",IFERROR(ROUND(100*COUNTIFS(Evaluations!$G$3:$G$10000,$A415,Evaluations!$R$3:$R$10000,1)/(COUNTIFS(Evaluations!$G$3:$G$10000,$A415,Evaluations!$R$3:$R$10000,1)+COUNTIFS(Evaluations!$G$3:$G$10000,$A415,Evaluations!$R$3:$R$10000,0)),2),""))</f>
        <v/>
      </c>
      <c r="I415" s="10" t="str">
        <f>IF($A415="","",IFERROR(ROUND(100*COUNTIFS(Evaluations!$G$3:$G$10000,$A415,Evaluations!$S$3:$S$10000,1)/(COUNTIFS(Evaluations!$G$3:$G$10000,$A415,Evaluations!$S$3:$S$10000,1)+COUNTIFS(Evaluations!$G$3:$G$10000,$A415,Evaluations!$S$3:$S$10000,0)),2),""))</f>
        <v/>
      </c>
      <c r="J415" s="10" t="str">
        <f>IF($A415="","",IFERROR(ROUND(100*COUNTIFS(Evaluations!$G$3:$G$10000,$A415,Evaluations!$T$3:$T$10000,1)/(COUNTIFS(Evaluations!$G$3:$G$10000,$A415,Evaluations!$T$3:$T$10000,1)+COUNTIFS(Evaluations!$G$3:$G$10000,$A415,Evaluations!$T$3:$T$10000,0)),2),""))</f>
        <v/>
      </c>
      <c r="K415" s="10" t="str">
        <f>IF($A415="","",COUNTIFS(Evaluations!$G$3:$G$10000,$A415,Evaluations!$M$3:$M$10000,"عدم پاسخ"))</f>
        <v/>
      </c>
      <c r="L415" s="10" t="str">
        <f>IF($A415="","",COUNTIFS(Evaluations!$G$3:$G$10000,$A415,Evaluations!$O$3:$O$10000,"رعایت نشده"))</f>
        <v/>
      </c>
    </row>
    <row r="416">
      <c r="A416" s="10"/>
      <c r="B416" s="10" t="str">
        <f t="array" ref="B416">_xlfn.XLOOKUP(A416,DATA!D:D,DATA!E:E,"")</f>
        <v/>
      </c>
      <c r="C416" s="10" t="str">
        <f>IF($A416="","",COUNTIFS(Evaluations!$G$3:$G$10000,$A416,Evaluations!$U$3:$U$10000,"&gt;=0",Evaluations!$U$3:$U$10000,"&lt;=100"))</f>
        <v/>
      </c>
      <c r="D416" s="10" t="str">
        <f>IF(OR($A416="",C416=0),"",ROUND(SUMIFS(Evaluations!$U$3:$U$10000,Evaluations!$G$3:$G$10000,$A416)/C416,2))</f>
        <v/>
      </c>
      <c r="E416" s="10" t="str">
        <f>IF($A416="","",COUNTIFS(Evaluations!$G$3:$G$10000,$A416,Evaluations!$M$3:$M$10000,"پاسخ داده شده"))</f>
        <v/>
      </c>
      <c r="F416" s="10" t="str">
        <f>IF($A416="","",IFERROR(COUNTIFS(Evaluations!$G$3:$G$10000,$A416,Evaluations!$O$3:$O$10000,"رعایت شده")/(COUNTIFS(Evaluations!$G$3:$G$10000,$A416,Evaluations!$O$3:$O$10000,"رعایت شده")+COUNTIFS(Evaluations!$G$3:$G$10000,$A416,Evaluations!$O$3:$O$10000,"رعایت نشده")),""))</f>
        <v/>
      </c>
      <c r="G416" s="10" t="str">
        <f>IF($A416="","",IFERROR(ROUND(100*COUNTIFS(Evaluations!$G$3:$G$10000,$A416,Evaluations!$Q$3:$Q$10000,1)/(COUNTIFS(Evaluations!$G$3:$G$10000,$A416,Evaluations!$Q$3:$Q$10000,1)+COUNTIFS(Evaluations!$G$3:$G$10000,$A416,Evaluations!$Q$3:$Q$10000,0)),2),""))</f>
        <v/>
      </c>
      <c r="H416" s="10" t="str">
        <f>IF($A416="","",IFERROR(ROUND(100*COUNTIFS(Evaluations!$G$3:$G$10000,$A416,Evaluations!$R$3:$R$10000,1)/(COUNTIFS(Evaluations!$G$3:$G$10000,$A416,Evaluations!$R$3:$R$10000,1)+COUNTIFS(Evaluations!$G$3:$G$10000,$A416,Evaluations!$R$3:$R$10000,0)),2),""))</f>
        <v/>
      </c>
      <c r="I416" s="10" t="str">
        <f>IF($A416="","",IFERROR(ROUND(100*COUNTIFS(Evaluations!$G$3:$G$10000,$A416,Evaluations!$S$3:$S$10000,1)/(COUNTIFS(Evaluations!$G$3:$G$10000,$A416,Evaluations!$S$3:$S$10000,1)+COUNTIFS(Evaluations!$G$3:$G$10000,$A416,Evaluations!$S$3:$S$10000,0)),2),""))</f>
        <v/>
      </c>
      <c r="J416" s="10" t="str">
        <f>IF($A416="","",IFERROR(ROUND(100*COUNTIFS(Evaluations!$G$3:$G$10000,$A416,Evaluations!$T$3:$T$10000,1)/(COUNTIFS(Evaluations!$G$3:$G$10000,$A416,Evaluations!$T$3:$T$10000,1)+COUNTIFS(Evaluations!$G$3:$G$10000,$A416,Evaluations!$T$3:$T$10000,0)),2),""))</f>
        <v/>
      </c>
      <c r="K416" s="10" t="str">
        <f>IF($A416="","",COUNTIFS(Evaluations!$G$3:$G$10000,$A416,Evaluations!$M$3:$M$10000,"عدم پاسخ"))</f>
        <v/>
      </c>
      <c r="L416" s="10" t="str">
        <f>IF($A416="","",COUNTIFS(Evaluations!$G$3:$G$10000,$A416,Evaluations!$O$3:$O$10000,"رعایت نشده"))</f>
        <v/>
      </c>
    </row>
    <row r="417">
      <c r="A417" s="10"/>
      <c r="B417" s="10" t="str">
        <f t="array" ref="B417">_xlfn.XLOOKUP(A417,DATA!D:D,DATA!E:E,"")</f>
        <v/>
      </c>
      <c r="C417" s="10" t="str">
        <f>IF($A417="","",COUNTIFS(Evaluations!$G$3:$G$10000,$A417,Evaluations!$U$3:$U$10000,"&gt;=0",Evaluations!$U$3:$U$10000,"&lt;=100"))</f>
        <v/>
      </c>
      <c r="D417" s="10" t="str">
        <f>IF(OR($A417="",C417=0),"",ROUND(SUMIFS(Evaluations!$U$3:$U$10000,Evaluations!$G$3:$G$10000,$A417)/C417,2))</f>
        <v/>
      </c>
      <c r="E417" s="10" t="str">
        <f>IF($A417="","",COUNTIFS(Evaluations!$G$3:$G$10000,$A417,Evaluations!$M$3:$M$10000,"پاسخ داده شده"))</f>
        <v/>
      </c>
      <c r="F417" s="10" t="str">
        <f>IF($A417="","",IFERROR(COUNTIFS(Evaluations!$G$3:$G$10000,$A417,Evaluations!$O$3:$O$10000,"رعایت شده")/(COUNTIFS(Evaluations!$G$3:$G$10000,$A417,Evaluations!$O$3:$O$10000,"رعایت شده")+COUNTIFS(Evaluations!$G$3:$G$10000,$A417,Evaluations!$O$3:$O$10000,"رعایت نشده")),""))</f>
        <v/>
      </c>
      <c r="G417" s="10" t="str">
        <f>IF($A417="","",IFERROR(ROUND(100*COUNTIFS(Evaluations!$G$3:$G$10000,$A417,Evaluations!$Q$3:$Q$10000,1)/(COUNTIFS(Evaluations!$G$3:$G$10000,$A417,Evaluations!$Q$3:$Q$10000,1)+COUNTIFS(Evaluations!$G$3:$G$10000,$A417,Evaluations!$Q$3:$Q$10000,0)),2),""))</f>
        <v/>
      </c>
      <c r="H417" s="10" t="str">
        <f>IF($A417="","",IFERROR(ROUND(100*COUNTIFS(Evaluations!$G$3:$G$10000,$A417,Evaluations!$R$3:$R$10000,1)/(COUNTIFS(Evaluations!$G$3:$G$10000,$A417,Evaluations!$R$3:$R$10000,1)+COUNTIFS(Evaluations!$G$3:$G$10000,$A417,Evaluations!$R$3:$R$10000,0)),2),""))</f>
        <v/>
      </c>
      <c r="I417" s="10" t="str">
        <f>IF($A417="","",IFERROR(ROUND(100*COUNTIFS(Evaluations!$G$3:$G$10000,$A417,Evaluations!$S$3:$S$10000,1)/(COUNTIFS(Evaluations!$G$3:$G$10000,$A417,Evaluations!$S$3:$S$10000,1)+COUNTIFS(Evaluations!$G$3:$G$10000,$A417,Evaluations!$S$3:$S$10000,0)),2),""))</f>
        <v/>
      </c>
      <c r="J417" s="10" t="str">
        <f>IF($A417="","",IFERROR(ROUND(100*COUNTIFS(Evaluations!$G$3:$G$10000,$A417,Evaluations!$T$3:$T$10000,1)/(COUNTIFS(Evaluations!$G$3:$G$10000,$A417,Evaluations!$T$3:$T$10000,1)+COUNTIFS(Evaluations!$G$3:$G$10000,$A417,Evaluations!$T$3:$T$10000,0)),2),""))</f>
        <v/>
      </c>
      <c r="K417" s="10" t="str">
        <f>IF($A417="","",COUNTIFS(Evaluations!$G$3:$G$10000,$A417,Evaluations!$M$3:$M$10000,"عدم پاسخ"))</f>
        <v/>
      </c>
      <c r="L417" s="10" t="str">
        <f>IF($A417="","",COUNTIFS(Evaluations!$G$3:$G$10000,$A417,Evaluations!$O$3:$O$10000,"رعایت نشده"))</f>
        <v/>
      </c>
    </row>
    <row r="418">
      <c r="A418" s="10"/>
      <c r="B418" s="10" t="str">
        <f t="array" ref="B418">_xlfn.XLOOKUP(A418,DATA!D:D,DATA!E:E,"")</f>
        <v/>
      </c>
      <c r="C418" s="10" t="str">
        <f>IF($A418="","",COUNTIFS(Evaluations!$G$3:$G$10000,$A418,Evaluations!$U$3:$U$10000,"&gt;=0",Evaluations!$U$3:$U$10000,"&lt;=100"))</f>
        <v/>
      </c>
      <c r="D418" s="10" t="str">
        <f>IF(OR($A418="",C418=0),"",ROUND(SUMIFS(Evaluations!$U$3:$U$10000,Evaluations!$G$3:$G$10000,$A418)/C418,2))</f>
        <v/>
      </c>
      <c r="E418" s="10" t="str">
        <f>IF($A418="","",COUNTIFS(Evaluations!$G$3:$G$10000,$A418,Evaluations!$M$3:$M$10000,"پاسخ داده شده"))</f>
        <v/>
      </c>
      <c r="F418" s="10" t="str">
        <f>IF($A418="","",IFERROR(COUNTIFS(Evaluations!$G$3:$G$10000,$A418,Evaluations!$O$3:$O$10000,"رعایت شده")/(COUNTIFS(Evaluations!$G$3:$G$10000,$A418,Evaluations!$O$3:$O$10000,"رعایت شده")+COUNTIFS(Evaluations!$G$3:$G$10000,$A418,Evaluations!$O$3:$O$10000,"رعایت نشده")),""))</f>
        <v/>
      </c>
      <c r="G418" s="10" t="str">
        <f>IF($A418="","",IFERROR(ROUND(100*COUNTIFS(Evaluations!$G$3:$G$10000,$A418,Evaluations!$Q$3:$Q$10000,1)/(COUNTIFS(Evaluations!$G$3:$G$10000,$A418,Evaluations!$Q$3:$Q$10000,1)+COUNTIFS(Evaluations!$G$3:$G$10000,$A418,Evaluations!$Q$3:$Q$10000,0)),2),""))</f>
        <v/>
      </c>
      <c r="H418" s="10" t="str">
        <f>IF($A418="","",IFERROR(ROUND(100*COUNTIFS(Evaluations!$G$3:$G$10000,$A418,Evaluations!$R$3:$R$10000,1)/(COUNTIFS(Evaluations!$G$3:$G$10000,$A418,Evaluations!$R$3:$R$10000,1)+COUNTIFS(Evaluations!$G$3:$G$10000,$A418,Evaluations!$R$3:$R$10000,0)),2),""))</f>
        <v/>
      </c>
      <c r="I418" s="10" t="str">
        <f>IF($A418="","",IFERROR(ROUND(100*COUNTIFS(Evaluations!$G$3:$G$10000,$A418,Evaluations!$S$3:$S$10000,1)/(COUNTIFS(Evaluations!$G$3:$G$10000,$A418,Evaluations!$S$3:$S$10000,1)+COUNTIFS(Evaluations!$G$3:$G$10000,$A418,Evaluations!$S$3:$S$10000,0)),2),""))</f>
        <v/>
      </c>
      <c r="J418" s="10" t="str">
        <f>IF($A418="","",IFERROR(ROUND(100*COUNTIFS(Evaluations!$G$3:$G$10000,$A418,Evaluations!$T$3:$T$10000,1)/(COUNTIFS(Evaluations!$G$3:$G$10000,$A418,Evaluations!$T$3:$T$10000,1)+COUNTIFS(Evaluations!$G$3:$G$10000,$A418,Evaluations!$T$3:$T$10000,0)),2),""))</f>
        <v/>
      </c>
      <c r="K418" s="10" t="str">
        <f>IF($A418="","",COUNTIFS(Evaluations!$G$3:$G$10000,$A418,Evaluations!$M$3:$M$10000,"عدم پاسخ"))</f>
        <v/>
      </c>
      <c r="L418" s="10" t="str">
        <f>IF($A418="","",COUNTIFS(Evaluations!$G$3:$G$10000,$A418,Evaluations!$O$3:$O$10000,"رعایت نشده"))</f>
        <v/>
      </c>
    </row>
    <row r="419">
      <c r="A419" s="10"/>
      <c r="B419" s="10" t="str">
        <f t="array" ref="B419">_xlfn.XLOOKUP(A419,DATA!D:D,DATA!E:E,"")</f>
        <v/>
      </c>
      <c r="C419" s="10" t="str">
        <f>IF($A419="","",COUNTIFS(Evaluations!$G$3:$G$10000,$A419,Evaluations!$U$3:$U$10000,"&gt;=0",Evaluations!$U$3:$U$10000,"&lt;=100"))</f>
        <v/>
      </c>
      <c r="D419" s="10" t="str">
        <f>IF(OR($A419="",C419=0),"",ROUND(SUMIFS(Evaluations!$U$3:$U$10000,Evaluations!$G$3:$G$10000,$A419)/C419,2))</f>
        <v/>
      </c>
      <c r="E419" s="10" t="str">
        <f>IF($A419="","",COUNTIFS(Evaluations!$G$3:$G$10000,$A419,Evaluations!$M$3:$M$10000,"پاسخ داده شده"))</f>
        <v/>
      </c>
      <c r="F419" s="10" t="str">
        <f>IF($A419="","",IFERROR(COUNTIFS(Evaluations!$G$3:$G$10000,$A419,Evaluations!$O$3:$O$10000,"رعایت شده")/(COUNTIFS(Evaluations!$G$3:$G$10000,$A419,Evaluations!$O$3:$O$10000,"رعایت شده")+COUNTIFS(Evaluations!$G$3:$G$10000,$A419,Evaluations!$O$3:$O$10000,"رعایت نشده")),""))</f>
        <v/>
      </c>
      <c r="G419" s="10" t="str">
        <f>IF($A419="","",IFERROR(ROUND(100*COUNTIFS(Evaluations!$G$3:$G$10000,$A419,Evaluations!$Q$3:$Q$10000,1)/(COUNTIFS(Evaluations!$G$3:$G$10000,$A419,Evaluations!$Q$3:$Q$10000,1)+COUNTIFS(Evaluations!$G$3:$G$10000,$A419,Evaluations!$Q$3:$Q$10000,0)),2),""))</f>
        <v/>
      </c>
      <c r="H419" s="10" t="str">
        <f>IF($A419="","",IFERROR(ROUND(100*COUNTIFS(Evaluations!$G$3:$G$10000,$A419,Evaluations!$R$3:$R$10000,1)/(COUNTIFS(Evaluations!$G$3:$G$10000,$A419,Evaluations!$R$3:$R$10000,1)+COUNTIFS(Evaluations!$G$3:$G$10000,$A419,Evaluations!$R$3:$R$10000,0)),2),""))</f>
        <v/>
      </c>
      <c r="I419" s="10" t="str">
        <f>IF($A419="","",IFERROR(ROUND(100*COUNTIFS(Evaluations!$G$3:$G$10000,$A419,Evaluations!$S$3:$S$10000,1)/(COUNTIFS(Evaluations!$G$3:$G$10000,$A419,Evaluations!$S$3:$S$10000,1)+COUNTIFS(Evaluations!$G$3:$G$10000,$A419,Evaluations!$S$3:$S$10000,0)),2),""))</f>
        <v/>
      </c>
      <c r="J419" s="10" t="str">
        <f>IF($A419="","",IFERROR(ROUND(100*COUNTIFS(Evaluations!$G$3:$G$10000,$A419,Evaluations!$T$3:$T$10000,1)/(COUNTIFS(Evaluations!$G$3:$G$10000,$A419,Evaluations!$T$3:$T$10000,1)+COUNTIFS(Evaluations!$G$3:$G$10000,$A419,Evaluations!$T$3:$T$10000,0)),2),""))</f>
        <v/>
      </c>
      <c r="K419" s="10" t="str">
        <f>IF($A419="","",COUNTIFS(Evaluations!$G$3:$G$10000,$A419,Evaluations!$M$3:$M$10000,"عدم پاسخ"))</f>
        <v/>
      </c>
      <c r="L419" s="10" t="str">
        <f>IF($A419="","",COUNTIFS(Evaluations!$G$3:$G$10000,$A419,Evaluations!$O$3:$O$10000,"رعایت نشده"))</f>
        <v/>
      </c>
    </row>
    <row r="420">
      <c r="A420" s="10"/>
      <c r="B420" s="10" t="str">
        <f t="array" ref="B420">_xlfn.XLOOKUP(A420,DATA!D:D,DATA!E:E,"")</f>
        <v/>
      </c>
      <c r="C420" s="10" t="str">
        <f>IF($A420="","",COUNTIFS(Evaluations!$G$3:$G$10000,$A420,Evaluations!$U$3:$U$10000,"&gt;=0",Evaluations!$U$3:$U$10000,"&lt;=100"))</f>
        <v/>
      </c>
      <c r="D420" s="10" t="str">
        <f>IF(OR($A420="",C420=0),"",ROUND(SUMIFS(Evaluations!$U$3:$U$10000,Evaluations!$G$3:$G$10000,$A420)/C420,2))</f>
        <v/>
      </c>
      <c r="E420" s="10" t="str">
        <f>IF($A420="","",COUNTIFS(Evaluations!$G$3:$G$10000,$A420,Evaluations!$M$3:$M$10000,"پاسخ داده شده"))</f>
        <v/>
      </c>
      <c r="F420" s="10" t="str">
        <f>IF($A420="","",IFERROR(COUNTIFS(Evaluations!$G$3:$G$10000,$A420,Evaluations!$O$3:$O$10000,"رعایت شده")/(COUNTIFS(Evaluations!$G$3:$G$10000,$A420,Evaluations!$O$3:$O$10000,"رعایت شده")+COUNTIFS(Evaluations!$G$3:$G$10000,$A420,Evaluations!$O$3:$O$10000,"رعایت نشده")),""))</f>
        <v/>
      </c>
      <c r="G420" s="10" t="str">
        <f>IF($A420="","",IFERROR(ROUND(100*COUNTIFS(Evaluations!$G$3:$G$10000,$A420,Evaluations!$Q$3:$Q$10000,1)/(COUNTIFS(Evaluations!$G$3:$G$10000,$A420,Evaluations!$Q$3:$Q$10000,1)+COUNTIFS(Evaluations!$G$3:$G$10000,$A420,Evaluations!$Q$3:$Q$10000,0)),2),""))</f>
        <v/>
      </c>
      <c r="H420" s="10" t="str">
        <f>IF($A420="","",IFERROR(ROUND(100*COUNTIFS(Evaluations!$G$3:$G$10000,$A420,Evaluations!$R$3:$R$10000,1)/(COUNTIFS(Evaluations!$G$3:$G$10000,$A420,Evaluations!$R$3:$R$10000,1)+COUNTIFS(Evaluations!$G$3:$G$10000,$A420,Evaluations!$R$3:$R$10000,0)),2),""))</f>
        <v/>
      </c>
      <c r="I420" s="10" t="str">
        <f>IF($A420="","",IFERROR(ROUND(100*COUNTIFS(Evaluations!$G$3:$G$10000,$A420,Evaluations!$S$3:$S$10000,1)/(COUNTIFS(Evaluations!$G$3:$G$10000,$A420,Evaluations!$S$3:$S$10000,1)+COUNTIFS(Evaluations!$G$3:$G$10000,$A420,Evaluations!$S$3:$S$10000,0)),2),""))</f>
        <v/>
      </c>
      <c r="J420" s="10" t="str">
        <f>IF($A420="","",IFERROR(ROUND(100*COUNTIFS(Evaluations!$G$3:$G$10000,$A420,Evaluations!$T$3:$T$10000,1)/(COUNTIFS(Evaluations!$G$3:$G$10000,$A420,Evaluations!$T$3:$T$10000,1)+COUNTIFS(Evaluations!$G$3:$G$10000,$A420,Evaluations!$T$3:$T$10000,0)),2),""))</f>
        <v/>
      </c>
      <c r="K420" s="10" t="str">
        <f>IF($A420="","",COUNTIFS(Evaluations!$G$3:$G$10000,$A420,Evaluations!$M$3:$M$10000,"عدم پاسخ"))</f>
        <v/>
      </c>
      <c r="L420" s="10" t="str">
        <f>IF($A420="","",COUNTIFS(Evaluations!$G$3:$G$10000,$A420,Evaluations!$O$3:$O$10000,"رعایت نشده"))</f>
        <v/>
      </c>
    </row>
    <row r="421">
      <c r="A421" s="10"/>
      <c r="B421" s="10" t="str">
        <f t="array" ref="B421">_xlfn.XLOOKUP(A421,DATA!D:D,DATA!E:E,"")</f>
        <v/>
      </c>
      <c r="C421" s="10" t="str">
        <f>IF($A421="","",COUNTIFS(Evaluations!$G$3:$G$10000,$A421,Evaluations!$U$3:$U$10000,"&gt;=0",Evaluations!$U$3:$U$10000,"&lt;=100"))</f>
        <v/>
      </c>
      <c r="D421" s="10" t="str">
        <f>IF(OR($A421="",C421=0),"",ROUND(SUMIFS(Evaluations!$U$3:$U$10000,Evaluations!$G$3:$G$10000,$A421)/C421,2))</f>
        <v/>
      </c>
      <c r="E421" s="10" t="str">
        <f>IF($A421="","",COUNTIFS(Evaluations!$G$3:$G$10000,$A421,Evaluations!$M$3:$M$10000,"پاسخ داده شده"))</f>
        <v/>
      </c>
      <c r="F421" s="10" t="str">
        <f>IF($A421="","",IFERROR(COUNTIFS(Evaluations!$G$3:$G$10000,$A421,Evaluations!$O$3:$O$10000,"رعایت شده")/(COUNTIFS(Evaluations!$G$3:$G$10000,$A421,Evaluations!$O$3:$O$10000,"رعایت شده")+COUNTIFS(Evaluations!$G$3:$G$10000,$A421,Evaluations!$O$3:$O$10000,"رعایت نشده")),""))</f>
        <v/>
      </c>
      <c r="G421" s="10" t="str">
        <f>IF($A421="","",IFERROR(ROUND(100*COUNTIFS(Evaluations!$G$3:$G$10000,$A421,Evaluations!$Q$3:$Q$10000,1)/(COUNTIFS(Evaluations!$G$3:$G$10000,$A421,Evaluations!$Q$3:$Q$10000,1)+COUNTIFS(Evaluations!$G$3:$G$10000,$A421,Evaluations!$Q$3:$Q$10000,0)),2),""))</f>
        <v/>
      </c>
      <c r="H421" s="10" t="str">
        <f>IF($A421="","",IFERROR(ROUND(100*COUNTIFS(Evaluations!$G$3:$G$10000,$A421,Evaluations!$R$3:$R$10000,1)/(COUNTIFS(Evaluations!$G$3:$G$10000,$A421,Evaluations!$R$3:$R$10000,1)+COUNTIFS(Evaluations!$G$3:$G$10000,$A421,Evaluations!$R$3:$R$10000,0)),2),""))</f>
        <v/>
      </c>
      <c r="I421" s="10" t="str">
        <f>IF($A421="","",IFERROR(ROUND(100*COUNTIFS(Evaluations!$G$3:$G$10000,$A421,Evaluations!$S$3:$S$10000,1)/(COUNTIFS(Evaluations!$G$3:$G$10000,$A421,Evaluations!$S$3:$S$10000,1)+COUNTIFS(Evaluations!$G$3:$G$10000,$A421,Evaluations!$S$3:$S$10000,0)),2),""))</f>
        <v/>
      </c>
      <c r="J421" s="10" t="str">
        <f>IF($A421="","",IFERROR(ROUND(100*COUNTIFS(Evaluations!$G$3:$G$10000,$A421,Evaluations!$T$3:$T$10000,1)/(COUNTIFS(Evaluations!$G$3:$G$10000,$A421,Evaluations!$T$3:$T$10000,1)+COUNTIFS(Evaluations!$G$3:$G$10000,$A421,Evaluations!$T$3:$T$10000,0)),2),""))</f>
        <v/>
      </c>
      <c r="K421" s="10" t="str">
        <f>IF($A421="","",COUNTIFS(Evaluations!$G$3:$G$10000,$A421,Evaluations!$M$3:$M$10000,"عدم پاسخ"))</f>
        <v/>
      </c>
      <c r="L421" s="10" t="str">
        <f>IF($A421="","",COUNTIFS(Evaluations!$G$3:$G$10000,$A421,Evaluations!$O$3:$O$10000,"رعایت نشده"))</f>
        <v/>
      </c>
    </row>
    <row r="422">
      <c r="A422" s="10"/>
      <c r="B422" s="10" t="str">
        <f t="array" ref="B422">_xlfn.XLOOKUP(A422,DATA!D:D,DATA!E:E,"")</f>
        <v/>
      </c>
      <c r="C422" s="10" t="str">
        <f>IF($A422="","",COUNTIFS(Evaluations!$G$3:$G$10000,$A422,Evaluations!$U$3:$U$10000,"&gt;=0",Evaluations!$U$3:$U$10000,"&lt;=100"))</f>
        <v/>
      </c>
      <c r="D422" s="10" t="str">
        <f>IF(OR($A422="",C422=0),"",ROUND(SUMIFS(Evaluations!$U$3:$U$10000,Evaluations!$G$3:$G$10000,$A422)/C422,2))</f>
        <v/>
      </c>
      <c r="E422" s="10" t="str">
        <f>IF($A422="","",COUNTIFS(Evaluations!$G$3:$G$10000,$A422,Evaluations!$M$3:$M$10000,"پاسخ داده شده"))</f>
        <v/>
      </c>
      <c r="F422" s="10" t="str">
        <f>IF($A422="","",IFERROR(COUNTIFS(Evaluations!$G$3:$G$10000,$A422,Evaluations!$O$3:$O$10000,"رعایت شده")/(COUNTIFS(Evaluations!$G$3:$G$10000,$A422,Evaluations!$O$3:$O$10000,"رعایت شده")+COUNTIFS(Evaluations!$G$3:$G$10000,$A422,Evaluations!$O$3:$O$10000,"رعایت نشده")),""))</f>
        <v/>
      </c>
      <c r="G422" s="10" t="str">
        <f>IF($A422="","",IFERROR(ROUND(100*COUNTIFS(Evaluations!$G$3:$G$10000,$A422,Evaluations!$Q$3:$Q$10000,1)/(COUNTIFS(Evaluations!$G$3:$G$10000,$A422,Evaluations!$Q$3:$Q$10000,1)+COUNTIFS(Evaluations!$G$3:$G$10000,$A422,Evaluations!$Q$3:$Q$10000,0)),2),""))</f>
        <v/>
      </c>
      <c r="H422" s="10" t="str">
        <f>IF($A422="","",IFERROR(ROUND(100*COUNTIFS(Evaluations!$G$3:$G$10000,$A422,Evaluations!$R$3:$R$10000,1)/(COUNTIFS(Evaluations!$G$3:$G$10000,$A422,Evaluations!$R$3:$R$10000,1)+COUNTIFS(Evaluations!$G$3:$G$10000,$A422,Evaluations!$R$3:$R$10000,0)),2),""))</f>
        <v/>
      </c>
      <c r="I422" s="10" t="str">
        <f>IF($A422="","",IFERROR(ROUND(100*COUNTIFS(Evaluations!$G$3:$G$10000,$A422,Evaluations!$S$3:$S$10000,1)/(COUNTIFS(Evaluations!$G$3:$G$10000,$A422,Evaluations!$S$3:$S$10000,1)+COUNTIFS(Evaluations!$G$3:$G$10000,$A422,Evaluations!$S$3:$S$10000,0)),2),""))</f>
        <v/>
      </c>
      <c r="J422" s="10" t="str">
        <f>IF($A422="","",IFERROR(ROUND(100*COUNTIFS(Evaluations!$G$3:$G$10000,$A422,Evaluations!$T$3:$T$10000,1)/(COUNTIFS(Evaluations!$G$3:$G$10000,$A422,Evaluations!$T$3:$T$10000,1)+COUNTIFS(Evaluations!$G$3:$G$10000,$A422,Evaluations!$T$3:$T$10000,0)),2),""))</f>
        <v/>
      </c>
      <c r="K422" s="10" t="str">
        <f>IF($A422="","",COUNTIFS(Evaluations!$G$3:$G$10000,$A422,Evaluations!$M$3:$M$10000,"عدم پاسخ"))</f>
        <v/>
      </c>
      <c r="L422" s="10" t="str">
        <f>IF($A422="","",COUNTIFS(Evaluations!$G$3:$G$10000,$A422,Evaluations!$O$3:$O$10000,"رعایت نشده"))</f>
        <v/>
      </c>
    </row>
    <row r="423">
      <c r="A423" s="10"/>
      <c r="B423" s="10" t="str">
        <f t="array" ref="B423">_xlfn.XLOOKUP(A423,DATA!D:D,DATA!E:E,"")</f>
        <v/>
      </c>
      <c r="C423" s="10" t="str">
        <f>IF($A423="","",COUNTIFS(Evaluations!$G$3:$G$10000,$A423,Evaluations!$U$3:$U$10000,"&gt;=0",Evaluations!$U$3:$U$10000,"&lt;=100"))</f>
        <v/>
      </c>
      <c r="D423" s="10" t="str">
        <f>IF(OR($A423="",C423=0),"",ROUND(SUMIFS(Evaluations!$U$3:$U$10000,Evaluations!$G$3:$G$10000,$A423)/C423,2))</f>
        <v/>
      </c>
      <c r="E423" s="10" t="str">
        <f>IF($A423="","",COUNTIFS(Evaluations!$G$3:$G$10000,$A423,Evaluations!$M$3:$M$10000,"پاسخ داده شده"))</f>
        <v/>
      </c>
      <c r="F423" s="10" t="str">
        <f>IF($A423="","",IFERROR(COUNTIFS(Evaluations!$G$3:$G$10000,$A423,Evaluations!$O$3:$O$10000,"رعایت شده")/(COUNTIFS(Evaluations!$G$3:$G$10000,$A423,Evaluations!$O$3:$O$10000,"رعایت شده")+COUNTIFS(Evaluations!$G$3:$G$10000,$A423,Evaluations!$O$3:$O$10000,"رعایت نشده")),""))</f>
        <v/>
      </c>
      <c r="G423" s="10" t="str">
        <f>IF($A423="","",IFERROR(ROUND(100*COUNTIFS(Evaluations!$G$3:$G$10000,$A423,Evaluations!$Q$3:$Q$10000,1)/(COUNTIFS(Evaluations!$G$3:$G$10000,$A423,Evaluations!$Q$3:$Q$10000,1)+COUNTIFS(Evaluations!$G$3:$G$10000,$A423,Evaluations!$Q$3:$Q$10000,0)),2),""))</f>
        <v/>
      </c>
      <c r="H423" s="10" t="str">
        <f>IF($A423="","",IFERROR(ROUND(100*COUNTIFS(Evaluations!$G$3:$G$10000,$A423,Evaluations!$R$3:$R$10000,1)/(COUNTIFS(Evaluations!$G$3:$G$10000,$A423,Evaluations!$R$3:$R$10000,1)+COUNTIFS(Evaluations!$G$3:$G$10000,$A423,Evaluations!$R$3:$R$10000,0)),2),""))</f>
        <v/>
      </c>
      <c r="I423" s="10" t="str">
        <f>IF($A423="","",IFERROR(ROUND(100*COUNTIFS(Evaluations!$G$3:$G$10000,$A423,Evaluations!$S$3:$S$10000,1)/(COUNTIFS(Evaluations!$G$3:$G$10000,$A423,Evaluations!$S$3:$S$10000,1)+COUNTIFS(Evaluations!$G$3:$G$10000,$A423,Evaluations!$S$3:$S$10000,0)),2),""))</f>
        <v/>
      </c>
      <c r="J423" s="10" t="str">
        <f>IF($A423="","",IFERROR(ROUND(100*COUNTIFS(Evaluations!$G$3:$G$10000,$A423,Evaluations!$T$3:$T$10000,1)/(COUNTIFS(Evaluations!$G$3:$G$10000,$A423,Evaluations!$T$3:$T$10000,1)+COUNTIFS(Evaluations!$G$3:$G$10000,$A423,Evaluations!$T$3:$T$10000,0)),2),""))</f>
        <v/>
      </c>
      <c r="K423" s="10" t="str">
        <f>IF($A423="","",COUNTIFS(Evaluations!$G$3:$G$10000,$A423,Evaluations!$M$3:$M$10000,"عدم پاسخ"))</f>
        <v/>
      </c>
      <c r="L423" s="10" t="str">
        <f>IF($A423="","",COUNTIFS(Evaluations!$G$3:$G$10000,$A423,Evaluations!$O$3:$O$10000,"رعایت نشده"))</f>
        <v/>
      </c>
    </row>
    <row r="424">
      <c r="A424" s="10"/>
      <c r="B424" s="10" t="str">
        <f t="array" ref="B424">_xlfn.XLOOKUP(A424,DATA!D:D,DATA!E:E,"")</f>
        <v/>
      </c>
      <c r="C424" s="10" t="str">
        <f>IF($A424="","",COUNTIFS(Evaluations!$G$3:$G$10000,$A424,Evaluations!$U$3:$U$10000,"&gt;=0",Evaluations!$U$3:$U$10000,"&lt;=100"))</f>
        <v/>
      </c>
      <c r="D424" s="10" t="str">
        <f>IF(OR($A424="",C424=0),"",ROUND(SUMIFS(Evaluations!$U$3:$U$10000,Evaluations!$G$3:$G$10000,$A424)/C424,2))</f>
        <v/>
      </c>
      <c r="E424" s="10" t="str">
        <f>IF($A424="","",COUNTIFS(Evaluations!$G$3:$G$10000,$A424,Evaluations!$M$3:$M$10000,"پاسخ داده شده"))</f>
        <v/>
      </c>
      <c r="F424" s="10" t="str">
        <f>IF($A424="","",IFERROR(COUNTIFS(Evaluations!$G$3:$G$10000,$A424,Evaluations!$O$3:$O$10000,"رعایت شده")/(COUNTIFS(Evaluations!$G$3:$G$10000,$A424,Evaluations!$O$3:$O$10000,"رعایت شده")+COUNTIFS(Evaluations!$G$3:$G$10000,$A424,Evaluations!$O$3:$O$10000,"رعایت نشده")),""))</f>
        <v/>
      </c>
      <c r="G424" s="10" t="str">
        <f>IF($A424="","",IFERROR(ROUND(100*COUNTIFS(Evaluations!$G$3:$G$10000,$A424,Evaluations!$Q$3:$Q$10000,1)/(COUNTIFS(Evaluations!$G$3:$G$10000,$A424,Evaluations!$Q$3:$Q$10000,1)+COUNTIFS(Evaluations!$G$3:$G$10000,$A424,Evaluations!$Q$3:$Q$10000,0)),2),""))</f>
        <v/>
      </c>
      <c r="H424" s="10" t="str">
        <f>IF($A424="","",IFERROR(ROUND(100*COUNTIFS(Evaluations!$G$3:$G$10000,$A424,Evaluations!$R$3:$R$10000,1)/(COUNTIFS(Evaluations!$G$3:$G$10000,$A424,Evaluations!$R$3:$R$10000,1)+COUNTIFS(Evaluations!$G$3:$G$10000,$A424,Evaluations!$R$3:$R$10000,0)),2),""))</f>
        <v/>
      </c>
      <c r="I424" s="10" t="str">
        <f>IF($A424="","",IFERROR(ROUND(100*COUNTIFS(Evaluations!$G$3:$G$10000,$A424,Evaluations!$S$3:$S$10000,1)/(COUNTIFS(Evaluations!$G$3:$G$10000,$A424,Evaluations!$S$3:$S$10000,1)+COUNTIFS(Evaluations!$G$3:$G$10000,$A424,Evaluations!$S$3:$S$10000,0)),2),""))</f>
        <v/>
      </c>
      <c r="J424" s="10" t="str">
        <f>IF($A424="","",IFERROR(ROUND(100*COUNTIFS(Evaluations!$G$3:$G$10000,$A424,Evaluations!$T$3:$T$10000,1)/(COUNTIFS(Evaluations!$G$3:$G$10000,$A424,Evaluations!$T$3:$T$10000,1)+COUNTIFS(Evaluations!$G$3:$G$10000,$A424,Evaluations!$T$3:$T$10000,0)),2),""))</f>
        <v/>
      </c>
      <c r="K424" s="10" t="str">
        <f>IF($A424="","",COUNTIFS(Evaluations!$G$3:$G$10000,$A424,Evaluations!$M$3:$M$10000,"عدم پاسخ"))</f>
        <v/>
      </c>
      <c r="L424" s="10" t="str">
        <f>IF($A424="","",COUNTIFS(Evaluations!$G$3:$G$10000,$A424,Evaluations!$O$3:$O$10000,"رعایت نشده"))</f>
        <v/>
      </c>
    </row>
    <row r="425">
      <c r="A425" s="10"/>
      <c r="B425" s="10" t="str">
        <f t="array" ref="B425">_xlfn.XLOOKUP(A425,DATA!D:D,DATA!E:E,"")</f>
        <v/>
      </c>
      <c r="C425" s="10" t="str">
        <f>IF($A425="","",COUNTIFS(Evaluations!$G$3:$G$10000,$A425,Evaluations!$U$3:$U$10000,"&gt;=0",Evaluations!$U$3:$U$10000,"&lt;=100"))</f>
        <v/>
      </c>
      <c r="D425" s="10" t="str">
        <f>IF(OR($A425="",C425=0),"",ROUND(SUMIFS(Evaluations!$U$3:$U$10000,Evaluations!$G$3:$G$10000,$A425)/C425,2))</f>
        <v/>
      </c>
      <c r="E425" s="10" t="str">
        <f>IF($A425="","",COUNTIFS(Evaluations!$G$3:$G$10000,$A425,Evaluations!$M$3:$M$10000,"پاسخ داده شده"))</f>
        <v/>
      </c>
      <c r="F425" s="10" t="str">
        <f>IF($A425="","",IFERROR(COUNTIFS(Evaluations!$G$3:$G$10000,$A425,Evaluations!$O$3:$O$10000,"رعایت شده")/(COUNTIFS(Evaluations!$G$3:$G$10000,$A425,Evaluations!$O$3:$O$10000,"رعایت شده")+COUNTIFS(Evaluations!$G$3:$G$10000,$A425,Evaluations!$O$3:$O$10000,"رعایت نشده")),""))</f>
        <v/>
      </c>
      <c r="G425" s="10" t="str">
        <f>IF($A425="","",IFERROR(ROUND(100*COUNTIFS(Evaluations!$G$3:$G$10000,$A425,Evaluations!$Q$3:$Q$10000,1)/(COUNTIFS(Evaluations!$G$3:$G$10000,$A425,Evaluations!$Q$3:$Q$10000,1)+COUNTIFS(Evaluations!$G$3:$G$10000,$A425,Evaluations!$Q$3:$Q$10000,0)),2),""))</f>
        <v/>
      </c>
      <c r="H425" s="10" t="str">
        <f>IF($A425="","",IFERROR(ROUND(100*COUNTIFS(Evaluations!$G$3:$G$10000,$A425,Evaluations!$R$3:$R$10000,1)/(COUNTIFS(Evaluations!$G$3:$G$10000,$A425,Evaluations!$R$3:$R$10000,1)+COUNTIFS(Evaluations!$G$3:$G$10000,$A425,Evaluations!$R$3:$R$10000,0)),2),""))</f>
        <v/>
      </c>
      <c r="I425" s="10" t="str">
        <f>IF($A425="","",IFERROR(ROUND(100*COUNTIFS(Evaluations!$G$3:$G$10000,$A425,Evaluations!$S$3:$S$10000,1)/(COUNTIFS(Evaluations!$G$3:$G$10000,$A425,Evaluations!$S$3:$S$10000,1)+COUNTIFS(Evaluations!$G$3:$G$10000,$A425,Evaluations!$S$3:$S$10000,0)),2),""))</f>
        <v/>
      </c>
      <c r="J425" s="10" t="str">
        <f>IF($A425="","",IFERROR(ROUND(100*COUNTIFS(Evaluations!$G$3:$G$10000,$A425,Evaluations!$T$3:$T$10000,1)/(COUNTIFS(Evaluations!$G$3:$G$10000,$A425,Evaluations!$T$3:$T$10000,1)+COUNTIFS(Evaluations!$G$3:$G$10000,$A425,Evaluations!$T$3:$T$10000,0)),2),""))</f>
        <v/>
      </c>
      <c r="K425" s="10" t="str">
        <f>IF($A425="","",COUNTIFS(Evaluations!$G$3:$G$10000,$A425,Evaluations!$M$3:$M$10000,"عدم پاسخ"))</f>
        <v/>
      </c>
      <c r="L425" s="10" t="str">
        <f>IF($A425="","",COUNTIFS(Evaluations!$G$3:$G$10000,$A425,Evaluations!$O$3:$O$10000,"رعایت نشده"))</f>
        <v/>
      </c>
    </row>
    <row r="426">
      <c r="A426" s="10"/>
      <c r="B426" s="10" t="str">
        <f t="array" ref="B426">_xlfn.XLOOKUP(A426,DATA!D:D,DATA!E:E,"")</f>
        <v/>
      </c>
      <c r="C426" s="10" t="str">
        <f>IF($A426="","",COUNTIFS(Evaluations!$G$3:$G$10000,$A426,Evaluations!$U$3:$U$10000,"&gt;=0",Evaluations!$U$3:$U$10000,"&lt;=100"))</f>
        <v/>
      </c>
      <c r="D426" s="10" t="str">
        <f>IF(OR($A426="",C426=0),"",ROUND(SUMIFS(Evaluations!$U$3:$U$10000,Evaluations!$G$3:$G$10000,$A426)/C426,2))</f>
        <v/>
      </c>
      <c r="E426" s="10" t="str">
        <f>IF($A426="","",COUNTIFS(Evaluations!$G$3:$G$10000,$A426,Evaluations!$M$3:$M$10000,"پاسخ داده شده"))</f>
        <v/>
      </c>
      <c r="F426" s="10" t="str">
        <f>IF($A426="","",IFERROR(COUNTIFS(Evaluations!$G$3:$G$10000,$A426,Evaluations!$O$3:$O$10000,"رعایت شده")/(COUNTIFS(Evaluations!$G$3:$G$10000,$A426,Evaluations!$O$3:$O$10000,"رعایت شده")+COUNTIFS(Evaluations!$G$3:$G$10000,$A426,Evaluations!$O$3:$O$10000,"رعایت نشده")),""))</f>
        <v/>
      </c>
      <c r="G426" s="10" t="str">
        <f>IF($A426="","",IFERROR(ROUND(100*COUNTIFS(Evaluations!$G$3:$G$10000,$A426,Evaluations!$Q$3:$Q$10000,1)/(COUNTIFS(Evaluations!$G$3:$G$10000,$A426,Evaluations!$Q$3:$Q$10000,1)+COUNTIFS(Evaluations!$G$3:$G$10000,$A426,Evaluations!$Q$3:$Q$10000,0)),2),""))</f>
        <v/>
      </c>
      <c r="H426" s="10" t="str">
        <f>IF($A426="","",IFERROR(ROUND(100*COUNTIFS(Evaluations!$G$3:$G$10000,$A426,Evaluations!$R$3:$R$10000,1)/(COUNTIFS(Evaluations!$G$3:$G$10000,$A426,Evaluations!$R$3:$R$10000,1)+COUNTIFS(Evaluations!$G$3:$G$10000,$A426,Evaluations!$R$3:$R$10000,0)),2),""))</f>
        <v/>
      </c>
      <c r="I426" s="10" t="str">
        <f>IF($A426="","",IFERROR(ROUND(100*COUNTIFS(Evaluations!$G$3:$G$10000,$A426,Evaluations!$S$3:$S$10000,1)/(COUNTIFS(Evaluations!$G$3:$G$10000,$A426,Evaluations!$S$3:$S$10000,1)+COUNTIFS(Evaluations!$G$3:$G$10000,$A426,Evaluations!$S$3:$S$10000,0)),2),""))</f>
        <v/>
      </c>
      <c r="J426" s="10" t="str">
        <f>IF($A426="","",IFERROR(ROUND(100*COUNTIFS(Evaluations!$G$3:$G$10000,$A426,Evaluations!$T$3:$T$10000,1)/(COUNTIFS(Evaluations!$G$3:$G$10000,$A426,Evaluations!$T$3:$T$10000,1)+COUNTIFS(Evaluations!$G$3:$G$10000,$A426,Evaluations!$T$3:$T$10000,0)),2),""))</f>
        <v/>
      </c>
      <c r="K426" s="10" t="str">
        <f>IF($A426="","",COUNTIFS(Evaluations!$G$3:$G$10000,$A426,Evaluations!$M$3:$M$10000,"عدم پاسخ"))</f>
        <v/>
      </c>
      <c r="L426" s="10" t="str">
        <f>IF($A426="","",COUNTIFS(Evaluations!$G$3:$G$10000,$A426,Evaluations!$O$3:$O$10000,"رعایت نشده"))</f>
        <v/>
      </c>
    </row>
    <row r="427">
      <c r="A427" s="10"/>
      <c r="B427" s="10" t="str">
        <f t="array" ref="B427">_xlfn.XLOOKUP(A427,DATA!D:D,DATA!E:E,"")</f>
        <v/>
      </c>
      <c r="C427" s="10" t="str">
        <f>IF($A427="","",COUNTIFS(Evaluations!$G$3:$G$10000,$A427,Evaluations!$U$3:$U$10000,"&gt;=0",Evaluations!$U$3:$U$10000,"&lt;=100"))</f>
        <v/>
      </c>
      <c r="D427" s="10" t="str">
        <f>IF(OR($A427="",C427=0),"",ROUND(SUMIFS(Evaluations!$U$3:$U$10000,Evaluations!$G$3:$G$10000,$A427)/C427,2))</f>
        <v/>
      </c>
      <c r="E427" s="10" t="str">
        <f>IF($A427="","",COUNTIFS(Evaluations!$G$3:$G$10000,$A427,Evaluations!$M$3:$M$10000,"پاسخ داده شده"))</f>
        <v/>
      </c>
      <c r="F427" s="10" t="str">
        <f>IF($A427="","",IFERROR(COUNTIFS(Evaluations!$G$3:$G$10000,$A427,Evaluations!$O$3:$O$10000,"رعایت شده")/(COUNTIFS(Evaluations!$G$3:$G$10000,$A427,Evaluations!$O$3:$O$10000,"رعایت شده")+COUNTIFS(Evaluations!$G$3:$G$10000,$A427,Evaluations!$O$3:$O$10000,"رعایت نشده")),""))</f>
        <v/>
      </c>
      <c r="G427" s="10" t="str">
        <f>IF($A427="","",IFERROR(ROUND(100*COUNTIFS(Evaluations!$G$3:$G$10000,$A427,Evaluations!$Q$3:$Q$10000,1)/(COUNTIFS(Evaluations!$G$3:$G$10000,$A427,Evaluations!$Q$3:$Q$10000,1)+COUNTIFS(Evaluations!$G$3:$G$10000,$A427,Evaluations!$Q$3:$Q$10000,0)),2),""))</f>
        <v/>
      </c>
      <c r="H427" s="10" t="str">
        <f>IF($A427="","",IFERROR(ROUND(100*COUNTIFS(Evaluations!$G$3:$G$10000,$A427,Evaluations!$R$3:$R$10000,1)/(COUNTIFS(Evaluations!$G$3:$G$10000,$A427,Evaluations!$R$3:$R$10000,1)+COUNTIFS(Evaluations!$G$3:$G$10000,$A427,Evaluations!$R$3:$R$10000,0)),2),""))</f>
        <v/>
      </c>
      <c r="I427" s="10" t="str">
        <f>IF($A427="","",IFERROR(ROUND(100*COUNTIFS(Evaluations!$G$3:$G$10000,$A427,Evaluations!$S$3:$S$10000,1)/(COUNTIFS(Evaluations!$G$3:$G$10000,$A427,Evaluations!$S$3:$S$10000,1)+COUNTIFS(Evaluations!$G$3:$G$10000,$A427,Evaluations!$S$3:$S$10000,0)),2),""))</f>
        <v/>
      </c>
      <c r="J427" s="10" t="str">
        <f>IF($A427="","",IFERROR(ROUND(100*COUNTIFS(Evaluations!$G$3:$G$10000,$A427,Evaluations!$T$3:$T$10000,1)/(COUNTIFS(Evaluations!$G$3:$G$10000,$A427,Evaluations!$T$3:$T$10000,1)+COUNTIFS(Evaluations!$G$3:$G$10000,$A427,Evaluations!$T$3:$T$10000,0)),2),""))</f>
        <v/>
      </c>
      <c r="K427" s="10" t="str">
        <f>IF($A427="","",COUNTIFS(Evaluations!$G$3:$G$10000,$A427,Evaluations!$M$3:$M$10000,"عدم پاسخ"))</f>
        <v/>
      </c>
      <c r="L427" s="10" t="str">
        <f>IF($A427="","",COUNTIFS(Evaluations!$G$3:$G$10000,$A427,Evaluations!$O$3:$O$10000,"رعایت نشده"))</f>
        <v/>
      </c>
    </row>
    <row r="428">
      <c r="A428" s="10"/>
      <c r="B428" s="10" t="str">
        <f t="array" ref="B428">_xlfn.XLOOKUP(A428,DATA!D:D,DATA!E:E,"")</f>
        <v/>
      </c>
      <c r="C428" s="10" t="str">
        <f>IF($A428="","",COUNTIFS(Evaluations!$G$3:$G$10000,$A428,Evaluations!$U$3:$U$10000,"&gt;=0",Evaluations!$U$3:$U$10000,"&lt;=100"))</f>
        <v/>
      </c>
      <c r="D428" s="10" t="str">
        <f>IF(OR($A428="",C428=0),"",ROUND(SUMIFS(Evaluations!$U$3:$U$10000,Evaluations!$G$3:$G$10000,$A428)/C428,2))</f>
        <v/>
      </c>
      <c r="E428" s="10" t="str">
        <f>IF($A428="","",COUNTIFS(Evaluations!$G$3:$G$10000,$A428,Evaluations!$M$3:$M$10000,"پاسخ داده شده"))</f>
        <v/>
      </c>
      <c r="F428" s="10" t="str">
        <f>IF($A428="","",IFERROR(COUNTIFS(Evaluations!$G$3:$G$10000,$A428,Evaluations!$O$3:$O$10000,"رعایت شده")/(COUNTIFS(Evaluations!$G$3:$G$10000,$A428,Evaluations!$O$3:$O$10000,"رعایت شده")+COUNTIFS(Evaluations!$G$3:$G$10000,$A428,Evaluations!$O$3:$O$10000,"رعایت نشده")),""))</f>
        <v/>
      </c>
      <c r="G428" s="10" t="str">
        <f>IF($A428="","",IFERROR(ROUND(100*COUNTIFS(Evaluations!$G$3:$G$10000,$A428,Evaluations!$Q$3:$Q$10000,1)/(COUNTIFS(Evaluations!$G$3:$G$10000,$A428,Evaluations!$Q$3:$Q$10000,1)+COUNTIFS(Evaluations!$G$3:$G$10000,$A428,Evaluations!$Q$3:$Q$10000,0)),2),""))</f>
        <v/>
      </c>
      <c r="H428" s="10" t="str">
        <f>IF($A428="","",IFERROR(ROUND(100*COUNTIFS(Evaluations!$G$3:$G$10000,$A428,Evaluations!$R$3:$R$10000,1)/(COUNTIFS(Evaluations!$G$3:$G$10000,$A428,Evaluations!$R$3:$R$10000,1)+COUNTIFS(Evaluations!$G$3:$G$10000,$A428,Evaluations!$R$3:$R$10000,0)),2),""))</f>
        <v/>
      </c>
      <c r="I428" s="10" t="str">
        <f>IF($A428="","",IFERROR(ROUND(100*COUNTIFS(Evaluations!$G$3:$G$10000,$A428,Evaluations!$S$3:$S$10000,1)/(COUNTIFS(Evaluations!$G$3:$G$10000,$A428,Evaluations!$S$3:$S$10000,1)+COUNTIFS(Evaluations!$G$3:$G$10000,$A428,Evaluations!$S$3:$S$10000,0)),2),""))</f>
        <v/>
      </c>
      <c r="J428" s="10" t="str">
        <f>IF($A428="","",IFERROR(ROUND(100*COUNTIFS(Evaluations!$G$3:$G$10000,$A428,Evaluations!$T$3:$T$10000,1)/(COUNTIFS(Evaluations!$G$3:$G$10000,$A428,Evaluations!$T$3:$T$10000,1)+COUNTIFS(Evaluations!$G$3:$G$10000,$A428,Evaluations!$T$3:$T$10000,0)),2),""))</f>
        <v/>
      </c>
      <c r="K428" s="10" t="str">
        <f>IF($A428="","",COUNTIFS(Evaluations!$G$3:$G$10000,$A428,Evaluations!$M$3:$M$10000,"عدم پاسخ"))</f>
        <v/>
      </c>
      <c r="L428" s="10" t="str">
        <f>IF($A428="","",COUNTIFS(Evaluations!$G$3:$G$10000,$A428,Evaluations!$O$3:$O$10000,"رعایت نشده"))</f>
        <v/>
      </c>
    </row>
    <row r="429">
      <c r="A429" s="10"/>
      <c r="B429" s="10" t="str">
        <f t="array" ref="B429">_xlfn.XLOOKUP(A429,DATA!D:D,DATA!E:E,"")</f>
        <v/>
      </c>
      <c r="C429" s="10" t="str">
        <f>IF($A429="","",COUNTIFS(Evaluations!$G$3:$G$10000,$A429,Evaluations!$U$3:$U$10000,"&gt;=0",Evaluations!$U$3:$U$10000,"&lt;=100"))</f>
        <v/>
      </c>
      <c r="D429" s="10" t="str">
        <f>IF(OR($A429="",C429=0),"",ROUND(SUMIFS(Evaluations!$U$3:$U$10000,Evaluations!$G$3:$G$10000,$A429)/C429,2))</f>
        <v/>
      </c>
      <c r="E429" s="10" t="str">
        <f>IF($A429="","",COUNTIFS(Evaluations!$G$3:$G$10000,$A429,Evaluations!$M$3:$M$10000,"پاسخ داده شده"))</f>
        <v/>
      </c>
      <c r="F429" s="10" t="str">
        <f>IF($A429="","",IFERROR(COUNTIFS(Evaluations!$G$3:$G$10000,$A429,Evaluations!$O$3:$O$10000,"رعایت شده")/(COUNTIFS(Evaluations!$G$3:$G$10000,$A429,Evaluations!$O$3:$O$10000,"رعایت شده")+COUNTIFS(Evaluations!$G$3:$G$10000,$A429,Evaluations!$O$3:$O$10000,"رعایت نشده")),""))</f>
        <v/>
      </c>
      <c r="G429" s="10" t="str">
        <f>IF($A429="","",IFERROR(ROUND(100*COUNTIFS(Evaluations!$G$3:$G$10000,$A429,Evaluations!$Q$3:$Q$10000,1)/(COUNTIFS(Evaluations!$G$3:$G$10000,$A429,Evaluations!$Q$3:$Q$10000,1)+COUNTIFS(Evaluations!$G$3:$G$10000,$A429,Evaluations!$Q$3:$Q$10000,0)),2),""))</f>
        <v/>
      </c>
      <c r="H429" s="10" t="str">
        <f>IF($A429="","",IFERROR(ROUND(100*COUNTIFS(Evaluations!$G$3:$G$10000,$A429,Evaluations!$R$3:$R$10000,1)/(COUNTIFS(Evaluations!$G$3:$G$10000,$A429,Evaluations!$R$3:$R$10000,1)+COUNTIFS(Evaluations!$G$3:$G$10000,$A429,Evaluations!$R$3:$R$10000,0)),2),""))</f>
        <v/>
      </c>
      <c r="I429" s="10" t="str">
        <f>IF($A429="","",IFERROR(ROUND(100*COUNTIFS(Evaluations!$G$3:$G$10000,$A429,Evaluations!$S$3:$S$10000,1)/(COUNTIFS(Evaluations!$G$3:$G$10000,$A429,Evaluations!$S$3:$S$10000,1)+COUNTIFS(Evaluations!$G$3:$G$10000,$A429,Evaluations!$S$3:$S$10000,0)),2),""))</f>
        <v/>
      </c>
      <c r="J429" s="10" t="str">
        <f>IF($A429="","",IFERROR(ROUND(100*COUNTIFS(Evaluations!$G$3:$G$10000,$A429,Evaluations!$T$3:$T$10000,1)/(COUNTIFS(Evaluations!$G$3:$G$10000,$A429,Evaluations!$T$3:$T$10000,1)+COUNTIFS(Evaluations!$G$3:$G$10000,$A429,Evaluations!$T$3:$T$10000,0)),2),""))</f>
        <v/>
      </c>
      <c r="K429" s="10" t="str">
        <f>IF($A429="","",COUNTIFS(Evaluations!$G$3:$G$10000,$A429,Evaluations!$M$3:$M$10000,"عدم پاسخ"))</f>
        <v/>
      </c>
      <c r="L429" s="10" t="str">
        <f>IF($A429="","",COUNTIFS(Evaluations!$G$3:$G$10000,$A429,Evaluations!$O$3:$O$10000,"رعایت نشده"))</f>
        <v/>
      </c>
    </row>
    <row r="430">
      <c r="A430" s="10"/>
      <c r="B430" s="10" t="str">
        <f t="array" ref="B430">_xlfn.XLOOKUP(A430,DATA!D:D,DATA!E:E,"")</f>
        <v/>
      </c>
      <c r="C430" s="10" t="str">
        <f>IF($A430="","",COUNTIFS(Evaluations!$G$3:$G$10000,$A430,Evaluations!$U$3:$U$10000,"&gt;=0",Evaluations!$U$3:$U$10000,"&lt;=100"))</f>
        <v/>
      </c>
      <c r="D430" s="10" t="str">
        <f>IF(OR($A430="",C430=0),"",ROUND(SUMIFS(Evaluations!$U$3:$U$10000,Evaluations!$G$3:$G$10000,$A430)/C430,2))</f>
        <v/>
      </c>
      <c r="E430" s="10" t="str">
        <f>IF($A430="","",COUNTIFS(Evaluations!$G$3:$G$10000,$A430,Evaluations!$M$3:$M$10000,"پاسخ داده شده"))</f>
        <v/>
      </c>
      <c r="F430" s="10" t="str">
        <f>IF($A430="","",IFERROR(COUNTIFS(Evaluations!$G$3:$G$10000,$A430,Evaluations!$O$3:$O$10000,"رعایت شده")/(COUNTIFS(Evaluations!$G$3:$G$10000,$A430,Evaluations!$O$3:$O$10000,"رعایت شده")+COUNTIFS(Evaluations!$G$3:$G$10000,$A430,Evaluations!$O$3:$O$10000,"رعایت نشده")),""))</f>
        <v/>
      </c>
      <c r="G430" s="10" t="str">
        <f>IF($A430="","",IFERROR(ROUND(100*COUNTIFS(Evaluations!$G$3:$G$10000,$A430,Evaluations!$Q$3:$Q$10000,1)/(COUNTIFS(Evaluations!$G$3:$G$10000,$A430,Evaluations!$Q$3:$Q$10000,1)+COUNTIFS(Evaluations!$G$3:$G$10000,$A430,Evaluations!$Q$3:$Q$10000,0)),2),""))</f>
        <v/>
      </c>
      <c r="H430" s="10" t="str">
        <f>IF($A430="","",IFERROR(ROUND(100*COUNTIFS(Evaluations!$G$3:$G$10000,$A430,Evaluations!$R$3:$R$10000,1)/(COUNTIFS(Evaluations!$G$3:$G$10000,$A430,Evaluations!$R$3:$R$10000,1)+COUNTIFS(Evaluations!$G$3:$G$10000,$A430,Evaluations!$R$3:$R$10000,0)),2),""))</f>
        <v/>
      </c>
      <c r="I430" s="10" t="str">
        <f>IF($A430="","",IFERROR(ROUND(100*COUNTIFS(Evaluations!$G$3:$G$10000,$A430,Evaluations!$S$3:$S$10000,1)/(COUNTIFS(Evaluations!$G$3:$G$10000,$A430,Evaluations!$S$3:$S$10000,1)+COUNTIFS(Evaluations!$G$3:$G$10000,$A430,Evaluations!$S$3:$S$10000,0)),2),""))</f>
        <v/>
      </c>
      <c r="J430" s="10" t="str">
        <f>IF($A430="","",IFERROR(ROUND(100*COUNTIFS(Evaluations!$G$3:$G$10000,$A430,Evaluations!$T$3:$T$10000,1)/(COUNTIFS(Evaluations!$G$3:$G$10000,$A430,Evaluations!$T$3:$T$10000,1)+COUNTIFS(Evaluations!$G$3:$G$10000,$A430,Evaluations!$T$3:$T$10000,0)),2),""))</f>
        <v/>
      </c>
      <c r="K430" s="10" t="str">
        <f>IF($A430="","",COUNTIFS(Evaluations!$G$3:$G$10000,$A430,Evaluations!$M$3:$M$10000,"عدم پاسخ"))</f>
        <v/>
      </c>
      <c r="L430" s="10" t="str">
        <f>IF($A430="","",COUNTIFS(Evaluations!$G$3:$G$10000,$A430,Evaluations!$O$3:$O$10000,"رعایت نشده"))</f>
        <v/>
      </c>
    </row>
    <row r="431">
      <c r="A431" s="10"/>
      <c r="B431" s="10" t="str">
        <f t="array" ref="B431">_xlfn.XLOOKUP(A431,DATA!D:D,DATA!E:E,"")</f>
        <v/>
      </c>
      <c r="C431" s="10" t="str">
        <f>IF($A431="","",COUNTIFS(Evaluations!$G$3:$G$10000,$A431,Evaluations!$U$3:$U$10000,"&gt;=0",Evaluations!$U$3:$U$10000,"&lt;=100"))</f>
        <v/>
      </c>
      <c r="D431" s="10" t="str">
        <f>IF(OR($A431="",C431=0),"",ROUND(SUMIFS(Evaluations!$U$3:$U$10000,Evaluations!$G$3:$G$10000,$A431)/C431,2))</f>
        <v/>
      </c>
      <c r="E431" s="10" t="str">
        <f>IF($A431="","",COUNTIFS(Evaluations!$G$3:$G$10000,$A431,Evaluations!$M$3:$M$10000,"پاسخ داده شده"))</f>
        <v/>
      </c>
      <c r="F431" s="10" t="str">
        <f>IF($A431="","",IFERROR(COUNTIFS(Evaluations!$G$3:$G$10000,$A431,Evaluations!$O$3:$O$10000,"رعایت شده")/(COUNTIFS(Evaluations!$G$3:$G$10000,$A431,Evaluations!$O$3:$O$10000,"رعایت شده")+COUNTIFS(Evaluations!$G$3:$G$10000,$A431,Evaluations!$O$3:$O$10000,"رعایت نشده")),""))</f>
        <v/>
      </c>
      <c r="G431" s="10" t="str">
        <f>IF($A431="","",IFERROR(ROUND(100*COUNTIFS(Evaluations!$G$3:$G$10000,$A431,Evaluations!$Q$3:$Q$10000,1)/(COUNTIFS(Evaluations!$G$3:$G$10000,$A431,Evaluations!$Q$3:$Q$10000,1)+COUNTIFS(Evaluations!$G$3:$G$10000,$A431,Evaluations!$Q$3:$Q$10000,0)),2),""))</f>
        <v/>
      </c>
      <c r="H431" s="10" t="str">
        <f>IF($A431="","",IFERROR(ROUND(100*COUNTIFS(Evaluations!$G$3:$G$10000,$A431,Evaluations!$R$3:$R$10000,1)/(COUNTIFS(Evaluations!$G$3:$G$10000,$A431,Evaluations!$R$3:$R$10000,1)+COUNTIFS(Evaluations!$G$3:$G$10000,$A431,Evaluations!$R$3:$R$10000,0)),2),""))</f>
        <v/>
      </c>
      <c r="I431" s="10" t="str">
        <f>IF($A431="","",IFERROR(ROUND(100*COUNTIFS(Evaluations!$G$3:$G$10000,$A431,Evaluations!$S$3:$S$10000,1)/(COUNTIFS(Evaluations!$G$3:$G$10000,$A431,Evaluations!$S$3:$S$10000,1)+COUNTIFS(Evaluations!$G$3:$G$10000,$A431,Evaluations!$S$3:$S$10000,0)),2),""))</f>
        <v/>
      </c>
      <c r="J431" s="10" t="str">
        <f>IF($A431="","",IFERROR(ROUND(100*COUNTIFS(Evaluations!$G$3:$G$10000,$A431,Evaluations!$T$3:$T$10000,1)/(COUNTIFS(Evaluations!$G$3:$G$10000,$A431,Evaluations!$T$3:$T$10000,1)+COUNTIFS(Evaluations!$G$3:$G$10000,$A431,Evaluations!$T$3:$T$10000,0)),2),""))</f>
        <v/>
      </c>
      <c r="K431" s="10" t="str">
        <f>IF($A431="","",COUNTIFS(Evaluations!$G$3:$G$10000,$A431,Evaluations!$M$3:$M$10000,"عدم پاسخ"))</f>
        <v/>
      </c>
      <c r="L431" s="10" t="str">
        <f>IF($A431="","",COUNTIFS(Evaluations!$G$3:$G$10000,$A431,Evaluations!$O$3:$O$10000,"رعایت نشده"))</f>
        <v/>
      </c>
    </row>
    <row r="432">
      <c r="A432" s="10"/>
      <c r="B432" s="10" t="str">
        <f t="array" ref="B432">_xlfn.XLOOKUP(A432,DATA!D:D,DATA!E:E,"")</f>
        <v/>
      </c>
      <c r="C432" s="10" t="str">
        <f>IF($A432="","",COUNTIFS(Evaluations!$G$3:$G$10000,$A432,Evaluations!$U$3:$U$10000,"&gt;=0",Evaluations!$U$3:$U$10000,"&lt;=100"))</f>
        <v/>
      </c>
      <c r="D432" s="10" t="str">
        <f>IF(OR($A432="",C432=0),"",ROUND(SUMIFS(Evaluations!$U$3:$U$10000,Evaluations!$G$3:$G$10000,$A432)/C432,2))</f>
        <v/>
      </c>
      <c r="E432" s="10" t="str">
        <f>IF($A432="","",COUNTIFS(Evaluations!$G$3:$G$10000,$A432,Evaluations!$M$3:$M$10000,"پاسخ داده شده"))</f>
        <v/>
      </c>
      <c r="F432" s="10" t="str">
        <f>IF($A432="","",IFERROR(COUNTIFS(Evaluations!$G$3:$G$10000,$A432,Evaluations!$O$3:$O$10000,"رعایت شده")/(COUNTIFS(Evaluations!$G$3:$G$10000,$A432,Evaluations!$O$3:$O$10000,"رعایت شده")+COUNTIFS(Evaluations!$G$3:$G$10000,$A432,Evaluations!$O$3:$O$10000,"رعایت نشده")),""))</f>
        <v/>
      </c>
      <c r="G432" s="10" t="str">
        <f>IF($A432="","",IFERROR(ROUND(100*COUNTIFS(Evaluations!$G$3:$G$10000,$A432,Evaluations!$Q$3:$Q$10000,1)/(COUNTIFS(Evaluations!$G$3:$G$10000,$A432,Evaluations!$Q$3:$Q$10000,1)+COUNTIFS(Evaluations!$G$3:$G$10000,$A432,Evaluations!$Q$3:$Q$10000,0)),2),""))</f>
        <v/>
      </c>
      <c r="H432" s="10" t="str">
        <f>IF($A432="","",IFERROR(ROUND(100*COUNTIFS(Evaluations!$G$3:$G$10000,$A432,Evaluations!$R$3:$R$10000,1)/(COUNTIFS(Evaluations!$G$3:$G$10000,$A432,Evaluations!$R$3:$R$10000,1)+COUNTIFS(Evaluations!$G$3:$G$10000,$A432,Evaluations!$R$3:$R$10000,0)),2),""))</f>
        <v/>
      </c>
      <c r="I432" s="10" t="str">
        <f>IF($A432="","",IFERROR(ROUND(100*COUNTIFS(Evaluations!$G$3:$G$10000,$A432,Evaluations!$S$3:$S$10000,1)/(COUNTIFS(Evaluations!$G$3:$G$10000,$A432,Evaluations!$S$3:$S$10000,1)+COUNTIFS(Evaluations!$G$3:$G$10000,$A432,Evaluations!$S$3:$S$10000,0)),2),""))</f>
        <v/>
      </c>
      <c r="J432" s="10" t="str">
        <f>IF($A432="","",IFERROR(ROUND(100*COUNTIFS(Evaluations!$G$3:$G$10000,$A432,Evaluations!$T$3:$T$10000,1)/(COUNTIFS(Evaluations!$G$3:$G$10000,$A432,Evaluations!$T$3:$T$10000,1)+COUNTIFS(Evaluations!$G$3:$G$10000,$A432,Evaluations!$T$3:$T$10000,0)),2),""))</f>
        <v/>
      </c>
      <c r="K432" s="10" t="str">
        <f>IF($A432="","",COUNTIFS(Evaluations!$G$3:$G$10000,$A432,Evaluations!$M$3:$M$10000,"عدم پاسخ"))</f>
        <v/>
      </c>
      <c r="L432" s="10" t="str">
        <f>IF($A432="","",COUNTIFS(Evaluations!$G$3:$G$10000,$A432,Evaluations!$O$3:$O$10000,"رعایت نشده"))</f>
        <v/>
      </c>
    </row>
    <row r="433">
      <c r="A433" s="10"/>
      <c r="B433" s="10" t="str">
        <f t="array" ref="B433">_xlfn.XLOOKUP(A433,DATA!D:D,DATA!E:E,"")</f>
        <v/>
      </c>
      <c r="C433" s="10" t="str">
        <f>IF($A433="","",COUNTIFS(Evaluations!$G$3:$G$10000,$A433,Evaluations!$U$3:$U$10000,"&gt;=0",Evaluations!$U$3:$U$10000,"&lt;=100"))</f>
        <v/>
      </c>
      <c r="D433" s="10" t="str">
        <f>IF(OR($A433="",C433=0),"",ROUND(SUMIFS(Evaluations!$U$3:$U$10000,Evaluations!$G$3:$G$10000,$A433)/C433,2))</f>
        <v/>
      </c>
      <c r="E433" s="10" t="str">
        <f>IF($A433="","",COUNTIFS(Evaluations!$G$3:$G$10000,$A433,Evaluations!$M$3:$M$10000,"پاسخ داده شده"))</f>
        <v/>
      </c>
      <c r="F433" s="10" t="str">
        <f>IF($A433="","",IFERROR(COUNTIFS(Evaluations!$G$3:$G$10000,$A433,Evaluations!$O$3:$O$10000,"رعایت شده")/(COUNTIFS(Evaluations!$G$3:$G$10000,$A433,Evaluations!$O$3:$O$10000,"رعایت شده")+COUNTIFS(Evaluations!$G$3:$G$10000,$A433,Evaluations!$O$3:$O$10000,"رعایت نشده")),""))</f>
        <v/>
      </c>
      <c r="G433" s="10" t="str">
        <f>IF($A433="","",IFERROR(ROUND(100*COUNTIFS(Evaluations!$G$3:$G$10000,$A433,Evaluations!$Q$3:$Q$10000,1)/(COUNTIFS(Evaluations!$G$3:$G$10000,$A433,Evaluations!$Q$3:$Q$10000,1)+COUNTIFS(Evaluations!$G$3:$G$10000,$A433,Evaluations!$Q$3:$Q$10000,0)),2),""))</f>
        <v/>
      </c>
      <c r="H433" s="10" t="str">
        <f>IF($A433="","",IFERROR(ROUND(100*COUNTIFS(Evaluations!$G$3:$G$10000,$A433,Evaluations!$R$3:$R$10000,1)/(COUNTIFS(Evaluations!$G$3:$G$10000,$A433,Evaluations!$R$3:$R$10000,1)+COUNTIFS(Evaluations!$G$3:$G$10000,$A433,Evaluations!$R$3:$R$10000,0)),2),""))</f>
        <v/>
      </c>
      <c r="I433" s="10" t="str">
        <f>IF($A433="","",IFERROR(ROUND(100*COUNTIFS(Evaluations!$G$3:$G$10000,$A433,Evaluations!$S$3:$S$10000,1)/(COUNTIFS(Evaluations!$G$3:$G$10000,$A433,Evaluations!$S$3:$S$10000,1)+COUNTIFS(Evaluations!$G$3:$G$10000,$A433,Evaluations!$S$3:$S$10000,0)),2),""))</f>
        <v/>
      </c>
      <c r="J433" s="10" t="str">
        <f>IF($A433="","",IFERROR(ROUND(100*COUNTIFS(Evaluations!$G$3:$G$10000,$A433,Evaluations!$T$3:$T$10000,1)/(COUNTIFS(Evaluations!$G$3:$G$10000,$A433,Evaluations!$T$3:$T$10000,1)+COUNTIFS(Evaluations!$G$3:$G$10000,$A433,Evaluations!$T$3:$T$10000,0)),2),""))</f>
        <v/>
      </c>
      <c r="K433" s="10" t="str">
        <f>IF($A433="","",COUNTIFS(Evaluations!$G$3:$G$10000,$A433,Evaluations!$M$3:$M$10000,"عدم پاسخ"))</f>
        <v/>
      </c>
      <c r="L433" s="10" t="str">
        <f>IF($A433="","",COUNTIFS(Evaluations!$G$3:$G$10000,$A433,Evaluations!$O$3:$O$10000,"رعایت نشده"))</f>
        <v/>
      </c>
    </row>
    <row r="434">
      <c r="A434" s="10"/>
      <c r="B434" s="10" t="str">
        <f t="array" ref="B434">_xlfn.XLOOKUP(A434,DATA!D:D,DATA!E:E,"")</f>
        <v/>
      </c>
      <c r="C434" s="10" t="str">
        <f>IF($A434="","",COUNTIFS(Evaluations!$G$3:$G$10000,$A434,Evaluations!$U$3:$U$10000,"&gt;=0",Evaluations!$U$3:$U$10000,"&lt;=100"))</f>
        <v/>
      </c>
      <c r="D434" s="10" t="str">
        <f>IF(OR($A434="",C434=0),"",ROUND(SUMIFS(Evaluations!$U$3:$U$10000,Evaluations!$G$3:$G$10000,$A434)/C434,2))</f>
        <v/>
      </c>
      <c r="E434" s="10" t="str">
        <f>IF($A434="","",COUNTIFS(Evaluations!$G$3:$G$10000,$A434,Evaluations!$M$3:$M$10000,"پاسخ داده شده"))</f>
        <v/>
      </c>
      <c r="F434" s="10" t="str">
        <f>IF($A434="","",IFERROR(COUNTIFS(Evaluations!$G$3:$G$10000,$A434,Evaluations!$O$3:$O$10000,"رعایت شده")/(COUNTIFS(Evaluations!$G$3:$G$10000,$A434,Evaluations!$O$3:$O$10000,"رعایت شده")+COUNTIFS(Evaluations!$G$3:$G$10000,$A434,Evaluations!$O$3:$O$10000,"رعایت نشده")),""))</f>
        <v/>
      </c>
      <c r="G434" s="10" t="str">
        <f>IF($A434="","",IFERROR(ROUND(100*COUNTIFS(Evaluations!$G$3:$G$10000,$A434,Evaluations!$Q$3:$Q$10000,1)/(COUNTIFS(Evaluations!$G$3:$G$10000,$A434,Evaluations!$Q$3:$Q$10000,1)+COUNTIFS(Evaluations!$G$3:$G$10000,$A434,Evaluations!$Q$3:$Q$10000,0)),2),""))</f>
        <v/>
      </c>
      <c r="H434" s="10" t="str">
        <f>IF($A434="","",IFERROR(ROUND(100*COUNTIFS(Evaluations!$G$3:$G$10000,$A434,Evaluations!$R$3:$R$10000,1)/(COUNTIFS(Evaluations!$G$3:$G$10000,$A434,Evaluations!$R$3:$R$10000,1)+COUNTIFS(Evaluations!$G$3:$G$10000,$A434,Evaluations!$R$3:$R$10000,0)),2),""))</f>
        <v/>
      </c>
      <c r="I434" s="10" t="str">
        <f>IF($A434="","",IFERROR(ROUND(100*COUNTIFS(Evaluations!$G$3:$G$10000,$A434,Evaluations!$S$3:$S$10000,1)/(COUNTIFS(Evaluations!$G$3:$G$10000,$A434,Evaluations!$S$3:$S$10000,1)+COUNTIFS(Evaluations!$G$3:$G$10000,$A434,Evaluations!$S$3:$S$10000,0)),2),""))</f>
        <v/>
      </c>
      <c r="J434" s="10" t="str">
        <f>IF($A434="","",IFERROR(ROUND(100*COUNTIFS(Evaluations!$G$3:$G$10000,$A434,Evaluations!$T$3:$T$10000,1)/(COUNTIFS(Evaluations!$G$3:$G$10000,$A434,Evaluations!$T$3:$T$10000,1)+COUNTIFS(Evaluations!$G$3:$G$10000,$A434,Evaluations!$T$3:$T$10000,0)),2),""))</f>
        <v/>
      </c>
      <c r="K434" s="10" t="str">
        <f>IF($A434="","",COUNTIFS(Evaluations!$G$3:$G$10000,$A434,Evaluations!$M$3:$M$10000,"عدم پاسخ"))</f>
        <v/>
      </c>
      <c r="L434" s="10" t="str">
        <f>IF($A434="","",COUNTIFS(Evaluations!$G$3:$G$10000,$A434,Evaluations!$O$3:$O$10000,"رعایت نشده"))</f>
        <v/>
      </c>
    </row>
    <row r="435">
      <c r="A435" s="10"/>
      <c r="B435" s="10" t="str">
        <f t="array" ref="B435">_xlfn.XLOOKUP(A435,DATA!D:D,DATA!E:E,"")</f>
        <v/>
      </c>
      <c r="C435" s="10" t="str">
        <f>IF($A435="","",COUNTIFS(Evaluations!$G$3:$G$10000,$A435,Evaluations!$U$3:$U$10000,"&gt;=0",Evaluations!$U$3:$U$10000,"&lt;=100"))</f>
        <v/>
      </c>
      <c r="D435" s="10" t="str">
        <f>IF(OR($A435="",C435=0),"",ROUND(SUMIFS(Evaluations!$U$3:$U$10000,Evaluations!$G$3:$G$10000,$A435)/C435,2))</f>
        <v/>
      </c>
      <c r="E435" s="10" t="str">
        <f>IF($A435="","",COUNTIFS(Evaluations!$G$3:$G$10000,$A435,Evaluations!$M$3:$M$10000,"پاسخ داده شده"))</f>
        <v/>
      </c>
      <c r="F435" s="10" t="str">
        <f>IF($A435="","",IFERROR(COUNTIFS(Evaluations!$G$3:$G$10000,$A435,Evaluations!$O$3:$O$10000,"رعایت شده")/(COUNTIFS(Evaluations!$G$3:$G$10000,$A435,Evaluations!$O$3:$O$10000,"رعایت شده")+COUNTIFS(Evaluations!$G$3:$G$10000,$A435,Evaluations!$O$3:$O$10000,"رعایت نشده")),""))</f>
        <v/>
      </c>
      <c r="G435" s="10" t="str">
        <f>IF($A435="","",IFERROR(ROUND(100*COUNTIFS(Evaluations!$G$3:$G$10000,$A435,Evaluations!$Q$3:$Q$10000,1)/(COUNTIFS(Evaluations!$G$3:$G$10000,$A435,Evaluations!$Q$3:$Q$10000,1)+COUNTIFS(Evaluations!$G$3:$G$10000,$A435,Evaluations!$Q$3:$Q$10000,0)),2),""))</f>
        <v/>
      </c>
      <c r="H435" s="10" t="str">
        <f>IF($A435="","",IFERROR(ROUND(100*COUNTIFS(Evaluations!$G$3:$G$10000,$A435,Evaluations!$R$3:$R$10000,1)/(COUNTIFS(Evaluations!$G$3:$G$10000,$A435,Evaluations!$R$3:$R$10000,1)+COUNTIFS(Evaluations!$G$3:$G$10000,$A435,Evaluations!$R$3:$R$10000,0)),2),""))</f>
        <v/>
      </c>
      <c r="I435" s="10" t="str">
        <f>IF($A435="","",IFERROR(ROUND(100*COUNTIFS(Evaluations!$G$3:$G$10000,$A435,Evaluations!$S$3:$S$10000,1)/(COUNTIFS(Evaluations!$G$3:$G$10000,$A435,Evaluations!$S$3:$S$10000,1)+COUNTIFS(Evaluations!$G$3:$G$10000,$A435,Evaluations!$S$3:$S$10000,0)),2),""))</f>
        <v/>
      </c>
      <c r="J435" s="10" t="str">
        <f>IF($A435="","",IFERROR(ROUND(100*COUNTIFS(Evaluations!$G$3:$G$10000,$A435,Evaluations!$T$3:$T$10000,1)/(COUNTIFS(Evaluations!$G$3:$G$10000,$A435,Evaluations!$T$3:$T$10000,1)+COUNTIFS(Evaluations!$G$3:$G$10000,$A435,Evaluations!$T$3:$T$10000,0)),2),""))</f>
        <v/>
      </c>
      <c r="K435" s="10" t="str">
        <f>IF($A435="","",COUNTIFS(Evaluations!$G$3:$G$10000,$A435,Evaluations!$M$3:$M$10000,"عدم پاسخ"))</f>
        <v/>
      </c>
      <c r="L435" s="10" t="str">
        <f>IF($A435="","",COUNTIFS(Evaluations!$G$3:$G$10000,$A435,Evaluations!$O$3:$O$10000,"رعایت نشده"))</f>
        <v/>
      </c>
    </row>
    <row r="436">
      <c r="A436" s="10"/>
      <c r="B436" s="10" t="str">
        <f t="array" ref="B436">_xlfn.XLOOKUP(A436,DATA!D:D,DATA!E:E,"")</f>
        <v/>
      </c>
      <c r="C436" s="10" t="str">
        <f>IF($A436="","",COUNTIFS(Evaluations!$G$3:$G$10000,$A436,Evaluations!$U$3:$U$10000,"&gt;=0",Evaluations!$U$3:$U$10000,"&lt;=100"))</f>
        <v/>
      </c>
      <c r="D436" s="10" t="str">
        <f>IF(OR($A436="",C436=0),"",ROUND(SUMIFS(Evaluations!$U$3:$U$10000,Evaluations!$G$3:$G$10000,$A436)/C436,2))</f>
        <v/>
      </c>
      <c r="E436" s="10" t="str">
        <f>IF($A436="","",COUNTIFS(Evaluations!$G$3:$G$10000,$A436,Evaluations!$M$3:$M$10000,"پاسخ داده شده"))</f>
        <v/>
      </c>
      <c r="F436" s="10" t="str">
        <f>IF($A436="","",IFERROR(COUNTIFS(Evaluations!$G$3:$G$10000,$A436,Evaluations!$O$3:$O$10000,"رعایت شده")/(COUNTIFS(Evaluations!$G$3:$G$10000,$A436,Evaluations!$O$3:$O$10000,"رعایت شده")+COUNTIFS(Evaluations!$G$3:$G$10000,$A436,Evaluations!$O$3:$O$10000,"رعایت نشده")),""))</f>
        <v/>
      </c>
      <c r="G436" s="10" t="str">
        <f>IF($A436="","",IFERROR(ROUND(100*COUNTIFS(Evaluations!$G$3:$G$10000,$A436,Evaluations!$Q$3:$Q$10000,1)/(COUNTIFS(Evaluations!$G$3:$G$10000,$A436,Evaluations!$Q$3:$Q$10000,1)+COUNTIFS(Evaluations!$G$3:$G$10000,$A436,Evaluations!$Q$3:$Q$10000,0)),2),""))</f>
        <v/>
      </c>
      <c r="H436" s="10" t="str">
        <f>IF($A436="","",IFERROR(ROUND(100*COUNTIFS(Evaluations!$G$3:$G$10000,$A436,Evaluations!$R$3:$R$10000,1)/(COUNTIFS(Evaluations!$G$3:$G$10000,$A436,Evaluations!$R$3:$R$10000,1)+COUNTIFS(Evaluations!$G$3:$G$10000,$A436,Evaluations!$R$3:$R$10000,0)),2),""))</f>
        <v/>
      </c>
      <c r="I436" s="10" t="str">
        <f>IF($A436="","",IFERROR(ROUND(100*COUNTIFS(Evaluations!$G$3:$G$10000,$A436,Evaluations!$S$3:$S$10000,1)/(COUNTIFS(Evaluations!$G$3:$G$10000,$A436,Evaluations!$S$3:$S$10000,1)+COUNTIFS(Evaluations!$G$3:$G$10000,$A436,Evaluations!$S$3:$S$10000,0)),2),""))</f>
        <v/>
      </c>
      <c r="J436" s="10" t="str">
        <f>IF($A436="","",IFERROR(ROUND(100*COUNTIFS(Evaluations!$G$3:$G$10000,$A436,Evaluations!$T$3:$T$10000,1)/(COUNTIFS(Evaluations!$G$3:$G$10000,$A436,Evaluations!$T$3:$T$10000,1)+COUNTIFS(Evaluations!$G$3:$G$10000,$A436,Evaluations!$T$3:$T$10000,0)),2),""))</f>
        <v/>
      </c>
      <c r="K436" s="10" t="str">
        <f>IF($A436="","",COUNTIFS(Evaluations!$G$3:$G$10000,$A436,Evaluations!$M$3:$M$10000,"عدم پاسخ"))</f>
        <v/>
      </c>
      <c r="L436" s="10" t="str">
        <f>IF($A436="","",COUNTIFS(Evaluations!$G$3:$G$10000,$A436,Evaluations!$O$3:$O$10000,"رعایت نشده"))</f>
        <v/>
      </c>
    </row>
    <row r="437">
      <c r="A437" s="10"/>
      <c r="B437" s="10" t="str">
        <f t="array" ref="B437">_xlfn.XLOOKUP(A437,DATA!D:D,DATA!E:E,"")</f>
        <v/>
      </c>
      <c r="C437" s="10" t="str">
        <f>IF($A437="","",COUNTIFS(Evaluations!$G$3:$G$10000,$A437,Evaluations!$U$3:$U$10000,"&gt;=0",Evaluations!$U$3:$U$10000,"&lt;=100"))</f>
        <v/>
      </c>
      <c r="D437" s="10" t="str">
        <f>IF(OR($A437="",C437=0),"",ROUND(SUMIFS(Evaluations!$U$3:$U$10000,Evaluations!$G$3:$G$10000,$A437)/C437,2))</f>
        <v/>
      </c>
      <c r="E437" s="10" t="str">
        <f>IF($A437="","",COUNTIFS(Evaluations!$G$3:$G$10000,$A437,Evaluations!$M$3:$M$10000,"پاسخ داده شده"))</f>
        <v/>
      </c>
      <c r="F437" s="10" t="str">
        <f>IF($A437="","",IFERROR(COUNTIFS(Evaluations!$G$3:$G$10000,$A437,Evaluations!$O$3:$O$10000,"رعایت شده")/(COUNTIFS(Evaluations!$G$3:$G$10000,$A437,Evaluations!$O$3:$O$10000,"رعایت شده")+COUNTIFS(Evaluations!$G$3:$G$10000,$A437,Evaluations!$O$3:$O$10000,"رعایت نشده")),""))</f>
        <v/>
      </c>
      <c r="G437" s="10" t="str">
        <f>IF($A437="","",IFERROR(ROUND(100*COUNTIFS(Evaluations!$G$3:$G$10000,$A437,Evaluations!$Q$3:$Q$10000,1)/(COUNTIFS(Evaluations!$G$3:$G$10000,$A437,Evaluations!$Q$3:$Q$10000,1)+COUNTIFS(Evaluations!$G$3:$G$10000,$A437,Evaluations!$Q$3:$Q$10000,0)),2),""))</f>
        <v/>
      </c>
      <c r="H437" s="10" t="str">
        <f>IF($A437="","",IFERROR(ROUND(100*COUNTIFS(Evaluations!$G$3:$G$10000,$A437,Evaluations!$R$3:$R$10000,1)/(COUNTIFS(Evaluations!$G$3:$G$10000,$A437,Evaluations!$R$3:$R$10000,1)+COUNTIFS(Evaluations!$G$3:$G$10000,$A437,Evaluations!$R$3:$R$10000,0)),2),""))</f>
        <v/>
      </c>
      <c r="I437" s="10" t="str">
        <f>IF($A437="","",IFERROR(ROUND(100*COUNTIFS(Evaluations!$G$3:$G$10000,$A437,Evaluations!$S$3:$S$10000,1)/(COUNTIFS(Evaluations!$G$3:$G$10000,$A437,Evaluations!$S$3:$S$10000,1)+COUNTIFS(Evaluations!$G$3:$G$10000,$A437,Evaluations!$S$3:$S$10000,0)),2),""))</f>
        <v/>
      </c>
      <c r="J437" s="10" t="str">
        <f>IF($A437="","",IFERROR(ROUND(100*COUNTIFS(Evaluations!$G$3:$G$10000,$A437,Evaluations!$T$3:$T$10000,1)/(COUNTIFS(Evaluations!$G$3:$G$10000,$A437,Evaluations!$T$3:$T$10000,1)+COUNTIFS(Evaluations!$G$3:$G$10000,$A437,Evaluations!$T$3:$T$10000,0)),2),""))</f>
        <v/>
      </c>
      <c r="K437" s="10" t="str">
        <f>IF($A437="","",COUNTIFS(Evaluations!$G$3:$G$10000,$A437,Evaluations!$M$3:$M$10000,"عدم پاسخ"))</f>
        <v/>
      </c>
      <c r="L437" s="10" t="str">
        <f>IF($A437="","",COUNTIFS(Evaluations!$G$3:$G$10000,$A437,Evaluations!$O$3:$O$10000,"رعایت نشده"))</f>
        <v/>
      </c>
    </row>
    <row r="438">
      <c r="A438" s="10"/>
      <c r="B438" s="10" t="str">
        <f t="array" ref="B438">_xlfn.XLOOKUP(A438,DATA!D:D,DATA!E:E,"")</f>
        <v/>
      </c>
      <c r="C438" s="10" t="str">
        <f>IF($A438="","",COUNTIFS(Evaluations!$G$3:$G$10000,$A438,Evaluations!$U$3:$U$10000,"&gt;=0",Evaluations!$U$3:$U$10000,"&lt;=100"))</f>
        <v/>
      </c>
      <c r="D438" s="10" t="str">
        <f>IF(OR($A438="",C438=0),"",ROUND(SUMIFS(Evaluations!$U$3:$U$10000,Evaluations!$G$3:$G$10000,$A438)/C438,2))</f>
        <v/>
      </c>
      <c r="E438" s="10" t="str">
        <f>IF($A438="","",COUNTIFS(Evaluations!$G$3:$G$10000,$A438,Evaluations!$M$3:$M$10000,"پاسخ داده شده"))</f>
        <v/>
      </c>
      <c r="F438" s="10" t="str">
        <f>IF($A438="","",IFERROR(COUNTIFS(Evaluations!$G$3:$G$10000,$A438,Evaluations!$O$3:$O$10000,"رعایت شده")/(COUNTIFS(Evaluations!$G$3:$G$10000,$A438,Evaluations!$O$3:$O$10000,"رعایت شده")+COUNTIFS(Evaluations!$G$3:$G$10000,$A438,Evaluations!$O$3:$O$10000,"رعایت نشده")),""))</f>
        <v/>
      </c>
      <c r="G438" s="10" t="str">
        <f>IF($A438="","",IFERROR(ROUND(100*COUNTIFS(Evaluations!$G$3:$G$10000,$A438,Evaluations!$Q$3:$Q$10000,1)/(COUNTIFS(Evaluations!$G$3:$G$10000,$A438,Evaluations!$Q$3:$Q$10000,1)+COUNTIFS(Evaluations!$G$3:$G$10000,$A438,Evaluations!$Q$3:$Q$10000,0)),2),""))</f>
        <v/>
      </c>
      <c r="H438" s="10" t="str">
        <f>IF($A438="","",IFERROR(ROUND(100*COUNTIFS(Evaluations!$G$3:$G$10000,$A438,Evaluations!$R$3:$R$10000,1)/(COUNTIFS(Evaluations!$G$3:$G$10000,$A438,Evaluations!$R$3:$R$10000,1)+COUNTIFS(Evaluations!$G$3:$G$10000,$A438,Evaluations!$R$3:$R$10000,0)),2),""))</f>
        <v/>
      </c>
      <c r="I438" s="10" t="str">
        <f>IF($A438="","",IFERROR(ROUND(100*COUNTIFS(Evaluations!$G$3:$G$10000,$A438,Evaluations!$S$3:$S$10000,1)/(COUNTIFS(Evaluations!$G$3:$G$10000,$A438,Evaluations!$S$3:$S$10000,1)+COUNTIFS(Evaluations!$G$3:$G$10000,$A438,Evaluations!$S$3:$S$10000,0)),2),""))</f>
        <v/>
      </c>
      <c r="J438" s="10" t="str">
        <f>IF($A438="","",IFERROR(ROUND(100*COUNTIFS(Evaluations!$G$3:$G$10000,$A438,Evaluations!$T$3:$T$10000,1)/(COUNTIFS(Evaluations!$G$3:$G$10000,$A438,Evaluations!$T$3:$T$10000,1)+COUNTIFS(Evaluations!$G$3:$G$10000,$A438,Evaluations!$T$3:$T$10000,0)),2),""))</f>
        <v/>
      </c>
      <c r="K438" s="10" t="str">
        <f>IF($A438="","",COUNTIFS(Evaluations!$G$3:$G$10000,$A438,Evaluations!$M$3:$M$10000,"عدم پاسخ"))</f>
        <v/>
      </c>
      <c r="L438" s="10" t="str">
        <f>IF($A438="","",COUNTIFS(Evaluations!$G$3:$G$10000,$A438,Evaluations!$O$3:$O$10000,"رعایت نشده"))</f>
        <v/>
      </c>
    </row>
    <row r="439">
      <c r="A439" s="10"/>
      <c r="B439" s="10" t="str">
        <f t="array" ref="B439">_xlfn.XLOOKUP(A439,DATA!D:D,DATA!E:E,"")</f>
        <v/>
      </c>
      <c r="C439" s="10" t="str">
        <f>IF($A439="","",COUNTIFS(Evaluations!$G$3:$G$10000,$A439,Evaluations!$U$3:$U$10000,"&gt;=0",Evaluations!$U$3:$U$10000,"&lt;=100"))</f>
        <v/>
      </c>
      <c r="D439" s="10" t="str">
        <f>IF(OR($A439="",C439=0),"",ROUND(SUMIFS(Evaluations!$U$3:$U$10000,Evaluations!$G$3:$G$10000,$A439)/C439,2))</f>
        <v/>
      </c>
      <c r="E439" s="10" t="str">
        <f>IF($A439="","",COUNTIFS(Evaluations!$G$3:$G$10000,$A439,Evaluations!$M$3:$M$10000,"پاسخ داده شده"))</f>
        <v/>
      </c>
      <c r="F439" s="10" t="str">
        <f>IF($A439="","",IFERROR(COUNTIFS(Evaluations!$G$3:$G$10000,$A439,Evaluations!$O$3:$O$10000,"رعایت شده")/(COUNTIFS(Evaluations!$G$3:$G$10000,$A439,Evaluations!$O$3:$O$10000,"رعایت شده")+COUNTIFS(Evaluations!$G$3:$G$10000,$A439,Evaluations!$O$3:$O$10000,"رعایت نشده")),""))</f>
        <v/>
      </c>
      <c r="G439" s="10" t="str">
        <f>IF($A439="","",IFERROR(ROUND(100*COUNTIFS(Evaluations!$G$3:$G$10000,$A439,Evaluations!$Q$3:$Q$10000,1)/(COUNTIFS(Evaluations!$G$3:$G$10000,$A439,Evaluations!$Q$3:$Q$10000,1)+COUNTIFS(Evaluations!$G$3:$G$10000,$A439,Evaluations!$Q$3:$Q$10000,0)),2),""))</f>
        <v/>
      </c>
      <c r="H439" s="10" t="str">
        <f>IF($A439="","",IFERROR(ROUND(100*COUNTIFS(Evaluations!$G$3:$G$10000,$A439,Evaluations!$R$3:$R$10000,1)/(COUNTIFS(Evaluations!$G$3:$G$10000,$A439,Evaluations!$R$3:$R$10000,1)+COUNTIFS(Evaluations!$G$3:$G$10000,$A439,Evaluations!$R$3:$R$10000,0)),2),""))</f>
        <v/>
      </c>
      <c r="I439" s="10" t="str">
        <f>IF($A439="","",IFERROR(ROUND(100*COUNTIFS(Evaluations!$G$3:$G$10000,$A439,Evaluations!$S$3:$S$10000,1)/(COUNTIFS(Evaluations!$G$3:$G$10000,$A439,Evaluations!$S$3:$S$10000,1)+COUNTIFS(Evaluations!$G$3:$G$10000,$A439,Evaluations!$S$3:$S$10000,0)),2),""))</f>
        <v/>
      </c>
      <c r="J439" s="10" t="str">
        <f>IF($A439="","",IFERROR(ROUND(100*COUNTIFS(Evaluations!$G$3:$G$10000,$A439,Evaluations!$T$3:$T$10000,1)/(COUNTIFS(Evaluations!$G$3:$G$10000,$A439,Evaluations!$T$3:$T$10000,1)+COUNTIFS(Evaluations!$G$3:$G$10000,$A439,Evaluations!$T$3:$T$10000,0)),2),""))</f>
        <v/>
      </c>
      <c r="K439" s="10" t="str">
        <f>IF($A439="","",COUNTIFS(Evaluations!$G$3:$G$10000,$A439,Evaluations!$M$3:$M$10000,"عدم پاسخ"))</f>
        <v/>
      </c>
      <c r="L439" s="10" t="str">
        <f>IF($A439="","",COUNTIFS(Evaluations!$G$3:$G$10000,$A439,Evaluations!$O$3:$O$10000,"رعایت نشده"))</f>
        <v/>
      </c>
    </row>
    <row r="440">
      <c r="A440" s="10"/>
      <c r="B440" s="10" t="str">
        <f t="array" ref="B440">_xlfn.XLOOKUP(A440,DATA!D:D,DATA!E:E,"")</f>
        <v/>
      </c>
      <c r="C440" s="10" t="str">
        <f>IF($A440="","",COUNTIFS(Evaluations!$G$3:$G$10000,$A440,Evaluations!$U$3:$U$10000,"&gt;=0",Evaluations!$U$3:$U$10000,"&lt;=100"))</f>
        <v/>
      </c>
      <c r="D440" s="10" t="str">
        <f>IF(OR($A440="",C440=0),"",ROUND(SUMIFS(Evaluations!$U$3:$U$10000,Evaluations!$G$3:$G$10000,$A440)/C440,2))</f>
        <v/>
      </c>
      <c r="E440" s="10" t="str">
        <f>IF($A440="","",COUNTIFS(Evaluations!$G$3:$G$10000,$A440,Evaluations!$M$3:$M$10000,"پاسخ داده شده"))</f>
        <v/>
      </c>
      <c r="F440" s="10" t="str">
        <f>IF($A440="","",IFERROR(COUNTIFS(Evaluations!$G$3:$G$10000,$A440,Evaluations!$O$3:$O$10000,"رعایت شده")/(COUNTIFS(Evaluations!$G$3:$G$10000,$A440,Evaluations!$O$3:$O$10000,"رعایت شده")+COUNTIFS(Evaluations!$G$3:$G$10000,$A440,Evaluations!$O$3:$O$10000,"رعایت نشده")),""))</f>
        <v/>
      </c>
      <c r="G440" s="10" t="str">
        <f>IF($A440="","",IFERROR(ROUND(100*COUNTIFS(Evaluations!$G$3:$G$10000,$A440,Evaluations!$Q$3:$Q$10000,1)/(COUNTIFS(Evaluations!$G$3:$G$10000,$A440,Evaluations!$Q$3:$Q$10000,1)+COUNTIFS(Evaluations!$G$3:$G$10000,$A440,Evaluations!$Q$3:$Q$10000,0)),2),""))</f>
        <v/>
      </c>
      <c r="H440" s="10" t="str">
        <f>IF($A440="","",IFERROR(ROUND(100*COUNTIFS(Evaluations!$G$3:$G$10000,$A440,Evaluations!$R$3:$R$10000,1)/(COUNTIFS(Evaluations!$G$3:$G$10000,$A440,Evaluations!$R$3:$R$10000,1)+COUNTIFS(Evaluations!$G$3:$G$10000,$A440,Evaluations!$R$3:$R$10000,0)),2),""))</f>
        <v/>
      </c>
      <c r="I440" s="10" t="str">
        <f>IF($A440="","",IFERROR(ROUND(100*COUNTIFS(Evaluations!$G$3:$G$10000,$A440,Evaluations!$S$3:$S$10000,1)/(COUNTIFS(Evaluations!$G$3:$G$10000,$A440,Evaluations!$S$3:$S$10000,1)+COUNTIFS(Evaluations!$G$3:$G$10000,$A440,Evaluations!$S$3:$S$10000,0)),2),""))</f>
        <v/>
      </c>
      <c r="J440" s="10" t="str">
        <f>IF($A440="","",IFERROR(ROUND(100*COUNTIFS(Evaluations!$G$3:$G$10000,$A440,Evaluations!$T$3:$T$10000,1)/(COUNTIFS(Evaluations!$G$3:$G$10000,$A440,Evaluations!$T$3:$T$10000,1)+COUNTIFS(Evaluations!$G$3:$G$10000,$A440,Evaluations!$T$3:$T$10000,0)),2),""))</f>
        <v/>
      </c>
      <c r="K440" s="10" t="str">
        <f>IF($A440="","",COUNTIFS(Evaluations!$G$3:$G$10000,$A440,Evaluations!$M$3:$M$10000,"عدم پاسخ"))</f>
        <v/>
      </c>
      <c r="L440" s="10" t="str">
        <f>IF($A440="","",COUNTIFS(Evaluations!$G$3:$G$10000,$A440,Evaluations!$O$3:$O$10000,"رعایت نشده"))</f>
        <v/>
      </c>
    </row>
    <row r="441">
      <c r="A441" s="10"/>
      <c r="B441" s="10" t="str">
        <f t="array" ref="B441">_xlfn.XLOOKUP(A441,DATA!D:D,DATA!E:E,"")</f>
        <v/>
      </c>
      <c r="C441" s="10" t="str">
        <f>IF($A441="","",COUNTIFS(Evaluations!$G$3:$G$10000,$A441,Evaluations!$U$3:$U$10000,"&gt;=0",Evaluations!$U$3:$U$10000,"&lt;=100"))</f>
        <v/>
      </c>
      <c r="D441" s="10" t="str">
        <f>IF(OR($A441="",C441=0),"",ROUND(SUMIFS(Evaluations!$U$3:$U$10000,Evaluations!$G$3:$G$10000,$A441)/C441,2))</f>
        <v/>
      </c>
      <c r="E441" s="10" t="str">
        <f>IF($A441="","",COUNTIFS(Evaluations!$G$3:$G$10000,$A441,Evaluations!$M$3:$M$10000,"پاسخ داده شده"))</f>
        <v/>
      </c>
      <c r="F441" s="10" t="str">
        <f>IF($A441="","",IFERROR(COUNTIFS(Evaluations!$G$3:$G$10000,$A441,Evaluations!$O$3:$O$10000,"رعایت شده")/(COUNTIFS(Evaluations!$G$3:$G$10000,$A441,Evaluations!$O$3:$O$10000,"رعایت شده")+COUNTIFS(Evaluations!$G$3:$G$10000,$A441,Evaluations!$O$3:$O$10000,"رعایت نشده")),""))</f>
        <v/>
      </c>
      <c r="G441" s="10" t="str">
        <f>IF($A441="","",IFERROR(ROUND(100*COUNTIFS(Evaluations!$G$3:$G$10000,$A441,Evaluations!$Q$3:$Q$10000,1)/(COUNTIFS(Evaluations!$G$3:$G$10000,$A441,Evaluations!$Q$3:$Q$10000,1)+COUNTIFS(Evaluations!$G$3:$G$10000,$A441,Evaluations!$Q$3:$Q$10000,0)),2),""))</f>
        <v/>
      </c>
      <c r="H441" s="10" t="str">
        <f>IF($A441="","",IFERROR(ROUND(100*COUNTIFS(Evaluations!$G$3:$G$10000,$A441,Evaluations!$R$3:$R$10000,1)/(COUNTIFS(Evaluations!$G$3:$G$10000,$A441,Evaluations!$R$3:$R$10000,1)+COUNTIFS(Evaluations!$G$3:$G$10000,$A441,Evaluations!$R$3:$R$10000,0)),2),""))</f>
        <v/>
      </c>
      <c r="I441" s="10" t="str">
        <f>IF($A441="","",IFERROR(ROUND(100*COUNTIFS(Evaluations!$G$3:$G$10000,$A441,Evaluations!$S$3:$S$10000,1)/(COUNTIFS(Evaluations!$G$3:$G$10000,$A441,Evaluations!$S$3:$S$10000,1)+COUNTIFS(Evaluations!$G$3:$G$10000,$A441,Evaluations!$S$3:$S$10000,0)),2),""))</f>
        <v/>
      </c>
      <c r="J441" s="10" t="str">
        <f>IF($A441="","",IFERROR(ROUND(100*COUNTIFS(Evaluations!$G$3:$G$10000,$A441,Evaluations!$T$3:$T$10000,1)/(COUNTIFS(Evaluations!$G$3:$G$10000,$A441,Evaluations!$T$3:$T$10000,1)+COUNTIFS(Evaluations!$G$3:$G$10000,$A441,Evaluations!$T$3:$T$10000,0)),2),""))</f>
        <v/>
      </c>
      <c r="K441" s="10" t="str">
        <f>IF($A441="","",COUNTIFS(Evaluations!$G$3:$G$10000,$A441,Evaluations!$M$3:$M$10000,"عدم پاسخ"))</f>
        <v/>
      </c>
      <c r="L441" s="10" t="str">
        <f>IF($A441="","",COUNTIFS(Evaluations!$G$3:$G$10000,$A441,Evaluations!$O$3:$O$10000,"رعایت نشده"))</f>
        <v/>
      </c>
    </row>
    <row r="442">
      <c r="A442" s="10"/>
      <c r="B442" s="10" t="str">
        <f t="array" ref="B442">_xlfn.XLOOKUP(A442,DATA!D:D,DATA!E:E,"")</f>
        <v/>
      </c>
      <c r="C442" s="10" t="str">
        <f>IF($A442="","",COUNTIFS(Evaluations!$G$3:$G$10000,$A442,Evaluations!$U$3:$U$10000,"&gt;=0",Evaluations!$U$3:$U$10000,"&lt;=100"))</f>
        <v/>
      </c>
      <c r="D442" s="10" t="str">
        <f>IF(OR($A442="",C442=0),"",ROUND(SUMIFS(Evaluations!$U$3:$U$10000,Evaluations!$G$3:$G$10000,$A442)/C442,2))</f>
        <v/>
      </c>
      <c r="E442" s="10" t="str">
        <f>IF($A442="","",COUNTIFS(Evaluations!$G$3:$G$10000,$A442,Evaluations!$M$3:$M$10000,"پاسخ داده شده"))</f>
        <v/>
      </c>
      <c r="F442" s="10" t="str">
        <f>IF($A442="","",IFERROR(COUNTIFS(Evaluations!$G$3:$G$10000,$A442,Evaluations!$O$3:$O$10000,"رعایت شده")/(COUNTIFS(Evaluations!$G$3:$G$10000,$A442,Evaluations!$O$3:$O$10000,"رعایت شده")+COUNTIFS(Evaluations!$G$3:$G$10000,$A442,Evaluations!$O$3:$O$10000,"رعایت نشده")),""))</f>
        <v/>
      </c>
      <c r="G442" s="10" t="str">
        <f>IF($A442="","",IFERROR(ROUND(100*COUNTIFS(Evaluations!$G$3:$G$10000,$A442,Evaluations!$Q$3:$Q$10000,1)/(COUNTIFS(Evaluations!$G$3:$G$10000,$A442,Evaluations!$Q$3:$Q$10000,1)+COUNTIFS(Evaluations!$G$3:$G$10000,$A442,Evaluations!$Q$3:$Q$10000,0)),2),""))</f>
        <v/>
      </c>
      <c r="H442" s="10" t="str">
        <f>IF($A442="","",IFERROR(ROUND(100*COUNTIFS(Evaluations!$G$3:$G$10000,$A442,Evaluations!$R$3:$R$10000,1)/(COUNTIFS(Evaluations!$G$3:$G$10000,$A442,Evaluations!$R$3:$R$10000,1)+COUNTIFS(Evaluations!$G$3:$G$10000,$A442,Evaluations!$R$3:$R$10000,0)),2),""))</f>
        <v/>
      </c>
      <c r="I442" s="10" t="str">
        <f>IF($A442="","",IFERROR(ROUND(100*COUNTIFS(Evaluations!$G$3:$G$10000,$A442,Evaluations!$S$3:$S$10000,1)/(COUNTIFS(Evaluations!$G$3:$G$10000,$A442,Evaluations!$S$3:$S$10000,1)+COUNTIFS(Evaluations!$G$3:$G$10000,$A442,Evaluations!$S$3:$S$10000,0)),2),""))</f>
        <v/>
      </c>
      <c r="J442" s="10" t="str">
        <f>IF($A442="","",IFERROR(ROUND(100*COUNTIFS(Evaluations!$G$3:$G$10000,$A442,Evaluations!$T$3:$T$10000,1)/(COUNTIFS(Evaluations!$G$3:$G$10000,$A442,Evaluations!$T$3:$T$10000,1)+COUNTIFS(Evaluations!$G$3:$G$10000,$A442,Evaluations!$T$3:$T$10000,0)),2),""))</f>
        <v/>
      </c>
      <c r="K442" s="10" t="str">
        <f>IF($A442="","",COUNTIFS(Evaluations!$G$3:$G$10000,$A442,Evaluations!$M$3:$M$10000,"عدم پاسخ"))</f>
        <v/>
      </c>
      <c r="L442" s="10" t="str">
        <f>IF($A442="","",COUNTIFS(Evaluations!$G$3:$G$10000,$A442,Evaluations!$O$3:$O$10000,"رعایت نشده"))</f>
        <v/>
      </c>
    </row>
    <row r="443">
      <c r="A443" s="10"/>
      <c r="B443" s="10" t="str">
        <f t="array" ref="B443">_xlfn.XLOOKUP(A443,DATA!D:D,DATA!E:E,"")</f>
        <v/>
      </c>
      <c r="C443" s="10" t="str">
        <f>IF($A443="","",COUNTIFS(Evaluations!$G$3:$G$10000,$A443,Evaluations!$U$3:$U$10000,"&gt;=0",Evaluations!$U$3:$U$10000,"&lt;=100"))</f>
        <v/>
      </c>
      <c r="D443" s="10" t="str">
        <f>IF(OR($A443="",C443=0),"",ROUND(SUMIFS(Evaluations!$U$3:$U$10000,Evaluations!$G$3:$G$10000,$A443)/C443,2))</f>
        <v/>
      </c>
      <c r="E443" s="10" t="str">
        <f>IF($A443="","",COUNTIFS(Evaluations!$G$3:$G$10000,$A443,Evaluations!$M$3:$M$10000,"پاسخ داده شده"))</f>
        <v/>
      </c>
      <c r="F443" s="10" t="str">
        <f>IF($A443="","",IFERROR(COUNTIFS(Evaluations!$G$3:$G$10000,$A443,Evaluations!$O$3:$O$10000,"رعایت شده")/(COUNTIFS(Evaluations!$G$3:$G$10000,$A443,Evaluations!$O$3:$O$10000,"رعایت شده")+COUNTIFS(Evaluations!$G$3:$G$10000,$A443,Evaluations!$O$3:$O$10000,"رعایت نشده")),""))</f>
        <v/>
      </c>
      <c r="G443" s="10" t="str">
        <f>IF($A443="","",IFERROR(ROUND(100*COUNTIFS(Evaluations!$G$3:$G$10000,$A443,Evaluations!$Q$3:$Q$10000,1)/(COUNTIFS(Evaluations!$G$3:$G$10000,$A443,Evaluations!$Q$3:$Q$10000,1)+COUNTIFS(Evaluations!$G$3:$G$10000,$A443,Evaluations!$Q$3:$Q$10000,0)),2),""))</f>
        <v/>
      </c>
      <c r="H443" s="10" t="str">
        <f>IF($A443="","",IFERROR(ROUND(100*COUNTIFS(Evaluations!$G$3:$G$10000,$A443,Evaluations!$R$3:$R$10000,1)/(COUNTIFS(Evaluations!$G$3:$G$10000,$A443,Evaluations!$R$3:$R$10000,1)+COUNTIFS(Evaluations!$G$3:$G$10000,$A443,Evaluations!$R$3:$R$10000,0)),2),""))</f>
        <v/>
      </c>
      <c r="I443" s="10" t="str">
        <f>IF($A443="","",IFERROR(ROUND(100*COUNTIFS(Evaluations!$G$3:$G$10000,$A443,Evaluations!$S$3:$S$10000,1)/(COUNTIFS(Evaluations!$G$3:$G$10000,$A443,Evaluations!$S$3:$S$10000,1)+COUNTIFS(Evaluations!$G$3:$G$10000,$A443,Evaluations!$S$3:$S$10000,0)),2),""))</f>
        <v/>
      </c>
      <c r="J443" s="10" t="str">
        <f>IF($A443="","",IFERROR(ROUND(100*COUNTIFS(Evaluations!$G$3:$G$10000,$A443,Evaluations!$T$3:$T$10000,1)/(COUNTIFS(Evaluations!$G$3:$G$10000,$A443,Evaluations!$T$3:$T$10000,1)+COUNTIFS(Evaluations!$G$3:$G$10000,$A443,Evaluations!$T$3:$T$10000,0)),2),""))</f>
        <v/>
      </c>
      <c r="K443" s="10" t="str">
        <f>IF($A443="","",COUNTIFS(Evaluations!$G$3:$G$10000,$A443,Evaluations!$M$3:$M$10000,"عدم پاسخ"))</f>
        <v/>
      </c>
      <c r="L443" s="10" t="str">
        <f>IF($A443="","",COUNTIFS(Evaluations!$G$3:$G$10000,$A443,Evaluations!$O$3:$O$10000,"رعایت نشده"))</f>
        <v/>
      </c>
    </row>
    <row r="444">
      <c r="A444" s="10"/>
      <c r="B444" s="10" t="str">
        <f t="array" ref="B444">_xlfn.XLOOKUP(A444,DATA!D:D,DATA!E:E,"")</f>
        <v/>
      </c>
      <c r="C444" s="10" t="str">
        <f>IF($A444="","",COUNTIFS(Evaluations!$G$3:$G$10000,$A444,Evaluations!$U$3:$U$10000,"&gt;=0",Evaluations!$U$3:$U$10000,"&lt;=100"))</f>
        <v/>
      </c>
      <c r="D444" s="10" t="str">
        <f>IF(OR($A444="",C444=0),"",ROUND(SUMIFS(Evaluations!$U$3:$U$10000,Evaluations!$G$3:$G$10000,$A444)/C444,2))</f>
        <v/>
      </c>
      <c r="E444" s="10" t="str">
        <f>IF($A444="","",COUNTIFS(Evaluations!$G$3:$G$10000,$A444,Evaluations!$M$3:$M$10000,"پاسخ داده شده"))</f>
        <v/>
      </c>
      <c r="F444" s="10" t="str">
        <f>IF($A444="","",IFERROR(COUNTIFS(Evaluations!$G$3:$G$10000,$A444,Evaluations!$O$3:$O$10000,"رعایت شده")/(COUNTIFS(Evaluations!$G$3:$G$10000,$A444,Evaluations!$O$3:$O$10000,"رعایت شده")+COUNTIFS(Evaluations!$G$3:$G$10000,$A444,Evaluations!$O$3:$O$10000,"رعایت نشده")),""))</f>
        <v/>
      </c>
      <c r="G444" s="10" t="str">
        <f>IF($A444="","",IFERROR(ROUND(100*COUNTIFS(Evaluations!$G$3:$G$10000,$A444,Evaluations!$Q$3:$Q$10000,1)/(COUNTIFS(Evaluations!$G$3:$G$10000,$A444,Evaluations!$Q$3:$Q$10000,1)+COUNTIFS(Evaluations!$G$3:$G$10000,$A444,Evaluations!$Q$3:$Q$10000,0)),2),""))</f>
        <v/>
      </c>
      <c r="H444" s="10" t="str">
        <f>IF($A444="","",IFERROR(ROUND(100*COUNTIFS(Evaluations!$G$3:$G$10000,$A444,Evaluations!$R$3:$R$10000,1)/(COUNTIFS(Evaluations!$G$3:$G$10000,$A444,Evaluations!$R$3:$R$10000,1)+COUNTIFS(Evaluations!$G$3:$G$10000,$A444,Evaluations!$R$3:$R$10000,0)),2),""))</f>
        <v/>
      </c>
      <c r="I444" s="10" t="str">
        <f>IF($A444="","",IFERROR(ROUND(100*COUNTIFS(Evaluations!$G$3:$G$10000,$A444,Evaluations!$S$3:$S$10000,1)/(COUNTIFS(Evaluations!$G$3:$G$10000,$A444,Evaluations!$S$3:$S$10000,1)+COUNTIFS(Evaluations!$G$3:$G$10000,$A444,Evaluations!$S$3:$S$10000,0)),2),""))</f>
        <v/>
      </c>
      <c r="J444" s="10" t="str">
        <f>IF($A444="","",IFERROR(ROUND(100*COUNTIFS(Evaluations!$G$3:$G$10000,$A444,Evaluations!$T$3:$T$10000,1)/(COUNTIFS(Evaluations!$G$3:$G$10000,$A444,Evaluations!$T$3:$T$10000,1)+COUNTIFS(Evaluations!$G$3:$G$10000,$A444,Evaluations!$T$3:$T$10000,0)),2),""))</f>
        <v/>
      </c>
      <c r="K444" s="10" t="str">
        <f>IF($A444="","",COUNTIFS(Evaluations!$G$3:$G$10000,$A444,Evaluations!$M$3:$M$10000,"عدم پاسخ"))</f>
        <v/>
      </c>
      <c r="L444" s="10" t="str">
        <f>IF($A444="","",COUNTIFS(Evaluations!$G$3:$G$10000,$A444,Evaluations!$O$3:$O$10000,"رعایت نشده"))</f>
        <v/>
      </c>
    </row>
    <row r="445">
      <c r="A445" s="10"/>
      <c r="B445" s="10" t="str">
        <f t="array" ref="B445">_xlfn.XLOOKUP(A445,DATA!D:D,DATA!E:E,"")</f>
        <v/>
      </c>
      <c r="C445" s="10" t="str">
        <f>IF($A445="","",COUNTIFS(Evaluations!$G$3:$G$10000,$A445,Evaluations!$U$3:$U$10000,"&gt;=0",Evaluations!$U$3:$U$10000,"&lt;=100"))</f>
        <v/>
      </c>
      <c r="D445" s="10" t="str">
        <f>IF(OR($A445="",C445=0),"",ROUND(SUMIFS(Evaluations!$U$3:$U$10000,Evaluations!$G$3:$G$10000,$A445)/C445,2))</f>
        <v/>
      </c>
      <c r="E445" s="10" t="str">
        <f>IF($A445="","",COUNTIFS(Evaluations!$G$3:$G$10000,$A445,Evaluations!$M$3:$M$10000,"پاسخ داده شده"))</f>
        <v/>
      </c>
      <c r="F445" s="10" t="str">
        <f>IF($A445="","",IFERROR(COUNTIFS(Evaluations!$G$3:$G$10000,$A445,Evaluations!$O$3:$O$10000,"رعایت شده")/(COUNTIFS(Evaluations!$G$3:$G$10000,$A445,Evaluations!$O$3:$O$10000,"رعایت شده")+COUNTIFS(Evaluations!$G$3:$G$10000,$A445,Evaluations!$O$3:$O$10000,"رعایت نشده")),""))</f>
        <v/>
      </c>
      <c r="G445" s="10" t="str">
        <f>IF($A445="","",IFERROR(ROUND(100*COUNTIFS(Evaluations!$G$3:$G$10000,$A445,Evaluations!$Q$3:$Q$10000,1)/(COUNTIFS(Evaluations!$G$3:$G$10000,$A445,Evaluations!$Q$3:$Q$10000,1)+COUNTIFS(Evaluations!$G$3:$G$10000,$A445,Evaluations!$Q$3:$Q$10000,0)),2),""))</f>
        <v/>
      </c>
      <c r="H445" s="10" t="str">
        <f>IF($A445="","",IFERROR(ROUND(100*COUNTIFS(Evaluations!$G$3:$G$10000,$A445,Evaluations!$R$3:$R$10000,1)/(COUNTIFS(Evaluations!$G$3:$G$10000,$A445,Evaluations!$R$3:$R$10000,1)+COUNTIFS(Evaluations!$G$3:$G$10000,$A445,Evaluations!$R$3:$R$10000,0)),2),""))</f>
        <v/>
      </c>
      <c r="I445" s="10" t="str">
        <f>IF($A445="","",IFERROR(ROUND(100*COUNTIFS(Evaluations!$G$3:$G$10000,$A445,Evaluations!$S$3:$S$10000,1)/(COUNTIFS(Evaluations!$G$3:$G$10000,$A445,Evaluations!$S$3:$S$10000,1)+COUNTIFS(Evaluations!$G$3:$G$10000,$A445,Evaluations!$S$3:$S$10000,0)),2),""))</f>
        <v/>
      </c>
      <c r="J445" s="10" t="str">
        <f>IF($A445="","",IFERROR(ROUND(100*COUNTIFS(Evaluations!$G$3:$G$10000,$A445,Evaluations!$T$3:$T$10000,1)/(COUNTIFS(Evaluations!$G$3:$G$10000,$A445,Evaluations!$T$3:$T$10000,1)+COUNTIFS(Evaluations!$G$3:$G$10000,$A445,Evaluations!$T$3:$T$10000,0)),2),""))</f>
        <v/>
      </c>
      <c r="K445" s="10" t="str">
        <f>IF($A445="","",COUNTIFS(Evaluations!$G$3:$G$10000,$A445,Evaluations!$M$3:$M$10000,"عدم پاسخ"))</f>
        <v/>
      </c>
      <c r="L445" s="10" t="str">
        <f>IF($A445="","",COUNTIFS(Evaluations!$G$3:$G$10000,$A445,Evaluations!$O$3:$O$10000,"رعایت نشده"))</f>
        <v/>
      </c>
    </row>
    <row r="446">
      <c r="A446" s="10"/>
      <c r="B446" s="10" t="str">
        <f t="array" ref="B446">_xlfn.XLOOKUP(A446,DATA!D:D,DATA!E:E,"")</f>
        <v/>
      </c>
      <c r="C446" s="10" t="str">
        <f>IF($A446="","",COUNTIFS(Evaluations!$G$3:$G$10000,$A446,Evaluations!$U$3:$U$10000,"&gt;=0",Evaluations!$U$3:$U$10000,"&lt;=100"))</f>
        <v/>
      </c>
      <c r="D446" s="10" t="str">
        <f>IF(OR($A446="",C446=0),"",ROUND(SUMIFS(Evaluations!$U$3:$U$10000,Evaluations!$G$3:$G$10000,$A446)/C446,2))</f>
        <v/>
      </c>
      <c r="E446" s="10" t="str">
        <f>IF($A446="","",COUNTIFS(Evaluations!$G$3:$G$10000,$A446,Evaluations!$M$3:$M$10000,"پاسخ داده شده"))</f>
        <v/>
      </c>
      <c r="F446" s="10" t="str">
        <f>IF($A446="","",IFERROR(COUNTIFS(Evaluations!$G$3:$G$10000,$A446,Evaluations!$O$3:$O$10000,"رعایت شده")/(COUNTIFS(Evaluations!$G$3:$G$10000,$A446,Evaluations!$O$3:$O$10000,"رعایت شده")+COUNTIFS(Evaluations!$G$3:$G$10000,$A446,Evaluations!$O$3:$O$10000,"رعایت نشده")),""))</f>
        <v/>
      </c>
      <c r="G446" s="10" t="str">
        <f>IF($A446="","",IFERROR(ROUND(100*COUNTIFS(Evaluations!$G$3:$G$10000,$A446,Evaluations!$Q$3:$Q$10000,1)/(COUNTIFS(Evaluations!$G$3:$G$10000,$A446,Evaluations!$Q$3:$Q$10000,1)+COUNTIFS(Evaluations!$G$3:$G$10000,$A446,Evaluations!$Q$3:$Q$10000,0)),2),""))</f>
        <v/>
      </c>
      <c r="H446" s="10" t="str">
        <f>IF($A446="","",IFERROR(ROUND(100*COUNTIFS(Evaluations!$G$3:$G$10000,$A446,Evaluations!$R$3:$R$10000,1)/(COUNTIFS(Evaluations!$G$3:$G$10000,$A446,Evaluations!$R$3:$R$10000,1)+COUNTIFS(Evaluations!$G$3:$G$10000,$A446,Evaluations!$R$3:$R$10000,0)),2),""))</f>
        <v/>
      </c>
      <c r="I446" s="10" t="str">
        <f>IF($A446="","",IFERROR(ROUND(100*COUNTIFS(Evaluations!$G$3:$G$10000,$A446,Evaluations!$S$3:$S$10000,1)/(COUNTIFS(Evaluations!$G$3:$G$10000,$A446,Evaluations!$S$3:$S$10000,1)+COUNTIFS(Evaluations!$G$3:$G$10000,$A446,Evaluations!$S$3:$S$10000,0)),2),""))</f>
        <v/>
      </c>
      <c r="J446" s="10" t="str">
        <f>IF($A446="","",IFERROR(ROUND(100*COUNTIFS(Evaluations!$G$3:$G$10000,$A446,Evaluations!$T$3:$T$10000,1)/(COUNTIFS(Evaluations!$G$3:$G$10000,$A446,Evaluations!$T$3:$T$10000,1)+COUNTIFS(Evaluations!$G$3:$G$10000,$A446,Evaluations!$T$3:$T$10000,0)),2),""))</f>
        <v/>
      </c>
      <c r="K446" s="10" t="str">
        <f>IF($A446="","",COUNTIFS(Evaluations!$G$3:$G$10000,$A446,Evaluations!$M$3:$M$10000,"عدم پاسخ"))</f>
        <v/>
      </c>
      <c r="L446" s="10" t="str">
        <f>IF($A446="","",COUNTIFS(Evaluations!$G$3:$G$10000,$A446,Evaluations!$O$3:$O$10000,"رعایت نشده"))</f>
        <v/>
      </c>
    </row>
    <row r="447">
      <c r="A447" s="10"/>
      <c r="B447" s="10" t="str">
        <f t="array" ref="B447">_xlfn.XLOOKUP(A447,DATA!D:D,DATA!E:E,"")</f>
        <v/>
      </c>
      <c r="C447" s="10" t="str">
        <f>IF($A447="","",COUNTIFS(Evaluations!$G$3:$G$10000,$A447,Evaluations!$U$3:$U$10000,"&gt;=0",Evaluations!$U$3:$U$10000,"&lt;=100"))</f>
        <v/>
      </c>
      <c r="D447" s="10" t="str">
        <f>IF(OR($A447="",C447=0),"",ROUND(SUMIFS(Evaluations!$U$3:$U$10000,Evaluations!$G$3:$G$10000,$A447)/C447,2))</f>
        <v/>
      </c>
      <c r="E447" s="10" t="str">
        <f>IF($A447="","",COUNTIFS(Evaluations!$G$3:$G$10000,$A447,Evaluations!$M$3:$M$10000,"پاسخ داده شده"))</f>
        <v/>
      </c>
      <c r="F447" s="10" t="str">
        <f>IF($A447="","",IFERROR(COUNTIFS(Evaluations!$G$3:$G$10000,$A447,Evaluations!$O$3:$O$10000,"رعایت شده")/(COUNTIFS(Evaluations!$G$3:$G$10000,$A447,Evaluations!$O$3:$O$10000,"رعایت شده")+COUNTIFS(Evaluations!$G$3:$G$10000,$A447,Evaluations!$O$3:$O$10000,"رعایت نشده")),""))</f>
        <v/>
      </c>
      <c r="G447" s="10" t="str">
        <f>IF($A447="","",IFERROR(ROUND(100*COUNTIFS(Evaluations!$G$3:$G$10000,$A447,Evaluations!$Q$3:$Q$10000,1)/(COUNTIFS(Evaluations!$G$3:$G$10000,$A447,Evaluations!$Q$3:$Q$10000,1)+COUNTIFS(Evaluations!$G$3:$G$10000,$A447,Evaluations!$Q$3:$Q$10000,0)),2),""))</f>
        <v/>
      </c>
      <c r="H447" s="10" t="str">
        <f>IF($A447="","",IFERROR(ROUND(100*COUNTIFS(Evaluations!$G$3:$G$10000,$A447,Evaluations!$R$3:$R$10000,1)/(COUNTIFS(Evaluations!$G$3:$G$10000,$A447,Evaluations!$R$3:$R$10000,1)+COUNTIFS(Evaluations!$G$3:$G$10000,$A447,Evaluations!$R$3:$R$10000,0)),2),""))</f>
        <v/>
      </c>
      <c r="I447" s="10" t="str">
        <f>IF($A447="","",IFERROR(ROUND(100*COUNTIFS(Evaluations!$G$3:$G$10000,$A447,Evaluations!$S$3:$S$10000,1)/(COUNTIFS(Evaluations!$G$3:$G$10000,$A447,Evaluations!$S$3:$S$10000,1)+COUNTIFS(Evaluations!$G$3:$G$10000,$A447,Evaluations!$S$3:$S$10000,0)),2),""))</f>
        <v/>
      </c>
      <c r="J447" s="10" t="str">
        <f>IF($A447="","",IFERROR(ROUND(100*COUNTIFS(Evaluations!$G$3:$G$10000,$A447,Evaluations!$T$3:$T$10000,1)/(COUNTIFS(Evaluations!$G$3:$G$10000,$A447,Evaluations!$T$3:$T$10000,1)+COUNTIFS(Evaluations!$G$3:$G$10000,$A447,Evaluations!$T$3:$T$10000,0)),2),""))</f>
        <v/>
      </c>
      <c r="K447" s="10" t="str">
        <f>IF($A447="","",COUNTIFS(Evaluations!$G$3:$G$10000,$A447,Evaluations!$M$3:$M$10000,"عدم پاسخ"))</f>
        <v/>
      </c>
      <c r="L447" s="10" t="str">
        <f>IF($A447="","",COUNTIFS(Evaluations!$G$3:$G$10000,$A447,Evaluations!$O$3:$O$10000,"رعایت نشده"))</f>
        <v/>
      </c>
    </row>
    <row r="448">
      <c r="A448" s="10"/>
      <c r="B448" s="10" t="str">
        <f t="array" ref="B448">_xlfn.XLOOKUP(A448,DATA!D:D,DATA!E:E,"")</f>
        <v/>
      </c>
      <c r="C448" s="10" t="str">
        <f>IF($A448="","",COUNTIFS(Evaluations!$G$3:$G$10000,$A448,Evaluations!$U$3:$U$10000,"&gt;=0",Evaluations!$U$3:$U$10000,"&lt;=100"))</f>
        <v/>
      </c>
      <c r="D448" s="10" t="str">
        <f>IF(OR($A448="",C448=0),"",ROUND(SUMIFS(Evaluations!$U$3:$U$10000,Evaluations!$G$3:$G$10000,$A448)/C448,2))</f>
        <v/>
      </c>
      <c r="E448" s="10" t="str">
        <f>IF($A448="","",COUNTIFS(Evaluations!$G$3:$G$10000,$A448,Evaluations!$M$3:$M$10000,"پاسخ داده شده"))</f>
        <v/>
      </c>
      <c r="F448" s="10" t="str">
        <f>IF($A448="","",IFERROR(COUNTIFS(Evaluations!$G$3:$G$10000,$A448,Evaluations!$O$3:$O$10000,"رعایت شده")/(COUNTIFS(Evaluations!$G$3:$G$10000,$A448,Evaluations!$O$3:$O$10000,"رعایت شده")+COUNTIFS(Evaluations!$G$3:$G$10000,$A448,Evaluations!$O$3:$O$10000,"رعایت نشده")),""))</f>
        <v/>
      </c>
      <c r="G448" s="10" t="str">
        <f>IF($A448="","",IFERROR(ROUND(100*COUNTIFS(Evaluations!$G$3:$G$10000,$A448,Evaluations!$Q$3:$Q$10000,1)/(COUNTIFS(Evaluations!$G$3:$G$10000,$A448,Evaluations!$Q$3:$Q$10000,1)+COUNTIFS(Evaluations!$G$3:$G$10000,$A448,Evaluations!$Q$3:$Q$10000,0)),2),""))</f>
        <v/>
      </c>
      <c r="H448" s="10" t="str">
        <f>IF($A448="","",IFERROR(ROUND(100*COUNTIFS(Evaluations!$G$3:$G$10000,$A448,Evaluations!$R$3:$R$10000,1)/(COUNTIFS(Evaluations!$G$3:$G$10000,$A448,Evaluations!$R$3:$R$10000,1)+COUNTIFS(Evaluations!$G$3:$G$10000,$A448,Evaluations!$R$3:$R$10000,0)),2),""))</f>
        <v/>
      </c>
      <c r="I448" s="10" t="str">
        <f>IF($A448="","",IFERROR(ROUND(100*COUNTIFS(Evaluations!$G$3:$G$10000,$A448,Evaluations!$S$3:$S$10000,1)/(COUNTIFS(Evaluations!$G$3:$G$10000,$A448,Evaluations!$S$3:$S$10000,1)+COUNTIFS(Evaluations!$G$3:$G$10000,$A448,Evaluations!$S$3:$S$10000,0)),2),""))</f>
        <v/>
      </c>
      <c r="J448" s="10" t="str">
        <f>IF($A448="","",IFERROR(ROUND(100*COUNTIFS(Evaluations!$G$3:$G$10000,$A448,Evaluations!$T$3:$T$10000,1)/(COUNTIFS(Evaluations!$G$3:$G$10000,$A448,Evaluations!$T$3:$T$10000,1)+COUNTIFS(Evaluations!$G$3:$G$10000,$A448,Evaluations!$T$3:$T$10000,0)),2),""))</f>
        <v/>
      </c>
      <c r="K448" s="10" t="str">
        <f>IF($A448="","",COUNTIFS(Evaluations!$G$3:$G$10000,$A448,Evaluations!$M$3:$M$10000,"عدم پاسخ"))</f>
        <v/>
      </c>
      <c r="L448" s="10" t="str">
        <f>IF($A448="","",COUNTIFS(Evaluations!$G$3:$G$10000,$A448,Evaluations!$O$3:$O$10000,"رعایت نشده"))</f>
        <v/>
      </c>
    </row>
    <row r="449">
      <c r="A449" s="10"/>
      <c r="B449" s="10" t="str">
        <f t="array" ref="B449">_xlfn.XLOOKUP(A449,DATA!D:D,DATA!E:E,"")</f>
        <v/>
      </c>
      <c r="C449" s="10" t="str">
        <f>IF($A449="","",COUNTIFS(Evaluations!$G$3:$G$10000,$A449,Evaluations!$U$3:$U$10000,"&gt;=0",Evaluations!$U$3:$U$10000,"&lt;=100"))</f>
        <v/>
      </c>
      <c r="D449" s="10" t="str">
        <f>IF(OR($A449="",C449=0),"",ROUND(SUMIFS(Evaluations!$U$3:$U$10000,Evaluations!$G$3:$G$10000,$A449)/C449,2))</f>
        <v/>
      </c>
      <c r="E449" s="10" t="str">
        <f>IF($A449="","",COUNTIFS(Evaluations!$G$3:$G$10000,$A449,Evaluations!$M$3:$M$10000,"پاسخ داده شده"))</f>
        <v/>
      </c>
      <c r="F449" s="10" t="str">
        <f>IF($A449="","",IFERROR(COUNTIFS(Evaluations!$G$3:$G$10000,$A449,Evaluations!$O$3:$O$10000,"رعایت شده")/(COUNTIFS(Evaluations!$G$3:$G$10000,$A449,Evaluations!$O$3:$O$10000,"رعایت شده")+COUNTIFS(Evaluations!$G$3:$G$10000,$A449,Evaluations!$O$3:$O$10000,"رعایت نشده")),""))</f>
        <v/>
      </c>
      <c r="G449" s="10" t="str">
        <f>IF($A449="","",IFERROR(ROUND(100*COUNTIFS(Evaluations!$G$3:$G$10000,$A449,Evaluations!$Q$3:$Q$10000,1)/(COUNTIFS(Evaluations!$G$3:$G$10000,$A449,Evaluations!$Q$3:$Q$10000,1)+COUNTIFS(Evaluations!$G$3:$G$10000,$A449,Evaluations!$Q$3:$Q$10000,0)),2),""))</f>
        <v/>
      </c>
      <c r="H449" s="10" t="str">
        <f>IF($A449="","",IFERROR(ROUND(100*COUNTIFS(Evaluations!$G$3:$G$10000,$A449,Evaluations!$R$3:$R$10000,1)/(COUNTIFS(Evaluations!$G$3:$G$10000,$A449,Evaluations!$R$3:$R$10000,1)+COUNTIFS(Evaluations!$G$3:$G$10000,$A449,Evaluations!$R$3:$R$10000,0)),2),""))</f>
        <v/>
      </c>
      <c r="I449" s="10" t="str">
        <f>IF($A449="","",IFERROR(ROUND(100*COUNTIFS(Evaluations!$G$3:$G$10000,$A449,Evaluations!$S$3:$S$10000,1)/(COUNTIFS(Evaluations!$G$3:$G$10000,$A449,Evaluations!$S$3:$S$10000,1)+COUNTIFS(Evaluations!$G$3:$G$10000,$A449,Evaluations!$S$3:$S$10000,0)),2),""))</f>
        <v/>
      </c>
      <c r="J449" s="10" t="str">
        <f>IF($A449="","",IFERROR(ROUND(100*COUNTIFS(Evaluations!$G$3:$G$10000,$A449,Evaluations!$T$3:$T$10000,1)/(COUNTIFS(Evaluations!$G$3:$G$10000,$A449,Evaluations!$T$3:$T$10000,1)+COUNTIFS(Evaluations!$G$3:$G$10000,$A449,Evaluations!$T$3:$T$10000,0)),2),""))</f>
        <v/>
      </c>
      <c r="K449" s="10" t="str">
        <f>IF($A449="","",COUNTIFS(Evaluations!$G$3:$G$10000,$A449,Evaluations!$M$3:$M$10000,"عدم پاسخ"))</f>
        <v/>
      </c>
      <c r="L449" s="10" t="str">
        <f>IF($A449="","",COUNTIFS(Evaluations!$G$3:$G$10000,$A449,Evaluations!$O$3:$O$10000,"رعایت نشده"))</f>
        <v/>
      </c>
    </row>
    <row r="450">
      <c r="A450" s="10"/>
      <c r="B450" s="10" t="str">
        <f t="array" ref="B450">_xlfn.XLOOKUP(A450,DATA!D:D,DATA!E:E,"")</f>
        <v/>
      </c>
      <c r="C450" s="10" t="str">
        <f>IF($A450="","",COUNTIFS(Evaluations!$G$3:$G$10000,$A450,Evaluations!$U$3:$U$10000,"&gt;=0",Evaluations!$U$3:$U$10000,"&lt;=100"))</f>
        <v/>
      </c>
      <c r="D450" s="10" t="str">
        <f>IF(OR($A450="",C450=0),"",ROUND(SUMIFS(Evaluations!$U$3:$U$10000,Evaluations!$G$3:$G$10000,$A450)/C450,2))</f>
        <v/>
      </c>
      <c r="E450" s="10" t="str">
        <f>IF($A450="","",COUNTIFS(Evaluations!$G$3:$G$10000,$A450,Evaluations!$M$3:$M$10000,"پاسخ داده شده"))</f>
        <v/>
      </c>
      <c r="F450" s="10" t="str">
        <f>IF($A450="","",IFERROR(COUNTIFS(Evaluations!$G$3:$G$10000,$A450,Evaluations!$O$3:$O$10000,"رعایت شده")/(COUNTIFS(Evaluations!$G$3:$G$10000,$A450,Evaluations!$O$3:$O$10000,"رعایت شده")+COUNTIFS(Evaluations!$G$3:$G$10000,$A450,Evaluations!$O$3:$O$10000,"رعایت نشده")),""))</f>
        <v/>
      </c>
      <c r="G450" s="10" t="str">
        <f>IF($A450="","",IFERROR(ROUND(100*COUNTIFS(Evaluations!$G$3:$G$10000,$A450,Evaluations!$Q$3:$Q$10000,1)/(COUNTIFS(Evaluations!$G$3:$G$10000,$A450,Evaluations!$Q$3:$Q$10000,1)+COUNTIFS(Evaluations!$G$3:$G$10000,$A450,Evaluations!$Q$3:$Q$10000,0)),2),""))</f>
        <v/>
      </c>
      <c r="H450" s="10" t="str">
        <f>IF($A450="","",IFERROR(ROUND(100*COUNTIFS(Evaluations!$G$3:$G$10000,$A450,Evaluations!$R$3:$R$10000,1)/(COUNTIFS(Evaluations!$G$3:$G$10000,$A450,Evaluations!$R$3:$R$10000,1)+COUNTIFS(Evaluations!$G$3:$G$10000,$A450,Evaluations!$R$3:$R$10000,0)),2),""))</f>
        <v/>
      </c>
      <c r="I450" s="10" t="str">
        <f>IF($A450="","",IFERROR(ROUND(100*COUNTIFS(Evaluations!$G$3:$G$10000,$A450,Evaluations!$S$3:$S$10000,1)/(COUNTIFS(Evaluations!$G$3:$G$10000,$A450,Evaluations!$S$3:$S$10000,1)+COUNTIFS(Evaluations!$G$3:$G$10000,$A450,Evaluations!$S$3:$S$10000,0)),2),""))</f>
        <v/>
      </c>
      <c r="J450" s="10" t="str">
        <f>IF($A450="","",IFERROR(ROUND(100*COUNTIFS(Evaluations!$G$3:$G$10000,$A450,Evaluations!$T$3:$T$10000,1)/(COUNTIFS(Evaluations!$G$3:$G$10000,$A450,Evaluations!$T$3:$T$10000,1)+COUNTIFS(Evaluations!$G$3:$G$10000,$A450,Evaluations!$T$3:$T$10000,0)),2),""))</f>
        <v/>
      </c>
      <c r="K450" s="10" t="str">
        <f>IF($A450="","",COUNTIFS(Evaluations!$G$3:$G$10000,$A450,Evaluations!$M$3:$M$10000,"عدم پاسخ"))</f>
        <v/>
      </c>
      <c r="L450" s="10" t="str">
        <f>IF($A450="","",COUNTIFS(Evaluations!$G$3:$G$10000,$A450,Evaluations!$O$3:$O$10000,"رعایت نشده"))</f>
        <v/>
      </c>
    </row>
    <row r="451">
      <c r="A451" s="10"/>
      <c r="B451" s="10" t="str">
        <f t="array" ref="B451">_xlfn.XLOOKUP(A451,DATA!D:D,DATA!E:E,"")</f>
        <v/>
      </c>
      <c r="C451" s="10" t="str">
        <f>IF($A451="","",COUNTIFS(Evaluations!$G$3:$G$10000,$A451,Evaluations!$U$3:$U$10000,"&gt;=0",Evaluations!$U$3:$U$10000,"&lt;=100"))</f>
        <v/>
      </c>
      <c r="D451" s="10" t="str">
        <f>IF(OR($A451="",C451=0),"",ROUND(SUMIFS(Evaluations!$U$3:$U$10000,Evaluations!$G$3:$G$10000,$A451)/C451,2))</f>
        <v/>
      </c>
      <c r="E451" s="10" t="str">
        <f>IF($A451="","",COUNTIFS(Evaluations!$G$3:$G$10000,$A451,Evaluations!$M$3:$M$10000,"پاسخ داده شده"))</f>
        <v/>
      </c>
      <c r="F451" s="10" t="str">
        <f>IF($A451="","",IFERROR(COUNTIFS(Evaluations!$G$3:$G$10000,$A451,Evaluations!$O$3:$O$10000,"رعایت شده")/(COUNTIFS(Evaluations!$G$3:$G$10000,$A451,Evaluations!$O$3:$O$10000,"رعایت شده")+COUNTIFS(Evaluations!$G$3:$G$10000,$A451,Evaluations!$O$3:$O$10000,"رعایت نشده")),""))</f>
        <v/>
      </c>
      <c r="G451" s="10" t="str">
        <f>IF($A451="","",IFERROR(ROUND(100*COUNTIFS(Evaluations!$G$3:$G$10000,$A451,Evaluations!$Q$3:$Q$10000,1)/(COUNTIFS(Evaluations!$G$3:$G$10000,$A451,Evaluations!$Q$3:$Q$10000,1)+COUNTIFS(Evaluations!$G$3:$G$10000,$A451,Evaluations!$Q$3:$Q$10000,0)),2),""))</f>
        <v/>
      </c>
      <c r="H451" s="10" t="str">
        <f>IF($A451="","",IFERROR(ROUND(100*COUNTIFS(Evaluations!$G$3:$G$10000,$A451,Evaluations!$R$3:$R$10000,1)/(COUNTIFS(Evaluations!$G$3:$G$10000,$A451,Evaluations!$R$3:$R$10000,1)+COUNTIFS(Evaluations!$G$3:$G$10000,$A451,Evaluations!$R$3:$R$10000,0)),2),""))</f>
        <v/>
      </c>
      <c r="I451" s="10" t="str">
        <f>IF($A451="","",IFERROR(ROUND(100*COUNTIFS(Evaluations!$G$3:$G$10000,$A451,Evaluations!$S$3:$S$10000,1)/(COUNTIFS(Evaluations!$G$3:$G$10000,$A451,Evaluations!$S$3:$S$10000,1)+COUNTIFS(Evaluations!$G$3:$G$10000,$A451,Evaluations!$S$3:$S$10000,0)),2),""))</f>
        <v/>
      </c>
      <c r="J451" s="10" t="str">
        <f>IF($A451="","",IFERROR(ROUND(100*COUNTIFS(Evaluations!$G$3:$G$10000,$A451,Evaluations!$T$3:$T$10000,1)/(COUNTIFS(Evaluations!$G$3:$G$10000,$A451,Evaluations!$T$3:$T$10000,1)+COUNTIFS(Evaluations!$G$3:$G$10000,$A451,Evaluations!$T$3:$T$10000,0)),2),""))</f>
        <v/>
      </c>
      <c r="K451" s="10" t="str">
        <f>IF($A451="","",COUNTIFS(Evaluations!$G$3:$G$10000,$A451,Evaluations!$M$3:$M$10000,"عدم پاسخ"))</f>
        <v/>
      </c>
      <c r="L451" s="10" t="str">
        <f>IF($A451="","",COUNTIFS(Evaluations!$G$3:$G$10000,$A451,Evaluations!$O$3:$O$10000,"رعایت نشده"))</f>
        <v/>
      </c>
    </row>
    <row r="452">
      <c r="A452" s="10"/>
      <c r="B452" s="10" t="str">
        <f t="array" ref="B452">_xlfn.XLOOKUP(A452,DATA!D:D,DATA!E:E,"")</f>
        <v/>
      </c>
      <c r="C452" s="10" t="str">
        <f>IF($A452="","",COUNTIFS(Evaluations!$G$3:$G$10000,$A452,Evaluations!$U$3:$U$10000,"&gt;=0",Evaluations!$U$3:$U$10000,"&lt;=100"))</f>
        <v/>
      </c>
      <c r="D452" s="10" t="str">
        <f>IF(OR($A452="",C452=0),"",ROUND(SUMIFS(Evaluations!$U$3:$U$10000,Evaluations!$G$3:$G$10000,$A452)/C452,2))</f>
        <v/>
      </c>
      <c r="E452" s="10" t="str">
        <f>IF($A452="","",COUNTIFS(Evaluations!$G$3:$G$10000,$A452,Evaluations!$M$3:$M$10000,"پاسخ داده شده"))</f>
        <v/>
      </c>
      <c r="F452" s="10" t="str">
        <f>IF($A452="","",IFERROR(COUNTIFS(Evaluations!$G$3:$G$10000,$A452,Evaluations!$O$3:$O$10000,"رعایت شده")/(COUNTIFS(Evaluations!$G$3:$G$10000,$A452,Evaluations!$O$3:$O$10000,"رعایت شده")+COUNTIFS(Evaluations!$G$3:$G$10000,$A452,Evaluations!$O$3:$O$10000,"رعایت نشده")),""))</f>
        <v/>
      </c>
      <c r="G452" s="10" t="str">
        <f>IF($A452="","",IFERROR(ROUND(100*COUNTIFS(Evaluations!$G$3:$G$10000,$A452,Evaluations!$Q$3:$Q$10000,1)/(COUNTIFS(Evaluations!$G$3:$G$10000,$A452,Evaluations!$Q$3:$Q$10000,1)+COUNTIFS(Evaluations!$G$3:$G$10000,$A452,Evaluations!$Q$3:$Q$10000,0)),2),""))</f>
        <v/>
      </c>
      <c r="H452" s="10" t="str">
        <f>IF($A452="","",IFERROR(ROUND(100*COUNTIFS(Evaluations!$G$3:$G$10000,$A452,Evaluations!$R$3:$R$10000,1)/(COUNTIFS(Evaluations!$G$3:$G$10000,$A452,Evaluations!$R$3:$R$10000,1)+COUNTIFS(Evaluations!$G$3:$G$10000,$A452,Evaluations!$R$3:$R$10000,0)),2),""))</f>
        <v/>
      </c>
      <c r="I452" s="10" t="str">
        <f>IF($A452="","",IFERROR(ROUND(100*COUNTIFS(Evaluations!$G$3:$G$10000,$A452,Evaluations!$S$3:$S$10000,1)/(COUNTIFS(Evaluations!$G$3:$G$10000,$A452,Evaluations!$S$3:$S$10000,1)+COUNTIFS(Evaluations!$G$3:$G$10000,$A452,Evaluations!$S$3:$S$10000,0)),2),""))</f>
        <v/>
      </c>
      <c r="J452" s="10" t="str">
        <f>IF($A452="","",IFERROR(ROUND(100*COUNTIFS(Evaluations!$G$3:$G$10000,$A452,Evaluations!$T$3:$T$10000,1)/(COUNTIFS(Evaluations!$G$3:$G$10000,$A452,Evaluations!$T$3:$T$10000,1)+COUNTIFS(Evaluations!$G$3:$G$10000,$A452,Evaluations!$T$3:$T$10000,0)),2),""))</f>
        <v/>
      </c>
      <c r="K452" s="10" t="str">
        <f>IF($A452="","",COUNTIFS(Evaluations!$G$3:$G$10000,$A452,Evaluations!$M$3:$M$10000,"عدم پاسخ"))</f>
        <v/>
      </c>
      <c r="L452" s="10" t="str">
        <f>IF($A452="","",COUNTIFS(Evaluations!$G$3:$G$10000,$A452,Evaluations!$O$3:$O$10000,"رعایت نشده"))</f>
        <v/>
      </c>
    </row>
    <row r="453">
      <c r="A453" s="10"/>
      <c r="B453" s="10" t="str">
        <f t="array" ref="B453">_xlfn.XLOOKUP(A453,DATA!D:D,DATA!E:E,"")</f>
        <v/>
      </c>
      <c r="C453" s="10" t="str">
        <f>IF($A453="","",COUNTIFS(Evaluations!$G$3:$G$10000,$A453,Evaluations!$U$3:$U$10000,"&gt;=0",Evaluations!$U$3:$U$10000,"&lt;=100"))</f>
        <v/>
      </c>
      <c r="D453" s="10" t="str">
        <f>IF(OR($A453="",C453=0),"",ROUND(SUMIFS(Evaluations!$U$3:$U$10000,Evaluations!$G$3:$G$10000,$A453)/C453,2))</f>
        <v/>
      </c>
      <c r="E453" s="10" t="str">
        <f>IF($A453="","",COUNTIFS(Evaluations!$G$3:$G$10000,$A453,Evaluations!$M$3:$M$10000,"پاسخ داده شده"))</f>
        <v/>
      </c>
      <c r="F453" s="10" t="str">
        <f>IF($A453="","",IFERROR(COUNTIFS(Evaluations!$G$3:$G$10000,$A453,Evaluations!$O$3:$O$10000,"رعایت شده")/(COUNTIFS(Evaluations!$G$3:$G$10000,$A453,Evaluations!$O$3:$O$10000,"رعایت شده")+COUNTIFS(Evaluations!$G$3:$G$10000,$A453,Evaluations!$O$3:$O$10000,"رعایت نشده")),""))</f>
        <v/>
      </c>
      <c r="G453" s="10" t="str">
        <f>IF($A453="","",IFERROR(ROUND(100*COUNTIFS(Evaluations!$G$3:$G$10000,$A453,Evaluations!$Q$3:$Q$10000,1)/(COUNTIFS(Evaluations!$G$3:$G$10000,$A453,Evaluations!$Q$3:$Q$10000,1)+COUNTIFS(Evaluations!$G$3:$G$10000,$A453,Evaluations!$Q$3:$Q$10000,0)),2),""))</f>
        <v/>
      </c>
      <c r="H453" s="10" t="str">
        <f>IF($A453="","",IFERROR(ROUND(100*COUNTIFS(Evaluations!$G$3:$G$10000,$A453,Evaluations!$R$3:$R$10000,1)/(COUNTIFS(Evaluations!$G$3:$G$10000,$A453,Evaluations!$R$3:$R$10000,1)+COUNTIFS(Evaluations!$G$3:$G$10000,$A453,Evaluations!$R$3:$R$10000,0)),2),""))</f>
        <v/>
      </c>
      <c r="I453" s="10" t="str">
        <f>IF($A453="","",IFERROR(ROUND(100*COUNTIFS(Evaluations!$G$3:$G$10000,$A453,Evaluations!$S$3:$S$10000,1)/(COUNTIFS(Evaluations!$G$3:$G$10000,$A453,Evaluations!$S$3:$S$10000,1)+COUNTIFS(Evaluations!$G$3:$G$10000,$A453,Evaluations!$S$3:$S$10000,0)),2),""))</f>
        <v/>
      </c>
      <c r="J453" s="10" t="str">
        <f>IF($A453="","",IFERROR(ROUND(100*COUNTIFS(Evaluations!$G$3:$G$10000,$A453,Evaluations!$T$3:$T$10000,1)/(COUNTIFS(Evaluations!$G$3:$G$10000,$A453,Evaluations!$T$3:$T$10000,1)+COUNTIFS(Evaluations!$G$3:$G$10000,$A453,Evaluations!$T$3:$T$10000,0)),2),""))</f>
        <v/>
      </c>
      <c r="K453" s="10" t="str">
        <f>IF($A453="","",COUNTIFS(Evaluations!$G$3:$G$10000,$A453,Evaluations!$M$3:$M$10000,"عدم پاسخ"))</f>
        <v/>
      </c>
      <c r="L453" s="10" t="str">
        <f>IF($A453="","",COUNTIFS(Evaluations!$G$3:$G$10000,$A453,Evaluations!$O$3:$O$10000,"رعایت نشده"))</f>
        <v/>
      </c>
    </row>
    <row r="454">
      <c r="A454" s="10"/>
      <c r="B454" s="10" t="str">
        <f t="array" ref="B454">_xlfn.XLOOKUP(A454,DATA!D:D,DATA!E:E,"")</f>
        <v/>
      </c>
      <c r="C454" s="10" t="str">
        <f>IF($A454="","",COUNTIFS(Evaluations!$G$3:$G$10000,$A454,Evaluations!$U$3:$U$10000,"&gt;=0",Evaluations!$U$3:$U$10000,"&lt;=100"))</f>
        <v/>
      </c>
      <c r="D454" s="10" t="str">
        <f>IF(OR($A454="",C454=0),"",ROUND(SUMIFS(Evaluations!$U$3:$U$10000,Evaluations!$G$3:$G$10000,$A454)/C454,2))</f>
        <v/>
      </c>
      <c r="E454" s="10" t="str">
        <f>IF($A454="","",COUNTIFS(Evaluations!$G$3:$G$10000,$A454,Evaluations!$M$3:$M$10000,"پاسخ داده شده"))</f>
        <v/>
      </c>
      <c r="F454" s="10" t="str">
        <f>IF($A454="","",IFERROR(COUNTIFS(Evaluations!$G$3:$G$10000,$A454,Evaluations!$O$3:$O$10000,"رعایت شده")/(COUNTIFS(Evaluations!$G$3:$G$10000,$A454,Evaluations!$O$3:$O$10000,"رعایت شده")+COUNTIFS(Evaluations!$G$3:$G$10000,$A454,Evaluations!$O$3:$O$10000,"رعایت نشده")),""))</f>
        <v/>
      </c>
      <c r="G454" s="10" t="str">
        <f>IF($A454="","",IFERROR(ROUND(100*COUNTIFS(Evaluations!$G$3:$G$10000,$A454,Evaluations!$Q$3:$Q$10000,1)/(COUNTIFS(Evaluations!$G$3:$G$10000,$A454,Evaluations!$Q$3:$Q$10000,1)+COUNTIFS(Evaluations!$G$3:$G$10000,$A454,Evaluations!$Q$3:$Q$10000,0)),2),""))</f>
        <v/>
      </c>
      <c r="H454" s="10" t="str">
        <f>IF($A454="","",IFERROR(ROUND(100*COUNTIFS(Evaluations!$G$3:$G$10000,$A454,Evaluations!$R$3:$R$10000,1)/(COUNTIFS(Evaluations!$G$3:$G$10000,$A454,Evaluations!$R$3:$R$10000,1)+COUNTIFS(Evaluations!$G$3:$G$10000,$A454,Evaluations!$R$3:$R$10000,0)),2),""))</f>
        <v/>
      </c>
      <c r="I454" s="10" t="str">
        <f>IF($A454="","",IFERROR(ROUND(100*COUNTIFS(Evaluations!$G$3:$G$10000,$A454,Evaluations!$S$3:$S$10000,1)/(COUNTIFS(Evaluations!$G$3:$G$10000,$A454,Evaluations!$S$3:$S$10000,1)+COUNTIFS(Evaluations!$G$3:$G$10000,$A454,Evaluations!$S$3:$S$10000,0)),2),""))</f>
        <v/>
      </c>
      <c r="J454" s="10" t="str">
        <f>IF($A454="","",IFERROR(ROUND(100*COUNTIFS(Evaluations!$G$3:$G$10000,$A454,Evaluations!$T$3:$T$10000,1)/(COUNTIFS(Evaluations!$G$3:$G$10000,$A454,Evaluations!$T$3:$T$10000,1)+COUNTIFS(Evaluations!$G$3:$G$10000,$A454,Evaluations!$T$3:$T$10000,0)),2),""))</f>
        <v/>
      </c>
      <c r="K454" s="10" t="str">
        <f>IF($A454="","",COUNTIFS(Evaluations!$G$3:$G$10000,$A454,Evaluations!$M$3:$M$10000,"عدم پاسخ"))</f>
        <v/>
      </c>
      <c r="L454" s="10" t="str">
        <f>IF($A454="","",COUNTIFS(Evaluations!$G$3:$G$10000,$A454,Evaluations!$O$3:$O$10000,"رعایت نشده"))</f>
        <v/>
      </c>
    </row>
    <row r="455">
      <c r="A455" s="10"/>
      <c r="B455" s="10" t="str">
        <f t="array" ref="B455">_xlfn.XLOOKUP(A455,DATA!D:D,DATA!E:E,"")</f>
        <v/>
      </c>
      <c r="C455" s="10" t="str">
        <f>IF($A455="","",COUNTIFS(Evaluations!$G$3:$G$10000,$A455,Evaluations!$U$3:$U$10000,"&gt;=0",Evaluations!$U$3:$U$10000,"&lt;=100"))</f>
        <v/>
      </c>
      <c r="D455" s="10" t="str">
        <f>IF(OR($A455="",C455=0),"",ROUND(SUMIFS(Evaluations!$U$3:$U$10000,Evaluations!$G$3:$G$10000,$A455)/C455,2))</f>
        <v/>
      </c>
      <c r="E455" s="10" t="str">
        <f>IF($A455="","",COUNTIFS(Evaluations!$G$3:$G$10000,$A455,Evaluations!$M$3:$M$10000,"پاسخ داده شده"))</f>
        <v/>
      </c>
      <c r="F455" s="10" t="str">
        <f>IF($A455="","",IFERROR(COUNTIFS(Evaluations!$G$3:$G$10000,$A455,Evaluations!$O$3:$O$10000,"رعایت شده")/(COUNTIFS(Evaluations!$G$3:$G$10000,$A455,Evaluations!$O$3:$O$10000,"رعایت شده")+COUNTIFS(Evaluations!$G$3:$G$10000,$A455,Evaluations!$O$3:$O$10000,"رعایت نشده")),""))</f>
        <v/>
      </c>
      <c r="G455" s="10" t="str">
        <f>IF($A455="","",IFERROR(ROUND(100*COUNTIFS(Evaluations!$G$3:$G$10000,$A455,Evaluations!$Q$3:$Q$10000,1)/(COUNTIFS(Evaluations!$G$3:$G$10000,$A455,Evaluations!$Q$3:$Q$10000,1)+COUNTIFS(Evaluations!$G$3:$G$10000,$A455,Evaluations!$Q$3:$Q$10000,0)),2),""))</f>
        <v/>
      </c>
      <c r="H455" s="10" t="str">
        <f>IF($A455="","",IFERROR(ROUND(100*COUNTIFS(Evaluations!$G$3:$G$10000,$A455,Evaluations!$R$3:$R$10000,1)/(COUNTIFS(Evaluations!$G$3:$G$10000,$A455,Evaluations!$R$3:$R$10000,1)+COUNTIFS(Evaluations!$G$3:$G$10000,$A455,Evaluations!$R$3:$R$10000,0)),2),""))</f>
        <v/>
      </c>
      <c r="I455" s="10" t="str">
        <f>IF($A455="","",IFERROR(ROUND(100*COUNTIFS(Evaluations!$G$3:$G$10000,$A455,Evaluations!$S$3:$S$10000,1)/(COUNTIFS(Evaluations!$G$3:$G$10000,$A455,Evaluations!$S$3:$S$10000,1)+COUNTIFS(Evaluations!$G$3:$G$10000,$A455,Evaluations!$S$3:$S$10000,0)),2),""))</f>
        <v/>
      </c>
      <c r="J455" s="10" t="str">
        <f>IF($A455="","",IFERROR(ROUND(100*COUNTIFS(Evaluations!$G$3:$G$10000,$A455,Evaluations!$T$3:$T$10000,1)/(COUNTIFS(Evaluations!$G$3:$G$10000,$A455,Evaluations!$T$3:$T$10000,1)+COUNTIFS(Evaluations!$G$3:$G$10000,$A455,Evaluations!$T$3:$T$10000,0)),2),""))</f>
        <v/>
      </c>
      <c r="K455" s="10" t="str">
        <f>IF($A455="","",COUNTIFS(Evaluations!$G$3:$G$10000,$A455,Evaluations!$M$3:$M$10000,"عدم پاسخ"))</f>
        <v/>
      </c>
      <c r="L455" s="10" t="str">
        <f>IF($A455="","",COUNTIFS(Evaluations!$G$3:$G$10000,$A455,Evaluations!$O$3:$O$10000,"رعایت نشده"))</f>
        <v/>
      </c>
    </row>
    <row r="456">
      <c r="A456" s="10"/>
      <c r="B456" s="10" t="str">
        <f t="array" ref="B456">_xlfn.XLOOKUP(A456,DATA!D:D,DATA!E:E,"")</f>
        <v/>
      </c>
      <c r="C456" s="10" t="str">
        <f>IF($A456="","",COUNTIFS(Evaluations!$G$3:$G$10000,$A456,Evaluations!$U$3:$U$10000,"&gt;=0",Evaluations!$U$3:$U$10000,"&lt;=100"))</f>
        <v/>
      </c>
      <c r="D456" s="10" t="str">
        <f>IF(OR($A456="",C456=0),"",ROUND(SUMIFS(Evaluations!$U$3:$U$10000,Evaluations!$G$3:$G$10000,$A456)/C456,2))</f>
        <v/>
      </c>
      <c r="E456" s="10" t="str">
        <f>IF($A456="","",COUNTIFS(Evaluations!$G$3:$G$10000,$A456,Evaluations!$M$3:$M$10000,"پاسخ داده شده"))</f>
        <v/>
      </c>
      <c r="F456" s="10" t="str">
        <f>IF($A456="","",IFERROR(COUNTIFS(Evaluations!$G$3:$G$10000,$A456,Evaluations!$O$3:$O$10000,"رعایت شده")/(COUNTIFS(Evaluations!$G$3:$G$10000,$A456,Evaluations!$O$3:$O$10000,"رعایت شده")+COUNTIFS(Evaluations!$G$3:$G$10000,$A456,Evaluations!$O$3:$O$10000,"رعایت نشده")),""))</f>
        <v/>
      </c>
      <c r="G456" s="10" t="str">
        <f>IF($A456="","",IFERROR(ROUND(100*COUNTIFS(Evaluations!$G$3:$G$10000,$A456,Evaluations!$Q$3:$Q$10000,1)/(COUNTIFS(Evaluations!$G$3:$G$10000,$A456,Evaluations!$Q$3:$Q$10000,1)+COUNTIFS(Evaluations!$G$3:$G$10000,$A456,Evaluations!$Q$3:$Q$10000,0)),2),""))</f>
        <v/>
      </c>
      <c r="H456" s="10" t="str">
        <f>IF($A456="","",IFERROR(ROUND(100*COUNTIFS(Evaluations!$G$3:$G$10000,$A456,Evaluations!$R$3:$R$10000,1)/(COUNTIFS(Evaluations!$G$3:$G$10000,$A456,Evaluations!$R$3:$R$10000,1)+COUNTIFS(Evaluations!$G$3:$G$10000,$A456,Evaluations!$R$3:$R$10000,0)),2),""))</f>
        <v/>
      </c>
      <c r="I456" s="10" t="str">
        <f>IF($A456="","",IFERROR(ROUND(100*COUNTIFS(Evaluations!$G$3:$G$10000,$A456,Evaluations!$S$3:$S$10000,1)/(COUNTIFS(Evaluations!$G$3:$G$10000,$A456,Evaluations!$S$3:$S$10000,1)+COUNTIFS(Evaluations!$G$3:$G$10000,$A456,Evaluations!$S$3:$S$10000,0)),2),""))</f>
        <v/>
      </c>
      <c r="J456" s="10" t="str">
        <f>IF($A456="","",IFERROR(ROUND(100*COUNTIFS(Evaluations!$G$3:$G$10000,$A456,Evaluations!$T$3:$T$10000,1)/(COUNTIFS(Evaluations!$G$3:$G$10000,$A456,Evaluations!$T$3:$T$10000,1)+COUNTIFS(Evaluations!$G$3:$G$10000,$A456,Evaluations!$T$3:$T$10000,0)),2),""))</f>
        <v/>
      </c>
      <c r="K456" s="10" t="str">
        <f>IF($A456="","",COUNTIFS(Evaluations!$G$3:$G$10000,$A456,Evaluations!$M$3:$M$10000,"عدم پاسخ"))</f>
        <v/>
      </c>
      <c r="L456" s="10" t="str">
        <f>IF($A456="","",COUNTIFS(Evaluations!$G$3:$G$10000,$A456,Evaluations!$O$3:$O$10000,"رعایت نشده"))</f>
        <v/>
      </c>
    </row>
    <row r="457">
      <c r="A457" s="10"/>
      <c r="B457" s="10" t="str">
        <f t="array" ref="B457">_xlfn.XLOOKUP(A457,DATA!D:D,DATA!E:E,"")</f>
        <v/>
      </c>
      <c r="C457" s="10" t="str">
        <f>IF($A457="","",COUNTIFS(Evaluations!$G$3:$G$10000,$A457,Evaluations!$U$3:$U$10000,"&gt;=0",Evaluations!$U$3:$U$10000,"&lt;=100"))</f>
        <v/>
      </c>
      <c r="D457" s="10" t="str">
        <f>IF(OR($A457="",C457=0),"",ROUND(SUMIFS(Evaluations!$U$3:$U$10000,Evaluations!$G$3:$G$10000,$A457)/C457,2))</f>
        <v/>
      </c>
      <c r="E457" s="10" t="str">
        <f>IF($A457="","",COUNTIFS(Evaluations!$G$3:$G$10000,$A457,Evaluations!$M$3:$M$10000,"پاسخ داده شده"))</f>
        <v/>
      </c>
      <c r="F457" s="10" t="str">
        <f>IF($A457="","",IFERROR(COUNTIFS(Evaluations!$G$3:$G$10000,$A457,Evaluations!$O$3:$O$10000,"رعایت شده")/(COUNTIFS(Evaluations!$G$3:$G$10000,$A457,Evaluations!$O$3:$O$10000,"رعایت شده")+COUNTIFS(Evaluations!$G$3:$G$10000,$A457,Evaluations!$O$3:$O$10000,"رعایت نشده")),""))</f>
        <v/>
      </c>
      <c r="G457" s="10" t="str">
        <f>IF($A457="","",IFERROR(ROUND(100*COUNTIFS(Evaluations!$G$3:$G$10000,$A457,Evaluations!$Q$3:$Q$10000,1)/(COUNTIFS(Evaluations!$G$3:$G$10000,$A457,Evaluations!$Q$3:$Q$10000,1)+COUNTIFS(Evaluations!$G$3:$G$10000,$A457,Evaluations!$Q$3:$Q$10000,0)),2),""))</f>
        <v/>
      </c>
      <c r="H457" s="10" t="str">
        <f>IF($A457="","",IFERROR(ROUND(100*COUNTIFS(Evaluations!$G$3:$G$10000,$A457,Evaluations!$R$3:$R$10000,1)/(COUNTIFS(Evaluations!$G$3:$G$10000,$A457,Evaluations!$R$3:$R$10000,1)+COUNTIFS(Evaluations!$G$3:$G$10000,$A457,Evaluations!$R$3:$R$10000,0)),2),""))</f>
        <v/>
      </c>
      <c r="I457" s="10" t="str">
        <f>IF($A457="","",IFERROR(ROUND(100*COUNTIFS(Evaluations!$G$3:$G$10000,$A457,Evaluations!$S$3:$S$10000,1)/(COUNTIFS(Evaluations!$G$3:$G$10000,$A457,Evaluations!$S$3:$S$10000,1)+COUNTIFS(Evaluations!$G$3:$G$10000,$A457,Evaluations!$S$3:$S$10000,0)),2),""))</f>
        <v/>
      </c>
      <c r="J457" s="10" t="str">
        <f>IF($A457="","",IFERROR(ROUND(100*COUNTIFS(Evaluations!$G$3:$G$10000,$A457,Evaluations!$T$3:$T$10000,1)/(COUNTIFS(Evaluations!$G$3:$G$10000,$A457,Evaluations!$T$3:$T$10000,1)+COUNTIFS(Evaluations!$G$3:$G$10000,$A457,Evaluations!$T$3:$T$10000,0)),2),""))</f>
        <v/>
      </c>
      <c r="K457" s="10" t="str">
        <f>IF($A457="","",COUNTIFS(Evaluations!$G$3:$G$10000,$A457,Evaluations!$M$3:$M$10000,"عدم پاسخ"))</f>
        <v/>
      </c>
      <c r="L457" s="10" t="str">
        <f>IF($A457="","",COUNTIFS(Evaluations!$G$3:$G$10000,$A457,Evaluations!$O$3:$O$10000,"رعایت نشده"))</f>
        <v/>
      </c>
    </row>
    <row r="458">
      <c r="A458" s="10"/>
      <c r="B458" s="10" t="str">
        <f t="array" ref="B458">_xlfn.XLOOKUP(A458,DATA!D:D,DATA!E:E,"")</f>
        <v/>
      </c>
      <c r="C458" s="10" t="str">
        <f>IF($A458="","",COUNTIFS(Evaluations!$G$3:$G$10000,$A458,Evaluations!$U$3:$U$10000,"&gt;=0",Evaluations!$U$3:$U$10000,"&lt;=100"))</f>
        <v/>
      </c>
      <c r="D458" s="10" t="str">
        <f>IF(OR($A458="",C458=0),"",ROUND(SUMIFS(Evaluations!$U$3:$U$10000,Evaluations!$G$3:$G$10000,$A458)/C458,2))</f>
        <v/>
      </c>
      <c r="E458" s="10" t="str">
        <f>IF($A458="","",COUNTIFS(Evaluations!$G$3:$G$10000,$A458,Evaluations!$M$3:$M$10000,"پاسخ داده شده"))</f>
        <v/>
      </c>
      <c r="F458" s="10" t="str">
        <f>IF($A458="","",IFERROR(COUNTIFS(Evaluations!$G$3:$G$10000,$A458,Evaluations!$O$3:$O$10000,"رعایت شده")/(COUNTIFS(Evaluations!$G$3:$G$10000,$A458,Evaluations!$O$3:$O$10000,"رعایت شده")+COUNTIFS(Evaluations!$G$3:$G$10000,$A458,Evaluations!$O$3:$O$10000,"رعایت نشده")),""))</f>
        <v/>
      </c>
      <c r="G458" s="10" t="str">
        <f>IF($A458="","",IFERROR(ROUND(100*COUNTIFS(Evaluations!$G$3:$G$10000,$A458,Evaluations!$Q$3:$Q$10000,1)/(COUNTIFS(Evaluations!$G$3:$G$10000,$A458,Evaluations!$Q$3:$Q$10000,1)+COUNTIFS(Evaluations!$G$3:$G$10000,$A458,Evaluations!$Q$3:$Q$10000,0)),2),""))</f>
        <v/>
      </c>
      <c r="H458" s="10" t="str">
        <f>IF($A458="","",IFERROR(ROUND(100*COUNTIFS(Evaluations!$G$3:$G$10000,$A458,Evaluations!$R$3:$R$10000,1)/(COUNTIFS(Evaluations!$G$3:$G$10000,$A458,Evaluations!$R$3:$R$10000,1)+COUNTIFS(Evaluations!$G$3:$G$10000,$A458,Evaluations!$R$3:$R$10000,0)),2),""))</f>
        <v/>
      </c>
      <c r="I458" s="10" t="str">
        <f>IF($A458="","",IFERROR(ROUND(100*COUNTIFS(Evaluations!$G$3:$G$10000,$A458,Evaluations!$S$3:$S$10000,1)/(COUNTIFS(Evaluations!$G$3:$G$10000,$A458,Evaluations!$S$3:$S$10000,1)+COUNTIFS(Evaluations!$G$3:$G$10000,$A458,Evaluations!$S$3:$S$10000,0)),2),""))</f>
        <v/>
      </c>
      <c r="J458" s="10" t="str">
        <f>IF($A458="","",IFERROR(ROUND(100*COUNTIFS(Evaluations!$G$3:$G$10000,$A458,Evaluations!$T$3:$T$10000,1)/(COUNTIFS(Evaluations!$G$3:$G$10000,$A458,Evaluations!$T$3:$T$10000,1)+COUNTIFS(Evaluations!$G$3:$G$10000,$A458,Evaluations!$T$3:$T$10000,0)),2),""))</f>
        <v/>
      </c>
      <c r="K458" s="10" t="str">
        <f>IF($A458="","",COUNTIFS(Evaluations!$G$3:$G$10000,$A458,Evaluations!$M$3:$M$10000,"عدم پاسخ"))</f>
        <v/>
      </c>
      <c r="L458" s="10" t="str">
        <f>IF($A458="","",COUNTIFS(Evaluations!$G$3:$G$10000,$A458,Evaluations!$O$3:$O$10000,"رعایت نشده"))</f>
        <v/>
      </c>
    </row>
    <row r="459">
      <c r="A459" s="10"/>
      <c r="B459" s="10" t="str">
        <f t="array" ref="B459">_xlfn.XLOOKUP(A459,DATA!D:D,DATA!E:E,"")</f>
        <v/>
      </c>
      <c r="C459" s="10" t="str">
        <f>IF($A459="","",COUNTIFS(Evaluations!$G$3:$G$10000,$A459,Evaluations!$U$3:$U$10000,"&gt;=0",Evaluations!$U$3:$U$10000,"&lt;=100"))</f>
        <v/>
      </c>
      <c r="D459" s="10" t="str">
        <f>IF(OR($A459="",C459=0),"",ROUND(SUMIFS(Evaluations!$U$3:$U$10000,Evaluations!$G$3:$G$10000,$A459)/C459,2))</f>
        <v/>
      </c>
      <c r="E459" s="10" t="str">
        <f>IF($A459="","",COUNTIFS(Evaluations!$G$3:$G$10000,$A459,Evaluations!$M$3:$M$10000,"پاسخ داده شده"))</f>
        <v/>
      </c>
      <c r="F459" s="10" t="str">
        <f>IF($A459="","",IFERROR(COUNTIFS(Evaluations!$G$3:$G$10000,$A459,Evaluations!$O$3:$O$10000,"رعایت شده")/(COUNTIFS(Evaluations!$G$3:$G$10000,$A459,Evaluations!$O$3:$O$10000,"رعایت شده")+COUNTIFS(Evaluations!$G$3:$G$10000,$A459,Evaluations!$O$3:$O$10000,"رعایت نشده")),""))</f>
        <v/>
      </c>
      <c r="G459" s="10" t="str">
        <f>IF($A459="","",IFERROR(ROUND(100*COUNTIFS(Evaluations!$G$3:$G$10000,$A459,Evaluations!$Q$3:$Q$10000,1)/(COUNTIFS(Evaluations!$G$3:$G$10000,$A459,Evaluations!$Q$3:$Q$10000,1)+COUNTIFS(Evaluations!$G$3:$G$10000,$A459,Evaluations!$Q$3:$Q$10000,0)),2),""))</f>
        <v/>
      </c>
      <c r="H459" s="10" t="str">
        <f>IF($A459="","",IFERROR(ROUND(100*COUNTIFS(Evaluations!$G$3:$G$10000,$A459,Evaluations!$R$3:$R$10000,1)/(COUNTIFS(Evaluations!$G$3:$G$10000,$A459,Evaluations!$R$3:$R$10000,1)+COUNTIFS(Evaluations!$G$3:$G$10000,$A459,Evaluations!$R$3:$R$10000,0)),2),""))</f>
        <v/>
      </c>
      <c r="I459" s="10" t="str">
        <f>IF($A459="","",IFERROR(ROUND(100*COUNTIFS(Evaluations!$G$3:$G$10000,$A459,Evaluations!$S$3:$S$10000,1)/(COUNTIFS(Evaluations!$G$3:$G$10000,$A459,Evaluations!$S$3:$S$10000,1)+COUNTIFS(Evaluations!$G$3:$G$10000,$A459,Evaluations!$S$3:$S$10000,0)),2),""))</f>
        <v/>
      </c>
      <c r="J459" s="10" t="str">
        <f>IF($A459="","",IFERROR(ROUND(100*COUNTIFS(Evaluations!$G$3:$G$10000,$A459,Evaluations!$T$3:$T$10000,1)/(COUNTIFS(Evaluations!$G$3:$G$10000,$A459,Evaluations!$T$3:$T$10000,1)+COUNTIFS(Evaluations!$G$3:$G$10000,$A459,Evaluations!$T$3:$T$10000,0)),2),""))</f>
        <v/>
      </c>
      <c r="K459" s="10" t="str">
        <f>IF($A459="","",COUNTIFS(Evaluations!$G$3:$G$10000,$A459,Evaluations!$M$3:$M$10000,"عدم پاسخ"))</f>
        <v/>
      </c>
      <c r="L459" s="10" t="str">
        <f>IF($A459="","",COUNTIFS(Evaluations!$G$3:$G$10000,$A459,Evaluations!$O$3:$O$10000,"رعایت نشده"))</f>
        <v/>
      </c>
    </row>
    <row r="460">
      <c r="A460" s="10"/>
      <c r="B460" s="10" t="str">
        <f t="array" ref="B460">_xlfn.XLOOKUP(A460,DATA!D:D,DATA!E:E,"")</f>
        <v/>
      </c>
      <c r="C460" s="10" t="str">
        <f>IF($A460="","",COUNTIFS(Evaluations!$G$3:$G$10000,$A460,Evaluations!$U$3:$U$10000,"&gt;=0",Evaluations!$U$3:$U$10000,"&lt;=100"))</f>
        <v/>
      </c>
      <c r="D460" s="10" t="str">
        <f>IF(OR($A460="",C460=0),"",ROUND(SUMIFS(Evaluations!$U$3:$U$10000,Evaluations!$G$3:$G$10000,$A460)/C460,2))</f>
        <v/>
      </c>
      <c r="E460" s="10" t="str">
        <f>IF($A460="","",COUNTIFS(Evaluations!$G$3:$G$10000,$A460,Evaluations!$M$3:$M$10000,"پاسخ داده شده"))</f>
        <v/>
      </c>
      <c r="F460" s="10" t="str">
        <f>IF($A460="","",IFERROR(COUNTIFS(Evaluations!$G$3:$G$10000,$A460,Evaluations!$O$3:$O$10000,"رعایت شده")/(COUNTIFS(Evaluations!$G$3:$G$10000,$A460,Evaluations!$O$3:$O$10000,"رعایت شده")+COUNTIFS(Evaluations!$G$3:$G$10000,$A460,Evaluations!$O$3:$O$10000,"رعایت نشده")),""))</f>
        <v/>
      </c>
      <c r="G460" s="10" t="str">
        <f>IF($A460="","",IFERROR(ROUND(100*COUNTIFS(Evaluations!$G$3:$G$10000,$A460,Evaluations!$Q$3:$Q$10000,1)/(COUNTIFS(Evaluations!$G$3:$G$10000,$A460,Evaluations!$Q$3:$Q$10000,1)+COUNTIFS(Evaluations!$G$3:$G$10000,$A460,Evaluations!$Q$3:$Q$10000,0)),2),""))</f>
        <v/>
      </c>
      <c r="H460" s="10" t="str">
        <f>IF($A460="","",IFERROR(ROUND(100*COUNTIFS(Evaluations!$G$3:$G$10000,$A460,Evaluations!$R$3:$R$10000,1)/(COUNTIFS(Evaluations!$G$3:$G$10000,$A460,Evaluations!$R$3:$R$10000,1)+COUNTIFS(Evaluations!$G$3:$G$10000,$A460,Evaluations!$R$3:$R$10000,0)),2),""))</f>
        <v/>
      </c>
      <c r="I460" s="10" t="str">
        <f>IF($A460="","",IFERROR(ROUND(100*COUNTIFS(Evaluations!$G$3:$G$10000,$A460,Evaluations!$S$3:$S$10000,1)/(COUNTIFS(Evaluations!$G$3:$G$10000,$A460,Evaluations!$S$3:$S$10000,1)+COUNTIFS(Evaluations!$G$3:$G$10000,$A460,Evaluations!$S$3:$S$10000,0)),2),""))</f>
        <v/>
      </c>
      <c r="J460" s="10" t="str">
        <f>IF($A460="","",IFERROR(ROUND(100*COUNTIFS(Evaluations!$G$3:$G$10000,$A460,Evaluations!$T$3:$T$10000,1)/(COUNTIFS(Evaluations!$G$3:$G$10000,$A460,Evaluations!$T$3:$T$10000,1)+COUNTIFS(Evaluations!$G$3:$G$10000,$A460,Evaluations!$T$3:$T$10000,0)),2),""))</f>
        <v/>
      </c>
      <c r="K460" s="10" t="str">
        <f>IF($A460="","",COUNTIFS(Evaluations!$G$3:$G$10000,$A460,Evaluations!$M$3:$M$10000,"عدم پاسخ"))</f>
        <v/>
      </c>
      <c r="L460" s="10" t="str">
        <f>IF($A460="","",COUNTIFS(Evaluations!$G$3:$G$10000,$A460,Evaluations!$O$3:$O$10000,"رعایت نشده"))</f>
        <v/>
      </c>
    </row>
    <row r="461">
      <c r="A461" s="10"/>
      <c r="B461" s="10" t="str">
        <f t="array" ref="B461">_xlfn.XLOOKUP(A461,DATA!D:D,DATA!E:E,"")</f>
        <v/>
      </c>
      <c r="C461" s="10" t="str">
        <f>IF($A461="","",COUNTIFS(Evaluations!$G$3:$G$10000,$A461,Evaluations!$U$3:$U$10000,"&gt;=0",Evaluations!$U$3:$U$10000,"&lt;=100"))</f>
        <v/>
      </c>
      <c r="D461" s="10" t="str">
        <f>IF(OR($A461="",C461=0),"",ROUND(SUMIFS(Evaluations!$U$3:$U$10000,Evaluations!$G$3:$G$10000,$A461)/C461,2))</f>
        <v/>
      </c>
      <c r="E461" s="10" t="str">
        <f>IF($A461="","",COUNTIFS(Evaluations!$G$3:$G$10000,$A461,Evaluations!$M$3:$M$10000,"پاسخ داده شده"))</f>
        <v/>
      </c>
      <c r="F461" s="10" t="str">
        <f>IF($A461="","",IFERROR(COUNTIFS(Evaluations!$G$3:$G$10000,$A461,Evaluations!$O$3:$O$10000,"رعایت شده")/(COUNTIFS(Evaluations!$G$3:$G$10000,$A461,Evaluations!$O$3:$O$10000,"رعایت شده")+COUNTIFS(Evaluations!$G$3:$G$10000,$A461,Evaluations!$O$3:$O$10000,"رعایت نشده")),""))</f>
        <v/>
      </c>
      <c r="G461" s="10" t="str">
        <f>IF($A461="","",IFERROR(ROUND(100*COUNTIFS(Evaluations!$G$3:$G$10000,$A461,Evaluations!$Q$3:$Q$10000,1)/(COUNTIFS(Evaluations!$G$3:$G$10000,$A461,Evaluations!$Q$3:$Q$10000,1)+COUNTIFS(Evaluations!$G$3:$G$10000,$A461,Evaluations!$Q$3:$Q$10000,0)),2),""))</f>
        <v/>
      </c>
      <c r="H461" s="10" t="str">
        <f>IF($A461="","",IFERROR(ROUND(100*COUNTIFS(Evaluations!$G$3:$G$10000,$A461,Evaluations!$R$3:$R$10000,1)/(COUNTIFS(Evaluations!$G$3:$G$10000,$A461,Evaluations!$R$3:$R$10000,1)+COUNTIFS(Evaluations!$G$3:$G$10000,$A461,Evaluations!$R$3:$R$10000,0)),2),""))</f>
        <v/>
      </c>
      <c r="I461" s="10" t="str">
        <f>IF($A461="","",IFERROR(ROUND(100*COUNTIFS(Evaluations!$G$3:$G$10000,$A461,Evaluations!$S$3:$S$10000,1)/(COUNTIFS(Evaluations!$G$3:$G$10000,$A461,Evaluations!$S$3:$S$10000,1)+COUNTIFS(Evaluations!$G$3:$G$10000,$A461,Evaluations!$S$3:$S$10000,0)),2),""))</f>
        <v/>
      </c>
      <c r="J461" s="10" t="str">
        <f>IF($A461="","",IFERROR(ROUND(100*COUNTIFS(Evaluations!$G$3:$G$10000,$A461,Evaluations!$T$3:$T$10000,1)/(COUNTIFS(Evaluations!$G$3:$G$10000,$A461,Evaluations!$T$3:$T$10000,1)+COUNTIFS(Evaluations!$G$3:$G$10000,$A461,Evaluations!$T$3:$T$10000,0)),2),""))</f>
        <v/>
      </c>
      <c r="K461" s="10" t="str">
        <f>IF($A461="","",COUNTIFS(Evaluations!$G$3:$G$10000,$A461,Evaluations!$M$3:$M$10000,"عدم پاسخ"))</f>
        <v/>
      </c>
      <c r="L461" s="10" t="str">
        <f>IF($A461="","",COUNTIFS(Evaluations!$G$3:$G$10000,$A461,Evaluations!$O$3:$O$10000,"رعایت نشده"))</f>
        <v/>
      </c>
    </row>
    <row r="462">
      <c r="A462" s="10"/>
      <c r="B462" s="10" t="str">
        <f t="array" ref="B462">_xlfn.XLOOKUP(A462,DATA!D:D,DATA!E:E,"")</f>
        <v/>
      </c>
      <c r="C462" s="10" t="str">
        <f>IF($A462="","",COUNTIFS(Evaluations!$G$3:$G$10000,$A462,Evaluations!$U$3:$U$10000,"&gt;=0",Evaluations!$U$3:$U$10000,"&lt;=100"))</f>
        <v/>
      </c>
      <c r="D462" s="10" t="str">
        <f>IF(OR($A462="",C462=0),"",ROUND(SUMIFS(Evaluations!$U$3:$U$10000,Evaluations!$G$3:$G$10000,$A462)/C462,2))</f>
        <v/>
      </c>
      <c r="E462" s="10" t="str">
        <f>IF($A462="","",COUNTIFS(Evaluations!$G$3:$G$10000,$A462,Evaluations!$M$3:$M$10000,"پاسخ داده شده"))</f>
        <v/>
      </c>
      <c r="F462" s="10" t="str">
        <f>IF($A462="","",IFERROR(COUNTIFS(Evaluations!$G$3:$G$10000,$A462,Evaluations!$O$3:$O$10000,"رعایت شده")/(COUNTIFS(Evaluations!$G$3:$G$10000,$A462,Evaluations!$O$3:$O$10000,"رعایت شده")+COUNTIFS(Evaluations!$G$3:$G$10000,$A462,Evaluations!$O$3:$O$10000,"رعایت نشده")),""))</f>
        <v/>
      </c>
      <c r="G462" s="10" t="str">
        <f>IF($A462="","",IFERROR(ROUND(100*COUNTIFS(Evaluations!$G$3:$G$10000,$A462,Evaluations!$Q$3:$Q$10000,1)/(COUNTIFS(Evaluations!$G$3:$G$10000,$A462,Evaluations!$Q$3:$Q$10000,1)+COUNTIFS(Evaluations!$G$3:$G$10000,$A462,Evaluations!$Q$3:$Q$10000,0)),2),""))</f>
        <v/>
      </c>
      <c r="H462" s="10" t="str">
        <f>IF($A462="","",IFERROR(ROUND(100*COUNTIFS(Evaluations!$G$3:$G$10000,$A462,Evaluations!$R$3:$R$10000,1)/(COUNTIFS(Evaluations!$G$3:$G$10000,$A462,Evaluations!$R$3:$R$10000,1)+COUNTIFS(Evaluations!$G$3:$G$10000,$A462,Evaluations!$R$3:$R$10000,0)),2),""))</f>
        <v/>
      </c>
      <c r="I462" s="10" t="str">
        <f>IF($A462="","",IFERROR(ROUND(100*COUNTIFS(Evaluations!$G$3:$G$10000,$A462,Evaluations!$S$3:$S$10000,1)/(COUNTIFS(Evaluations!$G$3:$G$10000,$A462,Evaluations!$S$3:$S$10000,1)+COUNTIFS(Evaluations!$G$3:$G$10000,$A462,Evaluations!$S$3:$S$10000,0)),2),""))</f>
        <v/>
      </c>
      <c r="J462" s="10" t="str">
        <f>IF($A462="","",IFERROR(ROUND(100*COUNTIFS(Evaluations!$G$3:$G$10000,$A462,Evaluations!$T$3:$T$10000,1)/(COUNTIFS(Evaluations!$G$3:$G$10000,$A462,Evaluations!$T$3:$T$10000,1)+COUNTIFS(Evaluations!$G$3:$G$10000,$A462,Evaluations!$T$3:$T$10000,0)),2),""))</f>
        <v/>
      </c>
      <c r="K462" s="10" t="str">
        <f>IF($A462="","",COUNTIFS(Evaluations!$G$3:$G$10000,$A462,Evaluations!$M$3:$M$10000,"عدم پاسخ"))</f>
        <v/>
      </c>
      <c r="L462" s="10" t="str">
        <f>IF($A462="","",COUNTIFS(Evaluations!$G$3:$G$10000,$A462,Evaluations!$O$3:$O$10000,"رعایت نشده"))</f>
        <v/>
      </c>
    </row>
    <row r="463">
      <c r="A463" s="10"/>
      <c r="B463" s="10" t="str">
        <f t="array" ref="B463">_xlfn.XLOOKUP(A463,DATA!D:D,DATA!E:E,"")</f>
        <v/>
      </c>
      <c r="C463" s="10" t="str">
        <f>IF($A463="","",COUNTIFS(Evaluations!$G$3:$G$10000,$A463,Evaluations!$U$3:$U$10000,"&gt;=0",Evaluations!$U$3:$U$10000,"&lt;=100"))</f>
        <v/>
      </c>
      <c r="D463" s="10" t="str">
        <f>IF(OR($A463="",C463=0),"",ROUND(SUMIFS(Evaluations!$U$3:$U$10000,Evaluations!$G$3:$G$10000,$A463)/C463,2))</f>
        <v/>
      </c>
      <c r="E463" s="10" t="str">
        <f>IF($A463="","",COUNTIFS(Evaluations!$G$3:$G$10000,$A463,Evaluations!$M$3:$M$10000,"پاسخ داده شده"))</f>
        <v/>
      </c>
      <c r="F463" s="10" t="str">
        <f>IF($A463="","",IFERROR(COUNTIFS(Evaluations!$G$3:$G$10000,$A463,Evaluations!$O$3:$O$10000,"رعایت شده")/(COUNTIFS(Evaluations!$G$3:$G$10000,$A463,Evaluations!$O$3:$O$10000,"رعایت شده")+COUNTIFS(Evaluations!$G$3:$G$10000,$A463,Evaluations!$O$3:$O$10000,"رعایت نشده")),""))</f>
        <v/>
      </c>
      <c r="G463" s="10" t="str">
        <f>IF($A463="","",IFERROR(ROUND(100*COUNTIFS(Evaluations!$G$3:$G$10000,$A463,Evaluations!$Q$3:$Q$10000,1)/(COUNTIFS(Evaluations!$G$3:$G$10000,$A463,Evaluations!$Q$3:$Q$10000,1)+COUNTIFS(Evaluations!$G$3:$G$10000,$A463,Evaluations!$Q$3:$Q$10000,0)),2),""))</f>
        <v/>
      </c>
      <c r="H463" s="10" t="str">
        <f>IF($A463="","",IFERROR(ROUND(100*COUNTIFS(Evaluations!$G$3:$G$10000,$A463,Evaluations!$R$3:$R$10000,1)/(COUNTIFS(Evaluations!$G$3:$G$10000,$A463,Evaluations!$R$3:$R$10000,1)+COUNTIFS(Evaluations!$G$3:$G$10000,$A463,Evaluations!$R$3:$R$10000,0)),2),""))</f>
        <v/>
      </c>
      <c r="I463" s="10" t="str">
        <f>IF($A463="","",IFERROR(ROUND(100*COUNTIFS(Evaluations!$G$3:$G$10000,$A463,Evaluations!$S$3:$S$10000,1)/(COUNTIFS(Evaluations!$G$3:$G$10000,$A463,Evaluations!$S$3:$S$10000,1)+COUNTIFS(Evaluations!$G$3:$G$10000,$A463,Evaluations!$S$3:$S$10000,0)),2),""))</f>
        <v/>
      </c>
      <c r="J463" s="10" t="str">
        <f>IF($A463="","",IFERROR(ROUND(100*COUNTIFS(Evaluations!$G$3:$G$10000,$A463,Evaluations!$T$3:$T$10000,1)/(COUNTIFS(Evaluations!$G$3:$G$10000,$A463,Evaluations!$T$3:$T$10000,1)+COUNTIFS(Evaluations!$G$3:$G$10000,$A463,Evaluations!$T$3:$T$10000,0)),2),""))</f>
        <v/>
      </c>
      <c r="K463" s="10" t="str">
        <f>IF($A463="","",COUNTIFS(Evaluations!$G$3:$G$10000,$A463,Evaluations!$M$3:$M$10000,"عدم پاسخ"))</f>
        <v/>
      </c>
      <c r="L463" s="10" t="str">
        <f>IF($A463="","",COUNTIFS(Evaluations!$G$3:$G$10000,$A463,Evaluations!$O$3:$O$10000,"رعایت نشده"))</f>
        <v/>
      </c>
    </row>
    <row r="464">
      <c r="A464" s="10"/>
      <c r="B464" s="10" t="str">
        <f t="array" ref="B464">_xlfn.XLOOKUP(A464,DATA!D:D,DATA!E:E,"")</f>
        <v/>
      </c>
      <c r="C464" s="10" t="str">
        <f>IF($A464="","",COUNTIFS(Evaluations!$G$3:$G$10000,$A464,Evaluations!$U$3:$U$10000,"&gt;=0",Evaluations!$U$3:$U$10000,"&lt;=100"))</f>
        <v/>
      </c>
      <c r="D464" s="10" t="str">
        <f>IF(OR($A464="",C464=0),"",ROUND(SUMIFS(Evaluations!$U$3:$U$10000,Evaluations!$G$3:$G$10000,$A464)/C464,2))</f>
        <v/>
      </c>
      <c r="E464" s="10" t="str">
        <f>IF($A464="","",COUNTIFS(Evaluations!$G$3:$G$10000,$A464,Evaluations!$M$3:$M$10000,"پاسخ داده شده"))</f>
        <v/>
      </c>
      <c r="F464" s="10" t="str">
        <f>IF($A464="","",IFERROR(COUNTIFS(Evaluations!$G$3:$G$10000,$A464,Evaluations!$O$3:$O$10000,"رعایت شده")/(COUNTIFS(Evaluations!$G$3:$G$10000,$A464,Evaluations!$O$3:$O$10000,"رعایت شده")+COUNTIFS(Evaluations!$G$3:$G$10000,$A464,Evaluations!$O$3:$O$10000,"رعایت نشده")),""))</f>
        <v/>
      </c>
      <c r="G464" s="10" t="str">
        <f>IF($A464="","",IFERROR(ROUND(100*COUNTIFS(Evaluations!$G$3:$G$10000,$A464,Evaluations!$Q$3:$Q$10000,1)/(COUNTIFS(Evaluations!$G$3:$G$10000,$A464,Evaluations!$Q$3:$Q$10000,1)+COUNTIFS(Evaluations!$G$3:$G$10000,$A464,Evaluations!$Q$3:$Q$10000,0)),2),""))</f>
        <v/>
      </c>
      <c r="H464" s="10" t="str">
        <f>IF($A464="","",IFERROR(ROUND(100*COUNTIFS(Evaluations!$G$3:$G$10000,$A464,Evaluations!$R$3:$R$10000,1)/(COUNTIFS(Evaluations!$G$3:$G$10000,$A464,Evaluations!$R$3:$R$10000,1)+COUNTIFS(Evaluations!$G$3:$G$10000,$A464,Evaluations!$R$3:$R$10000,0)),2),""))</f>
        <v/>
      </c>
      <c r="I464" s="10" t="str">
        <f>IF($A464="","",IFERROR(ROUND(100*COUNTIFS(Evaluations!$G$3:$G$10000,$A464,Evaluations!$S$3:$S$10000,1)/(COUNTIFS(Evaluations!$G$3:$G$10000,$A464,Evaluations!$S$3:$S$10000,1)+COUNTIFS(Evaluations!$G$3:$G$10000,$A464,Evaluations!$S$3:$S$10000,0)),2),""))</f>
        <v/>
      </c>
      <c r="J464" s="10" t="str">
        <f>IF($A464="","",IFERROR(ROUND(100*COUNTIFS(Evaluations!$G$3:$G$10000,$A464,Evaluations!$T$3:$T$10000,1)/(COUNTIFS(Evaluations!$G$3:$G$10000,$A464,Evaluations!$T$3:$T$10000,1)+COUNTIFS(Evaluations!$G$3:$G$10000,$A464,Evaluations!$T$3:$T$10000,0)),2),""))</f>
        <v/>
      </c>
      <c r="K464" s="10" t="str">
        <f>IF($A464="","",COUNTIFS(Evaluations!$G$3:$G$10000,$A464,Evaluations!$M$3:$M$10000,"عدم پاسخ"))</f>
        <v/>
      </c>
      <c r="L464" s="10" t="str">
        <f>IF($A464="","",COUNTIFS(Evaluations!$G$3:$G$10000,$A464,Evaluations!$O$3:$O$10000,"رعایت نشده"))</f>
        <v/>
      </c>
    </row>
    <row r="465">
      <c r="A465" s="10"/>
      <c r="B465" s="10" t="str">
        <f t="array" ref="B465">_xlfn.XLOOKUP(A465,DATA!D:D,DATA!E:E,"")</f>
        <v/>
      </c>
      <c r="C465" s="10" t="str">
        <f>IF($A465="","",COUNTIFS(Evaluations!$G$3:$G$10000,$A465,Evaluations!$U$3:$U$10000,"&gt;=0",Evaluations!$U$3:$U$10000,"&lt;=100"))</f>
        <v/>
      </c>
      <c r="D465" s="10" t="str">
        <f>IF(OR($A465="",C465=0),"",ROUND(SUMIFS(Evaluations!$U$3:$U$10000,Evaluations!$G$3:$G$10000,$A465)/C465,2))</f>
        <v/>
      </c>
      <c r="E465" s="10" t="str">
        <f>IF($A465="","",COUNTIFS(Evaluations!$G$3:$G$10000,$A465,Evaluations!$M$3:$M$10000,"پاسخ داده شده"))</f>
        <v/>
      </c>
      <c r="F465" s="10" t="str">
        <f>IF($A465="","",IFERROR(COUNTIFS(Evaluations!$G$3:$G$10000,$A465,Evaluations!$O$3:$O$10000,"رعایت شده")/(COUNTIFS(Evaluations!$G$3:$G$10000,$A465,Evaluations!$O$3:$O$10000,"رعایت شده")+COUNTIFS(Evaluations!$G$3:$G$10000,$A465,Evaluations!$O$3:$O$10000,"رعایت نشده")),""))</f>
        <v/>
      </c>
      <c r="G465" s="10" t="str">
        <f>IF($A465="","",IFERROR(ROUND(100*COUNTIFS(Evaluations!$G$3:$G$10000,$A465,Evaluations!$Q$3:$Q$10000,1)/(COUNTIFS(Evaluations!$G$3:$G$10000,$A465,Evaluations!$Q$3:$Q$10000,1)+COUNTIFS(Evaluations!$G$3:$G$10000,$A465,Evaluations!$Q$3:$Q$10000,0)),2),""))</f>
        <v/>
      </c>
      <c r="H465" s="10" t="str">
        <f>IF($A465="","",IFERROR(ROUND(100*COUNTIFS(Evaluations!$G$3:$G$10000,$A465,Evaluations!$R$3:$R$10000,1)/(COUNTIFS(Evaluations!$G$3:$G$10000,$A465,Evaluations!$R$3:$R$10000,1)+COUNTIFS(Evaluations!$G$3:$G$10000,$A465,Evaluations!$R$3:$R$10000,0)),2),""))</f>
        <v/>
      </c>
      <c r="I465" s="10" t="str">
        <f>IF($A465="","",IFERROR(ROUND(100*COUNTIFS(Evaluations!$G$3:$G$10000,$A465,Evaluations!$S$3:$S$10000,1)/(COUNTIFS(Evaluations!$G$3:$G$10000,$A465,Evaluations!$S$3:$S$10000,1)+COUNTIFS(Evaluations!$G$3:$G$10000,$A465,Evaluations!$S$3:$S$10000,0)),2),""))</f>
        <v/>
      </c>
      <c r="J465" s="10" t="str">
        <f>IF($A465="","",IFERROR(ROUND(100*COUNTIFS(Evaluations!$G$3:$G$10000,$A465,Evaluations!$T$3:$T$10000,1)/(COUNTIFS(Evaluations!$G$3:$G$10000,$A465,Evaluations!$T$3:$T$10000,1)+COUNTIFS(Evaluations!$G$3:$G$10000,$A465,Evaluations!$T$3:$T$10000,0)),2),""))</f>
        <v/>
      </c>
      <c r="K465" s="10" t="str">
        <f>IF($A465="","",COUNTIFS(Evaluations!$G$3:$G$10000,$A465,Evaluations!$M$3:$M$10000,"عدم پاسخ"))</f>
        <v/>
      </c>
      <c r="L465" s="10" t="str">
        <f>IF($A465="","",COUNTIFS(Evaluations!$G$3:$G$10000,$A465,Evaluations!$O$3:$O$10000,"رعایت نشده"))</f>
        <v/>
      </c>
    </row>
    <row r="466">
      <c r="A466" s="10"/>
      <c r="B466" s="10" t="str">
        <f t="array" ref="B466">_xlfn.XLOOKUP(A466,DATA!D:D,DATA!E:E,"")</f>
        <v/>
      </c>
      <c r="C466" s="10" t="str">
        <f>IF($A466="","",COUNTIFS(Evaluations!$G$3:$G$10000,$A466,Evaluations!$U$3:$U$10000,"&gt;=0",Evaluations!$U$3:$U$10000,"&lt;=100"))</f>
        <v/>
      </c>
      <c r="D466" s="10" t="str">
        <f>IF(OR($A466="",C466=0),"",ROUND(SUMIFS(Evaluations!$U$3:$U$10000,Evaluations!$G$3:$G$10000,$A466)/C466,2))</f>
        <v/>
      </c>
      <c r="E466" s="10" t="str">
        <f>IF($A466="","",COUNTIFS(Evaluations!$G$3:$G$10000,$A466,Evaluations!$M$3:$M$10000,"پاسخ داده شده"))</f>
        <v/>
      </c>
      <c r="F466" s="10" t="str">
        <f>IF($A466="","",IFERROR(COUNTIFS(Evaluations!$G$3:$G$10000,$A466,Evaluations!$O$3:$O$10000,"رعایت شده")/(COUNTIFS(Evaluations!$G$3:$G$10000,$A466,Evaluations!$O$3:$O$10000,"رعایت شده")+COUNTIFS(Evaluations!$G$3:$G$10000,$A466,Evaluations!$O$3:$O$10000,"رعایت نشده")),""))</f>
        <v/>
      </c>
      <c r="G466" s="10" t="str">
        <f>IF($A466="","",IFERROR(ROUND(100*COUNTIFS(Evaluations!$G$3:$G$10000,$A466,Evaluations!$Q$3:$Q$10000,1)/(COUNTIFS(Evaluations!$G$3:$G$10000,$A466,Evaluations!$Q$3:$Q$10000,1)+COUNTIFS(Evaluations!$G$3:$G$10000,$A466,Evaluations!$Q$3:$Q$10000,0)),2),""))</f>
        <v/>
      </c>
      <c r="H466" s="10" t="str">
        <f>IF($A466="","",IFERROR(ROUND(100*COUNTIFS(Evaluations!$G$3:$G$10000,$A466,Evaluations!$R$3:$R$10000,1)/(COUNTIFS(Evaluations!$G$3:$G$10000,$A466,Evaluations!$R$3:$R$10000,1)+COUNTIFS(Evaluations!$G$3:$G$10000,$A466,Evaluations!$R$3:$R$10000,0)),2),""))</f>
        <v/>
      </c>
      <c r="I466" s="10" t="str">
        <f>IF($A466="","",IFERROR(ROUND(100*COUNTIFS(Evaluations!$G$3:$G$10000,$A466,Evaluations!$S$3:$S$10000,1)/(COUNTIFS(Evaluations!$G$3:$G$10000,$A466,Evaluations!$S$3:$S$10000,1)+COUNTIFS(Evaluations!$G$3:$G$10000,$A466,Evaluations!$S$3:$S$10000,0)),2),""))</f>
        <v/>
      </c>
      <c r="J466" s="10" t="str">
        <f>IF($A466="","",IFERROR(ROUND(100*COUNTIFS(Evaluations!$G$3:$G$10000,$A466,Evaluations!$T$3:$T$10000,1)/(COUNTIFS(Evaluations!$G$3:$G$10000,$A466,Evaluations!$T$3:$T$10000,1)+COUNTIFS(Evaluations!$G$3:$G$10000,$A466,Evaluations!$T$3:$T$10000,0)),2),""))</f>
        <v/>
      </c>
      <c r="K466" s="10" t="str">
        <f>IF($A466="","",COUNTIFS(Evaluations!$G$3:$G$10000,$A466,Evaluations!$M$3:$M$10000,"عدم پاسخ"))</f>
        <v/>
      </c>
      <c r="L466" s="10" t="str">
        <f>IF($A466="","",COUNTIFS(Evaluations!$G$3:$G$10000,$A466,Evaluations!$O$3:$O$10000,"رعایت نشده"))</f>
        <v/>
      </c>
    </row>
    <row r="467">
      <c r="A467" s="10"/>
      <c r="B467" s="10" t="str">
        <f t="array" ref="B467">_xlfn.XLOOKUP(A467,DATA!D:D,DATA!E:E,"")</f>
        <v/>
      </c>
      <c r="C467" s="10" t="str">
        <f>IF($A467="","",COUNTIFS(Evaluations!$G$3:$G$10000,$A467,Evaluations!$U$3:$U$10000,"&gt;=0",Evaluations!$U$3:$U$10000,"&lt;=100"))</f>
        <v/>
      </c>
      <c r="D467" s="10" t="str">
        <f>IF(OR($A467="",C467=0),"",ROUND(SUMIFS(Evaluations!$U$3:$U$10000,Evaluations!$G$3:$G$10000,$A467)/C467,2))</f>
        <v/>
      </c>
      <c r="E467" s="10" t="str">
        <f>IF($A467="","",COUNTIFS(Evaluations!$G$3:$G$10000,$A467,Evaluations!$M$3:$M$10000,"پاسخ داده شده"))</f>
        <v/>
      </c>
      <c r="F467" s="10" t="str">
        <f>IF($A467="","",IFERROR(COUNTIFS(Evaluations!$G$3:$G$10000,$A467,Evaluations!$O$3:$O$10000,"رعایت شده")/(COUNTIFS(Evaluations!$G$3:$G$10000,$A467,Evaluations!$O$3:$O$10000,"رعایت شده")+COUNTIFS(Evaluations!$G$3:$G$10000,$A467,Evaluations!$O$3:$O$10000,"رعایت نشده")),""))</f>
        <v/>
      </c>
      <c r="G467" s="10" t="str">
        <f>IF($A467="","",IFERROR(ROUND(100*COUNTIFS(Evaluations!$G$3:$G$10000,$A467,Evaluations!$Q$3:$Q$10000,1)/(COUNTIFS(Evaluations!$G$3:$G$10000,$A467,Evaluations!$Q$3:$Q$10000,1)+COUNTIFS(Evaluations!$G$3:$G$10000,$A467,Evaluations!$Q$3:$Q$10000,0)),2),""))</f>
        <v/>
      </c>
      <c r="H467" s="10" t="str">
        <f>IF($A467="","",IFERROR(ROUND(100*COUNTIFS(Evaluations!$G$3:$G$10000,$A467,Evaluations!$R$3:$R$10000,1)/(COUNTIFS(Evaluations!$G$3:$G$10000,$A467,Evaluations!$R$3:$R$10000,1)+COUNTIFS(Evaluations!$G$3:$G$10000,$A467,Evaluations!$R$3:$R$10000,0)),2),""))</f>
        <v/>
      </c>
      <c r="I467" s="10" t="str">
        <f>IF($A467="","",IFERROR(ROUND(100*COUNTIFS(Evaluations!$G$3:$G$10000,$A467,Evaluations!$S$3:$S$10000,1)/(COUNTIFS(Evaluations!$G$3:$G$10000,$A467,Evaluations!$S$3:$S$10000,1)+COUNTIFS(Evaluations!$G$3:$G$10000,$A467,Evaluations!$S$3:$S$10000,0)),2),""))</f>
        <v/>
      </c>
      <c r="J467" s="10" t="str">
        <f>IF($A467="","",IFERROR(ROUND(100*COUNTIFS(Evaluations!$G$3:$G$10000,$A467,Evaluations!$T$3:$T$10000,1)/(COUNTIFS(Evaluations!$G$3:$G$10000,$A467,Evaluations!$T$3:$T$10000,1)+COUNTIFS(Evaluations!$G$3:$G$10000,$A467,Evaluations!$T$3:$T$10000,0)),2),""))</f>
        <v/>
      </c>
      <c r="K467" s="10" t="str">
        <f>IF($A467="","",COUNTIFS(Evaluations!$G$3:$G$10000,$A467,Evaluations!$M$3:$M$10000,"عدم پاسخ"))</f>
        <v/>
      </c>
      <c r="L467" s="10" t="str">
        <f>IF($A467="","",COUNTIFS(Evaluations!$G$3:$G$10000,$A467,Evaluations!$O$3:$O$10000,"رعایت نشده"))</f>
        <v/>
      </c>
    </row>
    <row r="468">
      <c r="A468" s="10"/>
      <c r="B468" s="10" t="str">
        <f t="array" ref="B468">_xlfn.XLOOKUP(A468,DATA!D:D,DATA!E:E,"")</f>
        <v/>
      </c>
      <c r="C468" s="10" t="str">
        <f>IF($A468="","",COUNTIFS(Evaluations!$G$3:$G$10000,$A468,Evaluations!$U$3:$U$10000,"&gt;=0",Evaluations!$U$3:$U$10000,"&lt;=100"))</f>
        <v/>
      </c>
      <c r="D468" s="10" t="str">
        <f>IF(OR($A468="",C468=0),"",ROUND(SUMIFS(Evaluations!$U$3:$U$10000,Evaluations!$G$3:$G$10000,$A468)/C468,2))</f>
        <v/>
      </c>
      <c r="E468" s="10" t="str">
        <f>IF($A468="","",COUNTIFS(Evaluations!$G$3:$G$10000,$A468,Evaluations!$M$3:$M$10000,"پاسخ داده شده"))</f>
        <v/>
      </c>
      <c r="F468" s="10" t="str">
        <f>IF($A468="","",IFERROR(COUNTIFS(Evaluations!$G$3:$G$10000,$A468,Evaluations!$O$3:$O$10000,"رعایت شده")/(COUNTIFS(Evaluations!$G$3:$G$10000,$A468,Evaluations!$O$3:$O$10000,"رعایت شده")+COUNTIFS(Evaluations!$G$3:$G$10000,$A468,Evaluations!$O$3:$O$10000,"رعایت نشده")),""))</f>
        <v/>
      </c>
      <c r="G468" s="10" t="str">
        <f>IF($A468="","",IFERROR(ROUND(100*COUNTIFS(Evaluations!$G$3:$G$10000,$A468,Evaluations!$Q$3:$Q$10000,1)/(COUNTIFS(Evaluations!$G$3:$G$10000,$A468,Evaluations!$Q$3:$Q$10000,1)+COUNTIFS(Evaluations!$G$3:$G$10000,$A468,Evaluations!$Q$3:$Q$10000,0)),2),""))</f>
        <v/>
      </c>
      <c r="H468" s="10" t="str">
        <f>IF($A468="","",IFERROR(ROUND(100*COUNTIFS(Evaluations!$G$3:$G$10000,$A468,Evaluations!$R$3:$R$10000,1)/(COUNTIFS(Evaluations!$G$3:$G$10000,$A468,Evaluations!$R$3:$R$10000,1)+COUNTIFS(Evaluations!$G$3:$G$10000,$A468,Evaluations!$R$3:$R$10000,0)),2),""))</f>
        <v/>
      </c>
      <c r="I468" s="10" t="str">
        <f>IF($A468="","",IFERROR(ROUND(100*COUNTIFS(Evaluations!$G$3:$G$10000,$A468,Evaluations!$S$3:$S$10000,1)/(COUNTIFS(Evaluations!$G$3:$G$10000,$A468,Evaluations!$S$3:$S$10000,1)+COUNTIFS(Evaluations!$G$3:$G$10000,$A468,Evaluations!$S$3:$S$10000,0)),2),""))</f>
        <v/>
      </c>
      <c r="J468" s="10" t="str">
        <f>IF($A468="","",IFERROR(ROUND(100*COUNTIFS(Evaluations!$G$3:$G$10000,$A468,Evaluations!$T$3:$T$10000,1)/(COUNTIFS(Evaluations!$G$3:$G$10000,$A468,Evaluations!$T$3:$T$10000,1)+COUNTIFS(Evaluations!$G$3:$G$10000,$A468,Evaluations!$T$3:$T$10000,0)),2),""))</f>
        <v/>
      </c>
      <c r="K468" s="10" t="str">
        <f>IF($A468="","",COUNTIFS(Evaluations!$G$3:$G$10000,$A468,Evaluations!$M$3:$M$10000,"عدم پاسخ"))</f>
        <v/>
      </c>
      <c r="L468" s="10" t="str">
        <f>IF($A468="","",COUNTIFS(Evaluations!$G$3:$G$10000,$A468,Evaluations!$O$3:$O$10000,"رعایت نشده"))</f>
        <v/>
      </c>
    </row>
    <row r="469">
      <c r="A469" s="10"/>
      <c r="B469" s="10" t="str">
        <f t="array" ref="B469">_xlfn.XLOOKUP(A469,DATA!D:D,DATA!E:E,"")</f>
        <v/>
      </c>
      <c r="C469" s="10" t="str">
        <f>IF($A469="","",COUNTIFS(Evaluations!$G$3:$G$10000,$A469,Evaluations!$U$3:$U$10000,"&gt;=0",Evaluations!$U$3:$U$10000,"&lt;=100"))</f>
        <v/>
      </c>
      <c r="D469" s="10" t="str">
        <f>IF(OR($A469="",C469=0),"",ROUND(SUMIFS(Evaluations!$U$3:$U$10000,Evaluations!$G$3:$G$10000,$A469)/C469,2))</f>
        <v/>
      </c>
      <c r="E469" s="10" t="str">
        <f>IF($A469="","",COUNTIFS(Evaluations!$G$3:$G$10000,$A469,Evaluations!$M$3:$M$10000,"پاسخ داده شده"))</f>
        <v/>
      </c>
      <c r="F469" s="10" t="str">
        <f>IF($A469="","",IFERROR(COUNTIFS(Evaluations!$G$3:$G$10000,$A469,Evaluations!$O$3:$O$10000,"رعایت شده")/(COUNTIFS(Evaluations!$G$3:$G$10000,$A469,Evaluations!$O$3:$O$10000,"رعایت شده")+COUNTIFS(Evaluations!$G$3:$G$10000,$A469,Evaluations!$O$3:$O$10000,"رعایت نشده")),""))</f>
        <v/>
      </c>
      <c r="G469" s="10" t="str">
        <f>IF($A469="","",IFERROR(ROUND(100*COUNTIFS(Evaluations!$G$3:$G$10000,$A469,Evaluations!$Q$3:$Q$10000,1)/(COUNTIFS(Evaluations!$G$3:$G$10000,$A469,Evaluations!$Q$3:$Q$10000,1)+COUNTIFS(Evaluations!$G$3:$G$10000,$A469,Evaluations!$Q$3:$Q$10000,0)),2),""))</f>
        <v/>
      </c>
      <c r="H469" s="10" t="str">
        <f>IF($A469="","",IFERROR(ROUND(100*COUNTIFS(Evaluations!$G$3:$G$10000,$A469,Evaluations!$R$3:$R$10000,1)/(COUNTIFS(Evaluations!$G$3:$G$10000,$A469,Evaluations!$R$3:$R$10000,1)+COUNTIFS(Evaluations!$G$3:$G$10000,$A469,Evaluations!$R$3:$R$10000,0)),2),""))</f>
        <v/>
      </c>
      <c r="I469" s="10" t="str">
        <f>IF($A469="","",IFERROR(ROUND(100*COUNTIFS(Evaluations!$G$3:$G$10000,$A469,Evaluations!$S$3:$S$10000,1)/(COUNTIFS(Evaluations!$G$3:$G$10000,$A469,Evaluations!$S$3:$S$10000,1)+COUNTIFS(Evaluations!$G$3:$G$10000,$A469,Evaluations!$S$3:$S$10000,0)),2),""))</f>
        <v/>
      </c>
      <c r="J469" s="10" t="str">
        <f>IF($A469="","",IFERROR(ROUND(100*COUNTIFS(Evaluations!$G$3:$G$10000,$A469,Evaluations!$T$3:$T$10000,1)/(COUNTIFS(Evaluations!$G$3:$G$10000,$A469,Evaluations!$T$3:$T$10000,1)+COUNTIFS(Evaluations!$G$3:$G$10000,$A469,Evaluations!$T$3:$T$10000,0)),2),""))</f>
        <v/>
      </c>
      <c r="K469" s="10" t="str">
        <f>IF($A469="","",COUNTIFS(Evaluations!$G$3:$G$10000,$A469,Evaluations!$M$3:$M$10000,"عدم پاسخ"))</f>
        <v/>
      </c>
      <c r="L469" s="10" t="str">
        <f>IF($A469="","",COUNTIFS(Evaluations!$G$3:$G$10000,$A469,Evaluations!$O$3:$O$10000,"رعایت نشده"))</f>
        <v/>
      </c>
    </row>
    <row r="470">
      <c r="A470" s="10"/>
      <c r="B470" s="10" t="str">
        <f t="array" ref="B470">_xlfn.XLOOKUP(A470,DATA!D:D,DATA!E:E,"")</f>
        <v/>
      </c>
      <c r="C470" s="10" t="str">
        <f>IF($A470="","",COUNTIFS(Evaluations!$G$3:$G$10000,$A470,Evaluations!$U$3:$U$10000,"&gt;=0",Evaluations!$U$3:$U$10000,"&lt;=100"))</f>
        <v/>
      </c>
      <c r="D470" s="10" t="str">
        <f>IF(OR($A470="",C470=0),"",ROUND(SUMIFS(Evaluations!$U$3:$U$10000,Evaluations!$G$3:$G$10000,$A470)/C470,2))</f>
        <v/>
      </c>
      <c r="E470" s="10" t="str">
        <f>IF($A470="","",COUNTIFS(Evaluations!$G$3:$G$10000,$A470,Evaluations!$M$3:$M$10000,"پاسخ داده شده"))</f>
        <v/>
      </c>
      <c r="F470" s="10" t="str">
        <f>IF($A470="","",IFERROR(COUNTIFS(Evaluations!$G$3:$G$10000,$A470,Evaluations!$O$3:$O$10000,"رعایت شده")/(COUNTIFS(Evaluations!$G$3:$G$10000,$A470,Evaluations!$O$3:$O$10000,"رعایت شده")+COUNTIFS(Evaluations!$G$3:$G$10000,$A470,Evaluations!$O$3:$O$10000,"رعایت نشده")),""))</f>
        <v/>
      </c>
      <c r="G470" s="10" t="str">
        <f>IF($A470="","",IFERROR(ROUND(100*COUNTIFS(Evaluations!$G$3:$G$10000,$A470,Evaluations!$Q$3:$Q$10000,1)/(COUNTIFS(Evaluations!$G$3:$G$10000,$A470,Evaluations!$Q$3:$Q$10000,1)+COUNTIFS(Evaluations!$G$3:$G$10000,$A470,Evaluations!$Q$3:$Q$10000,0)),2),""))</f>
        <v/>
      </c>
      <c r="H470" s="10" t="str">
        <f>IF($A470="","",IFERROR(ROUND(100*COUNTIFS(Evaluations!$G$3:$G$10000,$A470,Evaluations!$R$3:$R$10000,1)/(COUNTIFS(Evaluations!$G$3:$G$10000,$A470,Evaluations!$R$3:$R$10000,1)+COUNTIFS(Evaluations!$G$3:$G$10000,$A470,Evaluations!$R$3:$R$10000,0)),2),""))</f>
        <v/>
      </c>
      <c r="I470" s="10" t="str">
        <f>IF($A470="","",IFERROR(ROUND(100*COUNTIFS(Evaluations!$G$3:$G$10000,$A470,Evaluations!$S$3:$S$10000,1)/(COUNTIFS(Evaluations!$G$3:$G$10000,$A470,Evaluations!$S$3:$S$10000,1)+COUNTIFS(Evaluations!$G$3:$G$10000,$A470,Evaluations!$S$3:$S$10000,0)),2),""))</f>
        <v/>
      </c>
      <c r="J470" s="10" t="str">
        <f>IF($A470="","",IFERROR(ROUND(100*COUNTIFS(Evaluations!$G$3:$G$10000,$A470,Evaluations!$T$3:$T$10000,1)/(COUNTIFS(Evaluations!$G$3:$G$10000,$A470,Evaluations!$T$3:$T$10000,1)+COUNTIFS(Evaluations!$G$3:$G$10000,$A470,Evaluations!$T$3:$T$10000,0)),2),""))</f>
        <v/>
      </c>
      <c r="K470" s="10" t="str">
        <f>IF($A470="","",COUNTIFS(Evaluations!$G$3:$G$10000,$A470,Evaluations!$M$3:$M$10000,"عدم پاسخ"))</f>
        <v/>
      </c>
      <c r="L470" s="10" t="str">
        <f>IF($A470="","",COUNTIFS(Evaluations!$G$3:$G$10000,$A470,Evaluations!$O$3:$O$10000,"رعایت نشده"))</f>
        <v/>
      </c>
    </row>
    <row r="471">
      <c r="A471" s="10"/>
      <c r="B471" s="10" t="str">
        <f t="array" ref="B471">_xlfn.XLOOKUP(A471,DATA!D:D,DATA!E:E,"")</f>
        <v/>
      </c>
      <c r="C471" s="10" t="str">
        <f>IF($A471="","",COUNTIFS(Evaluations!$G$3:$G$10000,$A471,Evaluations!$U$3:$U$10000,"&gt;=0",Evaluations!$U$3:$U$10000,"&lt;=100"))</f>
        <v/>
      </c>
      <c r="D471" s="10" t="str">
        <f>IF(OR($A471="",C471=0),"",ROUND(SUMIFS(Evaluations!$U$3:$U$10000,Evaluations!$G$3:$G$10000,$A471)/C471,2))</f>
        <v/>
      </c>
      <c r="E471" s="10" t="str">
        <f>IF($A471="","",COUNTIFS(Evaluations!$G$3:$G$10000,$A471,Evaluations!$M$3:$M$10000,"پاسخ داده شده"))</f>
        <v/>
      </c>
      <c r="F471" s="10" t="str">
        <f>IF($A471="","",IFERROR(COUNTIFS(Evaluations!$G$3:$G$10000,$A471,Evaluations!$O$3:$O$10000,"رعایت شده")/(COUNTIFS(Evaluations!$G$3:$G$10000,$A471,Evaluations!$O$3:$O$10000,"رعایت شده")+COUNTIFS(Evaluations!$G$3:$G$10000,$A471,Evaluations!$O$3:$O$10000,"رعایت نشده")),""))</f>
        <v/>
      </c>
      <c r="G471" s="10" t="str">
        <f>IF($A471="","",IFERROR(ROUND(100*COUNTIFS(Evaluations!$G$3:$G$10000,$A471,Evaluations!$Q$3:$Q$10000,1)/(COUNTIFS(Evaluations!$G$3:$G$10000,$A471,Evaluations!$Q$3:$Q$10000,1)+COUNTIFS(Evaluations!$G$3:$G$10000,$A471,Evaluations!$Q$3:$Q$10000,0)),2),""))</f>
        <v/>
      </c>
      <c r="H471" s="10" t="str">
        <f>IF($A471="","",IFERROR(ROUND(100*COUNTIFS(Evaluations!$G$3:$G$10000,$A471,Evaluations!$R$3:$R$10000,1)/(COUNTIFS(Evaluations!$G$3:$G$10000,$A471,Evaluations!$R$3:$R$10000,1)+COUNTIFS(Evaluations!$G$3:$G$10000,$A471,Evaluations!$R$3:$R$10000,0)),2),""))</f>
        <v/>
      </c>
      <c r="I471" s="10" t="str">
        <f>IF($A471="","",IFERROR(ROUND(100*COUNTIFS(Evaluations!$G$3:$G$10000,$A471,Evaluations!$S$3:$S$10000,1)/(COUNTIFS(Evaluations!$G$3:$G$10000,$A471,Evaluations!$S$3:$S$10000,1)+COUNTIFS(Evaluations!$G$3:$G$10000,$A471,Evaluations!$S$3:$S$10000,0)),2),""))</f>
        <v/>
      </c>
      <c r="J471" s="10" t="str">
        <f>IF($A471="","",IFERROR(ROUND(100*COUNTIFS(Evaluations!$G$3:$G$10000,$A471,Evaluations!$T$3:$T$10000,1)/(COUNTIFS(Evaluations!$G$3:$G$10000,$A471,Evaluations!$T$3:$T$10000,1)+COUNTIFS(Evaluations!$G$3:$G$10000,$A471,Evaluations!$T$3:$T$10000,0)),2),""))</f>
        <v/>
      </c>
      <c r="K471" s="10" t="str">
        <f>IF($A471="","",COUNTIFS(Evaluations!$G$3:$G$10000,$A471,Evaluations!$M$3:$M$10000,"عدم پاسخ"))</f>
        <v/>
      </c>
      <c r="L471" s="10" t="str">
        <f>IF($A471="","",COUNTIFS(Evaluations!$G$3:$G$10000,$A471,Evaluations!$O$3:$O$10000,"رعایت نشده"))</f>
        <v/>
      </c>
    </row>
    <row r="472">
      <c r="A472" s="10"/>
      <c r="B472" s="10" t="str">
        <f t="array" ref="B472">_xlfn.XLOOKUP(A472,DATA!D:D,DATA!E:E,"")</f>
        <v/>
      </c>
      <c r="C472" s="10" t="str">
        <f>IF($A472="","",COUNTIFS(Evaluations!$G$3:$G$10000,$A472,Evaluations!$U$3:$U$10000,"&gt;=0",Evaluations!$U$3:$U$10000,"&lt;=100"))</f>
        <v/>
      </c>
      <c r="D472" s="10" t="str">
        <f>IF(OR($A472="",C472=0),"",ROUND(SUMIFS(Evaluations!$U$3:$U$10000,Evaluations!$G$3:$G$10000,$A472)/C472,2))</f>
        <v/>
      </c>
      <c r="E472" s="10" t="str">
        <f>IF($A472="","",COUNTIFS(Evaluations!$G$3:$G$10000,$A472,Evaluations!$M$3:$M$10000,"پاسخ داده شده"))</f>
        <v/>
      </c>
      <c r="F472" s="10" t="str">
        <f>IF($A472="","",IFERROR(COUNTIFS(Evaluations!$G$3:$G$10000,$A472,Evaluations!$O$3:$O$10000,"رعایت شده")/(COUNTIFS(Evaluations!$G$3:$G$10000,$A472,Evaluations!$O$3:$O$10000,"رعایت شده")+COUNTIFS(Evaluations!$G$3:$G$10000,$A472,Evaluations!$O$3:$O$10000,"رعایت نشده")),""))</f>
        <v/>
      </c>
      <c r="G472" s="10" t="str">
        <f>IF($A472="","",IFERROR(ROUND(100*COUNTIFS(Evaluations!$G$3:$G$10000,$A472,Evaluations!$Q$3:$Q$10000,1)/(COUNTIFS(Evaluations!$G$3:$G$10000,$A472,Evaluations!$Q$3:$Q$10000,1)+COUNTIFS(Evaluations!$G$3:$G$10000,$A472,Evaluations!$Q$3:$Q$10000,0)),2),""))</f>
        <v/>
      </c>
      <c r="H472" s="10" t="str">
        <f>IF($A472="","",IFERROR(ROUND(100*COUNTIFS(Evaluations!$G$3:$G$10000,$A472,Evaluations!$R$3:$R$10000,1)/(COUNTIFS(Evaluations!$G$3:$G$10000,$A472,Evaluations!$R$3:$R$10000,1)+COUNTIFS(Evaluations!$G$3:$G$10000,$A472,Evaluations!$R$3:$R$10000,0)),2),""))</f>
        <v/>
      </c>
      <c r="I472" s="10" t="str">
        <f>IF($A472="","",IFERROR(ROUND(100*COUNTIFS(Evaluations!$G$3:$G$10000,$A472,Evaluations!$S$3:$S$10000,1)/(COUNTIFS(Evaluations!$G$3:$G$10000,$A472,Evaluations!$S$3:$S$10000,1)+COUNTIFS(Evaluations!$G$3:$G$10000,$A472,Evaluations!$S$3:$S$10000,0)),2),""))</f>
        <v/>
      </c>
      <c r="J472" s="10" t="str">
        <f>IF($A472="","",IFERROR(ROUND(100*COUNTIFS(Evaluations!$G$3:$G$10000,$A472,Evaluations!$T$3:$T$10000,1)/(COUNTIFS(Evaluations!$G$3:$G$10000,$A472,Evaluations!$T$3:$T$10000,1)+COUNTIFS(Evaluations!$G$3:$G$10000,$A472,Evaluations!$T$3:$T$10000,0)),2),""))</f>
        <v/>
      </c>
      <c r="K472" s="10" t="str">
        <f>IF($A472="","",COUNTIFS(Evaluations!$G$3:$G$10000,$A472,Evaluations!$M$3:$M$10000,"عدم پاسخ"))</f>
        <v/>
      </c>
      <c r="L472" s="10" t="str">
        <f>IF($A472="","",COUNTIFS(Evaluations!$G$3:$G$10000,$A472,Evaluations!$O$3:$O$10000,"رعایت نشده"))</f>
        <v/>
      </c>
    </row>
    <row r="473">
      <c r="A473" s="10"/>
      <c r="B473" s="10" t="str">
        <f t="array" ref="B473">_xlfn.XLOOKUP(A473,DATA!D:D,DATA!E:E,"")</f>
        <v/>
      </c>
      <c r="C473" s="10" t="str">
        <f>IF($A473="","",COUNTIFS(Evaluations!$G$3:$G$10000,$A473,Evaluations!$U$3:$U$10000,"&gt;=0",Evaluations!$U$3:$U$10000,"&lt;=100"))</f>
        <v/>
      </c>
      <c r="D473" s="10" t="str">
        <f>IF(OR($A473="",C473=0),"",ROUND(SUMIFS(Evaluations!$U$3:$U$10000,Evaluations!$G$3:$G$10000,$A473)/C473,2))</f>
        <v/>
      </c>
      <c r="E473" s="10" t="str">
        <f>IF($A473="","",COUNTIFS(Evaluations!$G$3:$G$10000,$A473,Evaluations!$M$3:$M$10000,"پاسخ داده شده"))</f>
        <v/>
      </c>
      <c r="F473" s="10" t="str">
        <f>IF($A473="","",IFERROR(COUNTIFS(Evaluations!$G$3:$G$10000,$A473,Evaluations!$O$3:$O$10000,"رعایت شده")/(COUNTIFS(Evaluations!$G$3:$G$10000,$A473,Evaluations!$O$3:$O$10000,"رعایت شده")+COUNTIFS(Evaluations!$G$3:$G$10000,$A473,Evaluations!$O$3:$O$10000,"رعایت نشده")),""))</f>
        <v/>
      </c>
      <c r="G473" s="10" t="str">
        <f>IF($A473="","",IFERROR(ROUND(100*COUNTIFS(Evaluations!$G$3:$G$10000,$A473,Evaluations!$Q$3:$Q$10000,1)/(COUNTIFS(Evaluations!$G$3:$G$10000,$A473,Evaluations!$Q$3:$Q$10000,1)+COUNTIFS(Evaluations!$G$3:$G$10000,$A473,Evaluations!$Q$3:$Q$10000,0)),2),""))</f>
        <v/>
      </c>
      <c r="H473" s="10" t="str">
        <f>IF($A473="","",IFERROR(ROUND(100*COUNTIFS(Evaluations!$G$3:$G$10000,$A473,Evaluations!$R$3:$R$10000,1)/(COUNTIFS(Evaluations!$G$3:$G$10000,$A473,Evaluations!$R$3:$R$10000,1)+COUNTIFS(Evaluations!$G$3:$G$10000,$A473,Evaluations!$R$3:$R$10000,0)),2),""))</f>
        <v/>
      </c>
      <c r="I473" s="10" t="str">
        <f>IF($A473="","",IFERROR(ROUND(100*COUNTIFS(Evaluations!$G$3:$G$10000,$A473,Evaluations!$S$3:$S$10000,1)/(COUNTIFS(Evaluations!$G$3:$G$10000,$A473,Evaluations!$S$3:$S$10000,1)+COUNTIFS(Evaluations!$G$3:$G$10000,$A473,Evaluations!$S$3:$S$10000,0)),2),""))</f>
        <v/>
      </c>
      <c r="J473" s="10" t="str">
        <f>IF($A473="","",IFERROR(ROUND(100*COUNTIFS(Evaluations!$G$3:$G$10000,$A473,Evaluations!$T$3:$T$10000,1)/(COUNTIFS(Evaluations!$G$3:$G$10000,$A473,Evaluations!$T$3:$T$10000,1)+COUNTIFS(Evaluations!$G$3:$G$10000,$A473,Evaluations!$T$3:$T$10000,0)),2),""))</f>
        <v/>
      </c>
      <c r="K473" s="10" t="str">
        <f>IF($A473="","",COUNTIFS(Evaluations!$G$3:$G$10000,$A473,Evaluations!$M$3:$M$10000,"عدم پاسخ"))</f>
        <v/>
      </c>
      <c r="L473" s="10" t="str">
        <f>IF($A473="","",COUNTIFS(Evaluations!$G$3:$G$10000,$A473,Evaluations!$O$3:$O$10000,"رعایت نشده"))</f>
        <v/>
      </c>
    </row>
    <row r="474">
      <c r="A474" s="10"/>
      <c r="B474" s="10" t="str">
        <f t="array" ref="B474">_xlfn.XLOOKUP(A474,DATA!D:D,DATA!E:E,"")</f>
        <v/>
      </c>
      <c r="C474" s="10" t="str">
        <f>IF($A474="","",COUNTIFS(Evaluations!$G$3:$G$10000,$A474,Evaluations!$U$3:$U$10000,"&gt;=0",Evaluations!$U$3:$U$10000,"&lt;=100"))</f>
        <v/>
      </c>
      <c r="D474" s="10" t="str">
        <f>IF(OR($A474="",C474=0),"",ROUND(SUMIFS(Evaluations!$U$3:$U$10000,Evaluations!$G$3:$G$10000,$A474)/C474,2))</f>
        <v/>
      </c>
      <c r="E474" s="10" t="str">
        <f>IF($A474="","",COUNTIFS(Evaluations!$G$3:$G$10000,$A474,Evaluations!$M$3:$M$10000,"پاسخ داده شده"))</f>
        <v/>
      </c>
      <c r="F474" s="10" t="str">
        <f>IF($A474="","",IFERROR(COUNTIFS(Evaluations!$G$3:$G$10000,$A474,Evaluations!$O$3:$O$10000,"رعایت شده")/(COUNTIFS(Evaluations!$G$3:$G$10000,$A474,Evaluations!$O$3:$O$10000,"رعایت شده")+COUNTIFS(Evaluations!$G$3:$G$10000,$A474,Evaluations!$O$3:$O$10000,"رعایت نشده")),""))</f>
        <v/>
      </c>
      <c r="G474" s="10" t="str">
        <f>IF($A474="","",IFERROR(ROUND(100*COUNTIFS(Evaluations!$G$3:$G$10000,$A474,Evaluations!$Q$3:$Q$10000,1)/(COUNTIFS(Evaluations!$G$3:$G$10000,$A474,Evaluations!$Q$3:$Q$10000,1)+COUNTIFS(Evaluations!$G$3:$G$10000,$A474,Evaluations!$Q$3:$Q$10000,0)),2),""))</f>
        <v/>
      </c>
      <c r="H474" s="10" t="str">
        <f>IF($A474="","",IFERROR(ROUND(100*COUNTIFS(Evaluations!$G$3:$G$10000,$A474,Evaluations!$R$3:$R$10000,1)/(COUNTIFS(Evaluations!$G$3:$G$10000,$A474,Evaluations!$R$3:$R$10000,1)+COUNTIFS(Evaluations!$G$3:$G$10000,$A474,Evaluations!$R$3:$R$10000,0)),2),""))</f>
        <v/>
      </c>
      <c r="I474" s="10" t="str">
        <f>IF($A474="","",IFERROR(ROUND(100*COUNTIFS(Evaluations!$G$3:$G$10000,$A474,Evaluations!$S$3:$S$10000,1)/(COUNTIFS(Evaluations!$G$3:$G$10000,$A474,Evaluations!$S$3:$S$10000,1)+COUNTIFS(Evaluations!$G$3:$G$10000,$A474,Evaluations!$S$3:$S$10000,0)),2),""))</f>
        <v/>
      </c>
      <c r="J474" s="10" t="str">
        <f>IF($A474="","",IFERROR(ROUND(100*COUNTIFS(Evaluations!$G$3:$G$10000,$A474,Evaluations!$T$3:$T$10000,1)/(COUNTIFS(Evaluations!$G$3:$G$10000,$A474,Evaluations!$T$3:$T$10000,1)+COUNTIFS(Evaluations!$G$3:$G$10000,$A474,Evaluations!$T$3:$T$10000,0)),2),""))</f>
        <v/>
      </c>
      <c r="K474" s="10" t="str">
        <f>IF($A474="","",COUNTIFS(Evaluations!$G$3:$G$10000,$A474,Evaluations!$M$3:$M$10000,"عدم پاسخ"))</f>
        <v/>
      </c>
      <c r="L474" s="10" t="str">
        <f>IF($A474="","",COUNTIFS(Evaluations!$G$3:$G$10000,$A474,Evaluations!$O$3:$O$10000,"رعایت نشده"))</f>
        <v/>
      </c>
    </row>
    <row r="475">
      <c r="A475" s="10"/>
      <c r="B475" s="10" t="str">
        <f t="array" ref="B475">_xlfn.XLOOKUP(A475,DATA!D:D,DATA!E:E,"")</f>
        <v/>
      </c>
      <c r="C475" s="10" t="str">
        <f>IF($A475="","",COUNTIFS(Evaluations!$G$3:$G$10000,$A475,Evaluations!$U$3:$U$10000,"&gt;=0",Evaluations!$U$3:$U$10000,"&lt;=100"))</f>
        <v/>
      </c>
      <c r="D475" s="10" t="str">
        <f>IF(OR($A475="",C475=0),"",ROUND(SUMIFS(Evaluations!$U$3:$U$10000,Evaluations!$G$3:$G$10000,$A475)/C475,2))</f>
        <v/>
      </c>
      <c r="E475" s="10" t="str">
        <f>IF($A475="","",COUNTIFS(Evaluations!$G$3:$G$10000,$A475,Evaluations!$M$3:$M$10000,"پاسخ داده شده"))</f>
        <v/>
      </c>
      <c r="F475" s="10" t="str">
        <f>IF($A475="","",IFERROR(COUNTIFS(Evaluations!$G$3:$G$10000,$A475,Evaluations!$O$3:$O$10000,"رعایت شده")/(COUNTIFS(Evaluations!$G$3:$G$10000,$A475,Evaluations!$O$3:$O$10000,"رعایت شده")+COUNTIFS(Evaluations!$G$3:$G$10000,$A475,Evaluations!$O$3:$O$10000,"رعایت نشده")),""))</f>
        <v/>
      </c>
      <c r="G475" s="10" t="str">
        <f>IF($A475="","",IFERROR(ROUND(100*COUNTIFS(Evaluations!$G$3:$G$10000,$A475,Evaluations!$Q$3:$Q$10000,1)/(COUNTIFS(Evaluations!$G$3:$G$10000,$A475,Evaluations!$Q$3:$Q$10000,1)+COUNTIFS(Evaluations!$G$3:$G$10000,$A475,Evaluations!$Q$3:$Q$10000,0)),2),""))</f>
        <v/>
      </c>
      <c r="H475" s="10" t="str">
        <f>IF($A475="","",IFERROR(ROUND(100*COUNTIFS(Evaluations!$G$3:$G$10000,$A475,Evaluations!$R$3:$R$10000,1)/(COUNTIFS(Evaluations!$G$3:$G$10000,$A475,Evaluations!$R$3:$R$10000,1)+COUNTIFS(Evaluations!$G$3:$G$10000,$A475,Evaluations!$R$3:$R$10000,0)),2),""))</f>
        <v/>
      </c>
      <c r="I475" s="10" t="str">
        <f>IF($A475="","",IFERROR(ROUND(100*COUNTIFS(Evaluations!$G$3:$G$10000,$A475,Evaluations!$S$3:$S$10000,1)/(COUNTIFS(Evaluations!$G$3:$G$10000,$A475,Evaluations!$S$3:$S$10000,1)+COUNTIFS(Evaluations!$G$3:$G$10000,$A475,Evaluations!$S$3:$S$10000,0)),2),""))</f>
        <v/>
      </c>
      <c r="J475" s="10" t="str">
        <f>IF($A475="","",IFERROR(ROUND(100*COUNTIFS(Evaluations!$G$3:$G$10000,$A475,Evaluations!$T$3:$T$10000,1)/(COUNTIFS(Evaluations!$G$3:$G$10000,$A475,Evaluations!$T$3:$T$10000,1)+COUNTIFS(Evaluations!$G$3:$G$10000,$A475,Evaluations!$T$3:$T$10000,0)),2),""))</f>
        <v/>
      </c>
      <c r="K475" s="10" t="str">
        <f>IF($A475="","",COUNTIFS(Evaluations!$G$3:$G$10000,$A475,Evaluations!$M$3:$M$10000,"عدم پاسخ"))</f>
        <v/>
      </c>
      <c r="L475" s="10" t="str">
        <f>IF($A475="","",COUNTIFS(Evaluations!$G$3:$G$10000,$A475,Evaluations!$O$3:$O$10000,"رعایت نشده"))</f>
        <v/>
      </c>
    </row>
    <row r="476">
      <c r="A476" s="10"/>
      <c r="B476" s="10" t="str">
        <f t="array" ref="B476">_xlfn.XLOOKUP(A476,DATA!D:D,DATA!E:E,"")</f>
        <v/>
      </c>
      <c r="C476" s="10" t="str">
        <f>IF($A476="","",COUNTIFS(Evaluations!$G$3:$G$10000,$A476,Evaluations!$U$3:$U$10000,"&gt;=0",Evaluations!$U$3:$U$10000,"&lt;=100"))</f>
        <v/>
      </c>
      <c r="D476" s="10" t="str">
        <f>IF(OR($A476="",C476=0),"",ROUND(SUMIFS(Evaluations!$U$3:$U$10000,Evaluations!$G$3:$G$10000,$A476)/C476,2))</f>
        <v/>
      </c>
      <c r="E476" s="10" t="str">
        <f>IF($A476="","",COUNTIFS(Evaluations!$G$3:$G$10000,$A476,Evaluations!$M$3:$M$10000,"پاسخ داده شده"))</f>
        <v/>
      </c>
      <c r="F476" s="10" t="str">
        <f>IF($A476="","",IFERROR(COUNTIFS(Evaluations!$G$3:$G$10000,$A476,Evaluations!$O$3:$O$10000,"رعایت شده")/(COUNTIFS(Evaluations!$G$3:$G$10000,$A476,Evaluations!$O$3:$O$10000,"رعایت شده")+COUNTIFS(Evaluations!$G$3:$G$10000,$A476,Evaluations!$O$3:$O$10000,"رعایت نشده")),""))</f>
        <v/>
      </c>
      <c r="G476" s="10" t="str">
        <f>IF($A476="","",IFERROR(ROUND(100*COUNTIFS(Evaluations!$G$3:$G$10000,$A476,Evaluations!$Q$3:$Q$10000,1)/(COUNTIFS(Evaluations!$G$3:$G$10000,$A476,Evaluations!$Q$3:$Q$10000,1)+COUNTIFS(Evaluations!$G$3:$G$10000,$A476,Evaluations!$Q$3:$Q$10000,0)),2),""))</f>
        <v/>
      </c>
      <c r="H476" s="10" t="str">
        <f>IF($A476="","",IFERROR(ROUND(100*COUNTIFS(Evaluations!$G$3:$G$10000,$A476,Evaluations!$R$3:$R$10000,1)/(COUNTIFS(Evaluations!$G$3:$G$10000,$A476,Evaluations!$R$3:$R$10000,1)+COUNTIFS(Evaluations!$G$3:$G$10000,$A476,Evaluations!$R$3:$R$10000,0)),2),""))</f>
        <v/>
      </c>
      <c r="I476" s="10" t="str">
        <f>IF($A476="","",IFERROR(ROUND(100*COUNTIFS(Evaluations!$G$3:$G$10000,$A476,Evaluations!$S$3:$S$10000,1)/(COUNTIFS(Evaluations!$G$3:$G$10000,$A476,Evaluations!$S$3:$S$10000,1)+COUNTIFS(Evaluations!$G$3:$G$10000,$A476,Evaluations!$S$3:$S$10000,0)),2),""))</f>
        <v/>
      </c>
      <c r="J476" s="10" t="str">
        <f>IF($A476="","",IFERROR(ROUND(100*COUNTIFS(Evaluations!$G$3:$G$10000,$A476,Evaluations!$T$3:$T$10000,1)/(COUNTIFS(Evaluations!$G$3:$G$10000,$A476,Evaluations!$T$3:$T$10000,1)+COUNTIFS(Evaluations!$G$3:$G$10000,$A476,Evaluations!$T$3:$T$10000,0)),2),""))</f>
        <v/>
      </c>
      <c r="K476" s="10" t="str">
        <f>IF($A476="","",COUNTIFS(Evaluations!$G$3:$G$10000,$A476,Evaluations!$M$3:$M$10000,"عدم پاسخ"))</f>
        <v/>
      </c>
      <c r="L476" s="10" t="str">
        <f>IF($A476="","",COUNTIFS(Evaluations!$G$3:$G$10000,$A476,Evaluations!$O$3:$O$10000,"رعایت نشده"))</f>
        <v/>
      </c>
    </row>
    <row r="477">
      <c r="A477" s="10"/>
      <c r="B477" s="10" t="str">
        <f t="array" ref="B477">_xlfn.XLOOKUP(A477,DATA!D:D,DATA!E:E,"")</f>
        <v/>
      </c>
      <c r="C477" s="10" t="str">
        <f>IF($A477="","",COUNTIFS(Evaluations!$G$3:$G$10000,$A477,Evaluations!$U$3:$U$10000,"&gt;=0",Evaluations!$U$3:$U$10000,"&lt;=100"))</f>
        <v/>
      </c>
      <c r="D477" s="10" t="str">
        <f>IF(OR($A477="",C477=0),"",ROUND(SUMIFS(Evaluations!$U$3:$U$10000,Evaluations!$G$3:$G$10000,$A477)/C477,2))</f>
        <v/>
      </c>
      <c r="E477" s="10" t="str">
        <f>IF($A477="","",COUNTIFS(Evaluations!$G$3:$G$10000,$A477,Evaluations!$M$3:$M$10000,"پاسخ داده شده"))</f>
        <v/>
      </c>
      <c r="F477" s="10" t="str">
        <f>IF($A477="","",IFERROR(COUNTIFS(Evaluations!$G$3:$G$10000,$A477,Evaluations!$O$3:$O$10000,"رعایت شده")/(COUNTIFS(Evaluations!$G$3:$G$10000,$A477,Evaluations!$O$3:$O$10000,"رعایت شده")+COUNTIFS(Evaluations!$G$3:$G$10000,$A477,Evaluations!$O$3:$O$10000,"رعایت نشده")),""))</f>
        <v/>
      </c>
      <c r="G477" s="10" t="str">
        <f>IF($A477="","",IFERROR(ROUND(100*COUNTIFS(Evaluations!$G$3:$G$10000,$A477,Evaluations!$Q$3:$Q$10000,1)/(COUNTIFS(Evaluations!$G$3:$G$10000,$A477,Evaluations!$Q$3:$Q$10000,1)+COUNTIFS(Evaluations!$G$3:$G$10000,$A477,Evaluations!$Q$3:$Q$10000,0)),2),""))</f>
        <v/>
      </c>
      <c r="H477" s="10" t="str">
        <f>IF($A477="","",IFERROR(ROUND(100*COUNTIFS(Evaluations!$G$3:$G$10000,$A477,Evaluations!$R$3:$R$10000,1)/(COUNTIFS(Evaluations!$G$3:$G$10000,$A477,Evaluations!$R$3:$R$10000,1)+COUNTIFS(Evaluations!$G$3:$G$10000,$A477,Evaluations!$R$3:$R$10000,0)),2),""))</f>
        <v/>
      </c>
      <c r="I477" s="10" t="str">
        <f>IF($A477="","",IFERROR(ROUND(100*COUNTIFS(Evaluations!$G$3:$G$10000,$A477,Evaluations!$S$3:$S$10000,1)/(COUNTIFS(Evaluations!$G$3:$G$10000,$A477,Evaluations!$S$3:$S$10000,1)+COUNTIFS(Evaluations!$G$3:$G$10000,$A477,Evaluations!$S$3:$S$10000,0)),2),""))</f>
        <v/>
      </c>
      <c r="J477" s="10" t="str">
        <f>IF($A477="","",IFERROR(ROUND(100*COUNTIFS(Evaluations!$G$3:$G$10000,$A477,Evaluations!$T$3:$T$10000,1)/(COUNTIFS(Evaluations!$G$3:$G$10000,$A477,Evaluations!$T$3:$T$10000,1)+COUNTIFS(Evaluations!$G$3:$G$10000,$A477,Evaluations!$T$3:$T$10000,0)),2),""))</f>
        <v/>
      </c>
      <c r="K477" s="10" t="str">
        <f>IF($A477="","",COUNTIFS(Evaluations!$G$3:$G$10000,$A477,Evaluations!$M$3:$M$10000,"عدم پاسخ"))</f>
        <v/>
      </c>
      <c r="L477" s="10" t="str">
        <f>IF($A477="","",COUNTIFS(Evaluations!$G$3:$G$10000,$A477,Evaluations!$O$3:$O$10000,"رعایت نشده"))</f>
        <v/>
      </c>
    </row>
    <row r="478">
      <c r="A478" s="10"/>
      <c r="B478" s="10" t="str">
        <f t="array" ref="B478">_xlfn.XLOOKUP(A478,DATA!D:D,DATA!E:E,"")</f>
        <v/>
      </c>
      <c r="C478" s="10" t="str">
        <f>IF($A478="","",COUNTIFS(Evaluations!$G$3:$G$10000,$A478,Evaluations!$U$3:$U$10000,"&gt;=0",Evaluations!$U$3:$U$10000,"&lt;=100"))</f>
        <v/>
      </c>
      <c r="D478" s="10" t="str">
        <f>IF(OR($A478="",C478=0),"",ROUND(SUMIFS(Evaluations!$U$3:$U$10000,Evaluations!$G$3:$G$10000,$A478)/C478,2))</f>
        <v/>
      </c>
      <c r="E478" s="10" t="str">
        <f>IF($A478="","",COUNTIFS(Evaluations!$G$3:$G$10000,$A478,Evaluations!$M$3:$M$10000,"پاسخ داده شده"))</f>
        <v/>
      </c>
      <c r="F478" s="10" t="str">
        <f>IF($A478="","",IFERROR(COUNTIFS(Evaluations!$G$3:$G$10000,$A478,Evaluations!$O$3:$O$10000,"رعایت شده")/(COUNTIFS(Evaluations!$G$3:$G$10000,$A478,Evaluations!$O$3:$O$10000,"رعایت شده")+COUNTIFS(Evaluations!$G$3:$G$10000,$A478,Evaluations!$O$3:$O$10000,"رعایت نشده")),""))</f>
        <v/>
      </c>
      <c r="G478" s="10" t="str">
        <f>IF($A478="","",IFERROR(ROUND(100*COUNTIFS(Evaluations!$G$3:$G$10000,$A478,Evaluations!$Q$3:$Q$10000,1)/(COUNTIFS(Evaluations!$G$3:$G$10000,$A478,Evaluations!$Q$3:$Q$10000,1)+COUNTIFS(Evaluations!$G$3:$G$10000,$A478,Evaluations!$Q$3:$Q$10000,0)),2),""))</f>
        <v/>
      </c>
      <c r="H478" s="10" t="str">
        <f>IF($A478="","",IFERROR(ROUND(100*COUNTIFS(Evaluations!$G$3:$G$10000,$A478,Evaluations!$R$3:$R$10000,1)/(COUNTIFS(Evaluations!$G$3:$G$10000,$A478,Evaluations!$R$3:$R$10000,1)+COUNTIFS(Evaluations!$G$3:$G$10000,$A478,Evaluations!$R$3:$R$10000,0)),2),""))</f>
        <v/>
      </c>
      <c r="I478" s="10" t="str">
        <f>IF($A478="","",IFERROR(ROUND(100*COUNTIFS(Evaluations!$G$3:$G$10000,$A478,Evaluations!$S$3:$S$10000,1)/(COUNTIFS(Evaluations!$G$3:$G$10000,$A478,Evaluations!$S$3:$S$10000,1)+COUNTIFS(Evaluations!$G$3:$G$10000,$A478,Evaluations!$S$3:$S$10000,0)),2),""))</f>
        <v/>
      </c>
      <c r="J478" s="10" t="str">
        <f>IF($A478="","",IFERROR(ROUND(100*COUNTIFS(Evaluations!$G$3:$G$10000,$A478,Evaluations!$T$3:$T$10000,1)/(COUNTIFS(Evaluations!$G$3:$G$10000,$A478,Evaluations!$T$3:$T$10000,1)+COUNTIFS(Evaluations!$G$3:$G$10000,$A478,Evaluations!$T$3:$T$10000,0)),2),""))</f>
        <v/>
      </c>
      <c r="K478" s="10" t="str">
        <f>IF($A478="","",COUNTIFS(Evaluations!$G$3:$G$10000,$A478,Evaluations!$M$3:$M$10000,"عدم پاسخ"))</f>
        <v/>
      </c>
      <c r="L478" s="10" t="str">
        <f>IF($A478="","",COUNTIFS(Evaluations!$G$3:$G$10000,$A478,Evaluations!$O$3:$O$10000,"رعایت نشده"))</f>
        <v/>
      </c>
    </row>
    <row r="479">
      <c r="A479" s="10"/>
      <c r="B479" s="10" t="str">
        <f t="array" ref="B479">_xlfn.XLOOKUP(A479,DATA!D:D,DATA!E:E,"")</f>
        <v/>
      </c>
      <c r="C479" s="10" t="str">
        <f>IF($A479="","",COUNTIFS(Evaluations!$G$3:$G$10000,$A479,Evaluations!$U$3:$U$10000,"&gt;=0",Evaluations!$U$3:$U$10000,"&lt;=100"))</f>
        <v/>
      </c>
      <c r="D479" s="10" t="str">
        <f>IF(OR($A479="",C479=0),"",ROUND(SUMIFS(Evaluations!$U$3:$U$10000,Evaluations!$G$3:$G$10000,$A479)/C479,2))</f>
        <v/>
      </c>
      <c r="E479" s="10" t="str">
        <f>IF($A479="","",COUNTIFS(Evaluations!$G$3:$G$10000,$A479,Evaluations!$M$3:$M$10000,"پاسخ داده شده"))</f>
        <v/>
      </c>
      <c r="F479" s="10" t="str">
        <f>IF($A479="","",IFERROR(COUNTIFS(Evaluations!$G$3:$G$10000,$A479,Evaluations!$O$3:$O$10000,"رعایت شده")/(COUNTIFS(Evaluations!$G$3:$G$10000,$A479,Evaluations!$O$3:$O$10000,"رعایت شده")+COUNTIFS(Evaluations!$G$3:$G$10000,$A479,Evaluations!$O$3:$O$10000,"رعایت نشده")),""))</f>
        <v/>
      </c>
      <c r="G479" s="10" t="str">
        <f>IF($A479="","",IFERROR(ROUND(100*COUNTIFS(Evaluations!$G$3:$G$10000,$A479,Evaluations!$Q$3:$Q$10000,1)/(COUNTIFS(Evaluations!$G$3:$G$10000,$A479,Evaluations!$Q$3:$Q$10000,1)+COUNTIFS(Evaluations!$G$3:$G$10000,$A479,Evaluations!$Q$3:$Q$10000,0)),2),""))</f>
        <v/>
      </c>
      <c r="H479" s="10" t="str">
        <f>IF($A479="","",IFERROR(ROUND(100*COUNTIFS(Evaluations!$G$3:$G$10000,$A479,Evaluations!$R$3:$R$10000,1)/(COUNTIFS(Evaluations!$G$3:$G$10000,$A479,Evaluations!$R$3:$R$10000,1)+COUNTIFS(Evaluations!$G$3:$G$10000,$A479,Evaluations!$R$3:$R$10000,0)),2),""))</f>
        <v/>
      </c>
      <c r="I479" s="10" t="str">
        <f>IF($A479="","",IFERROR(ROUND(100*COUNTIFS(Evaluations!$G$3:$G$10000,$A479,Evaluations!$S$3:$S$10000,1)/(COUNTIFS(Evaluations!$G$3:$G$10000,$A479,Evaluations!$S$3:$S$10000,1)+COUNTIFS(Evaluations!$G$3:$G$10000,$A479,Evaluations!$S$3:$S$10000,0)),2),""))</f>
        <v/>
      </c>
      <c r="J479" s="10" t="str">
        <f>IF($A479="","",IFERROR(ROUND(100*COUNTIFS(Evaluations!$G$3:$G$10000,$A479,Evaluations!$T$3:$T$10000,1)/(COUNTIFS(Evaluations!$G$3:$G$10000,$A479,Evaluations!$T$3:$T$10000,1)+COUNTIFS(Evaluations!$G$3:$G$10000,$A479,Evaluations!$T$3:$T$10000,0)),2),""))</f>
        <v/>
      </c>
      <c r="K479" s="10" t="str">
        <f>IF($A479="","",COUNTIFS(Evaluations!$G$3:$G$10000,$A479,Evaluations!$M$3:$M$10000,"عدم پاسخ"))</f>
        <v/>
      </c>
      <c r="L479" s="10" t="str">
        <f>IF($A479="","",COUNTIFS(Evaluations!$G$3:$G$10000,$A479,Evaluations!$O$3:$O$10000,"رعایت نشده"))</f>
        <v/>
      </c>
    </row>
    <row r="480">
      <c r="A480" s="10"/>
      <c r="B480" s="10" t="str">
        <f t="array" ref="B480">_xlfn.XLOOKUP(A480,DATA!D:D,DATA!E:E,"")</f>
        <v/>
      </c>
      <c r="C480" s="10" t="str">
        <f>IF($A480="","",COUNTIFS(Evaluations!$G$3:$G$10000,$A480,Evaluations!$U$3:$U$10000,"&gt;=0",Evaluations!$U$3:$U$10000,"&lt;=100"))</f>
        <v/>
      </c>
      <c r="D480" s="10" t="str">
        <f>IF(OR($A480="",C480=0),"",ROUND(SUMIFS(Evaluations!$U$3:$U$10000,Evaluations!$G$3:$G$10000,$A480)/C480,2))</f>
        <v/>
      </c>
      <c r="E480" s="10" t="str">
        <f>IF($A480="","",COUNTIFS(Evaluations!$G$3:$G$10000,$A480,Evaluations!$M$3:$M$10000,"پاسخ داده شده"))</f>
        <v/>
      </c>
      <c r="F480" s="10" t="str">
        <f>IF($A480="","",IFERROR(COUNTIFS(Evaluations!$G$3:$G$10000,$A480,Evaluations!$O$3:$O$10000,"رعایت شده")/(COUNTIFS(Evaluations!$G$3:$G$10000,$A480,Evaluations!$O$3:$O$10000,"رعایت شده")+COUNTIFS(Evaluations!$G$3:$G$10000,$A480,Evaluations!$O$3:$O$10000,"رعایت نشده")),""))</f>
        <v/>
      </c>
      <c r="G480" s="10" t="str">
        <f>IF($A480="","",IFERROR(ROUND(100*COUNTIFS(Evaluations!$G$3:$G$10000,$A480,Evaluations!$Q$3:$Q$10000,1)/(COUNTIFS(Evaluations!$G$3:$G$10000,$A480,Evaluations!$Q$3:$Q$10000,1)+COUNTIFS(Evaluations!$G$3:$G$10000,$A480,Evaluations!$Q$3:$Q$10000,0)),2),""))</f>
        <v/>
      </c>
      <c r="H480" s="10" t="str">
        <f>IF($A480="","",IFERROR(ROUND(100*COUNTIFS(Evaluations!$G$3:$G$10000,$A480,Evaluations!$R$3:$R$10000,1)/(COUNTIFS(Evaluations!$G$3:$G$10000,$A480,Evaluations!$R$3:$R$10000,1)+COUNTIFS(Evaluations!$G$3:$G$10000,$A480,Evaluations!$R$3:$R$10000,0)),2),""))</f>
        <v/>
      </c>
      <c r="I480" s="10" t="str">
        <f>IF($A480="","",IFERROR(ROUND(100*COUNTIFS(Evaluations!$G$3:$G$10000,$A480,Evaluations!$S$3:$S$10000,1)/(COUNTIFS(Evaluations!$G$3:$G$10000,$A480,Evaluations!$S$3:$S$10000,1)+COUNTIFS(Evaluations!$G$3:$G$10000,$A480,Evaluations!$S$3:$S$10000,0)),2),""))</f>
        <v/>
      </c>
      <c r="J480" s="10" t="str">
        <f>IF($A480="","",IFERROR(ROUND(100*COUNTIFS(Evaluations!$G$3:$G$10000,$A480,Evaluations!$T$3:$T$10000,1)/(COUNTIFS(Evaluations!$G$3:$G$10000,$A480,Evaluations!$T$3:$T$10000,1)+COUNTIFS(Evaluations!$G$3:$G$10000,$A480,Evaluations!$T$3:$T$10000,0)),2),""))</f>
        <v/>
      </c>
      <c r="K480" s="10" t="str">
        <f>IF($A480="","",COUNTIFS(Evaluations!$G$3:$G$10000,$A480,Evaluations!$M$3:$M$10000,"عدم پاسخ"))</f>
        <v/>
      </c>
      <c r="L480" s="10" t="str">
        <f>IF($A480="","",COUNTIFS(Evaluations!$G$3:$G$10000,$A480,Evaluations!$O$3:$O$10000,"رعایت نشده"))</f>
        <v/>
      </c>
    </row>
    <row r="481">
      <c r="A481" s="10"/>
      <c r="B481" s="10" t="str">
        <f t="array" ref="B481">_xlfn.XLOOKUP(A481,DATA!D:D,DATA!E:E,"")</f>
        <v/>
      </c>
      <c r="C481" s="10" t="str">
        <f>IF($A481="","",COUNTIFS(Evaluations!$G$3:$G$10000,$A481,Evaluations!$U$3:$U$10000,"&gt;=0",Evaluations!$U$3:$U$10000,"&lt;=100"))</f>
        <v/>
      </c>
      <c r="D481" s="10" t="str">
        <f>IF(OR($A481="",C481=0),"",ROUND(SUMIFS(Evaluations!$U$3:$U$10000,Evaluations!$G$3:$G$10000,$A481)/C481,2))</f>
        <v/>
      </c>
      <c r="E481" s="10" t="str">
        <f>IF($A481="","",COUNTIFS(Evaluations!$G$3:$G$10000,$A481,Evaluations!$M$3:$M$10000,"پاسخ داده شده"))</f>
        <v/>
      </c>
      <c r="F481" s="10" t="str">
        <f>IF($A481="","",IFERROR(COUNTIFS(Evaluations!$G$3:$G$10000,$A481,Evaluations!$O$3:$O$10000,"رعایت شده")/(COUNTIFS(Evaluations!$G$3:$G$10000,$A481,Evaluations!$O$3:$O$10000,"رعایت شده")+COUNTIFS(Evaluations!$G$3:$G$10000,$A481,Evaluations!$O$3:$O$10000,"رعایت نشده")),""))</f>
        <v/>
      </c>
      <c r="G481" s="10" t="str">
        <f>IF($A481="","",IFERROR(ROUND(100*COUNTIFS(Evaluations!$G$3:$G$10000,$A481,Evaluations!$Q$3:$Q$10000,1)/(COUNTIFS(Evaluations!$G$3:$G$10000,$A481,Evaluations!$Q$3:$Q$10000,1)+COUNTIFS(Evaluations!$G$3:$G$10000,$A481,Evaluations!$Q$3:$Q$10000,0)),2),""))</f>
        <v/>
      </c>
      <c r="H481" s="10" t="str">
        <f>IF($A481="","",IFERROR(ROUND(100*COUNTIFS(Evaluations!$G$3:$G$10000,$A481,Evaluations!$R$3:$R$10000,1)/(COUNTIFS(Evaluations!$G$3:$G$10000,$A481,Evaluations!$R$3:$R$10000,1)+COUNTIFS(Evaluations!$G$3:$G$10000,$A481,Evaluations!$R$3:$R$10000,0)),2),""))</f>
        <v/>
      </c>
      <c r="I481" s="10" t="str">
        <f>IF($A481="","",IFERROR(ROUND(100*COUNTIFS(Evaluations!$G$3:$G$10000,$A481,Evaluations!$S$3:$S$10000,1)/(COUNTIFS(Evaluations!$G$3:$G$10000,$A481,Evaluations!$S$3:$S$10000,1)+COUNTIFS(Evaluations!$G$3:$G$10000,$A481,Evaluations!$S$3:$S$10000,0)),2),""))</f>
        <v/>
      </c>
      <c r="J481" s="10" t="str">
        <f>IF($A481="","",IFERROR(ROUND(100*COUNTIFS(Evaluations!$G$3:$G$10000,$A481,Evaluations!$T$3:$T$10000,1)/(COUNTIFS(Evaluations!$G$3:$G$10000,$A481,Evaluations!$T$3:$T$10000,1)+COUNTIFS(Evaluations!$G$3:$G$10000,$A481,Evaluations!$T$3:$T$10000,0)),2),""))</f>
        <v/>
      </c>
      <c r="K481" s="10" t="str">
        <f>IF($A481="","",COUNTIFS(Evaluations!$G$3:$G$10000,$A481,Evaluations!$M$3:$M$10000,"عدم پاسخ"))</f>
        <v/>
      </c>
      <c r="L481" s="10" t="str">
        <f>IF($A481="","",COUNTIFS(Evaluations!$G$3:$G$10000,$A481,Evaluations!$O$3:$O$10000,"رعایت نشده"))</f>
        <v/>
      </c>
    </row>
    <row r="482">
      <c r="A482" s="10"/>
      <c r="B482" s="10" t="str">
        <f t="array" ref="B482">_xlfn.XLOOKUP(A482,DATA!D:D,DATA!E:E,"")</f>
        <v/>
      </c>
      <c r="C482" s="10" t="str">
        <f>IF($A482="","",COUNTIFS(Evaluations!$G$3:$G$10000,$A482,Evaluations!$U$3:$U$10000,"&gt;=0",Evaluations!$U$3:$U$10000,"&lt;=100"))</f>
        <v/>
      </c>
      <c r="D482" s="10" t="str">
        <f>IF(OR($A482="",C482=0),"",ROUND(SUMIFS(Evaluations!$U$3:$U$10000,Evaluations!$G$3:$G$10000,$A482)/C482,2))</f>
        <v/>
      </c>
      <c r="E482" s="10" t="str">
        <f>IF($A482="","",COUNTIFS(Evaluations!$G$3:$G$10000,$A482,Evaluations!$M$3:$M$10000,"پاسخ داده شده"))</f>
        <v/>
      </c>
      <c r="F482" s="10" t="str">
        <f>IF($A482="","",IFERROR(COUNTIFS(Evaluations!$G$3:$G$10000,$A482,Evaluations!$O$3:$O$10000,"رعایت شده")/(COUNTIFS(Evaluations!$G$3:$G$10000,$A482,Evaluations!$O$3:$O$10000,"رعایت شده")+COUNTIFS(Evaluations!$G$3:$G$10000,$A482,Evaluations!$O$3:$O$10000,"رعایت نشده")),""))</f>
        <v/>
      </c>
      <c r="G482" s="10" t="str">
        <f>IF($A482="","",IFERROR(ROUND(100*COUNTIFS(Evaluations!$G$3:$G$10000,$A482,Evaluations!$Q$3:$Q$10000,1)/(COUNTIFS(Evaluations!$G$3:$G$10000,$A482,Evaluations!$Q$3:$Q$10000,1)+COUNTIFS(Evaluations!$G$3:$G$10000,$A482,Evaluations!$Q$3:$Q$10000,0)),2),""))</f>
        <v/>
      </c>
      <c r="H482" s="10" t="str">
        <f>IF($A482="","",IFERROR(ROUND(100*COUNTIFS(Evaluations!$G$3:$G$10000,$A482,Evaluations!$R$3:$R$10000,1)/(COUNTIFS(Evaluations!$G$3:$G$10000,$A482,Evaluations!$R$3:$R$10000,1)+COUNTIFS(Evaluations!$G$3:$G$10000,$A482,Evaluations!$R$3:$R$10000,0)),2),""))</f>
        <v/>
      </c>
      <c r="I482" s="10" t="str">
        <f>IF($A482="","",IFERROR(ROUND(100*COUNTIFS(Evaluations!$G$3:$G$10000,$A482,Evaluations!$S$3:$S$10000,1)/(COUNTIFS(Evaluations!$G$3:$G$10000,$A482,Evaluations!$S$3:$S$10000,1)+COUNTIFS(Evaluations!$G$3:$G$10000,$A482,Evaluations!$S$3:$S$10000,0)),2),""))</f>
        <v/>
      </c>
      <c r="J482" s="10" t="str">
        <f>IF($A482="","",IFERROR(ROUND(100*COUNTIFS(Evaluations!$G$3:$G$10000,$A482,Evaluations!$T$3:$T$10000,1)/(COUNTIFS(Evaluations!$G$3:$G$10000,$A482,Evaluations!$T$3:$T$10000,1)+COUNTIFS(Evaluations!$G$3:$G$10000,$A482,Evaluations!$T$3:$T$10000,0)),2),""))</f>
        <v/>
      </c>
      <c r="K482" s="10" t="str">
        <f>IF($A482="","",COUNTIFS(Evaluations!$G$3:$G$10000,$A482,Evaluations!$M$3:$M$10000,"عدم پاسخ"))</f>
        <v/>
      </c>
      <c r="L482" s="10" t="str">
        <f>IF($A482="","",COUNTIFS(Evaluations!$G$3:$G$10000,$A482,Evaluations!$O$3:$O$10000,"رعایت نشده"))</f>
        <v/>
      </c>
    </row>
    <row r="483">
      <c r="A483" s="10"/>
      <c r="B483" s="10" t="str">
        <f t="array" ref="B483">_xlfn.XLOOKUP(A483,DATA!D:D,DATA!E:E,"")</f>
        <v/>
      </c>
      <c r="C483" s="10" t="str">
        <f>IF($A483="","",COUNTIFS(Evaluations!$G$3:$G$10000,$A483,Evaluations!$U$3:$U$10000,"&gt;=0",Evaluations!$U$3:$U$10000,"&lt;=100"))</f>
        <v/>
      </c>
      <c r="D483" s="10" t="str">
        <f>IF(OR($A483="",C483=0),"",ROUND(SUMIFS(Evaluations!$U$3:$U$10000,Evaluations!$G$3:$G$10000,$A483)/C483,2))</f>
        <v/>
      </c>
      <c r="E483" s="10" t="str">
        <f>IF($A483="","",COUNTIFS(Evaluations!$G$3:$G$10000,$A483,Evaluations!$M$3:$M$10000,"پاسخ داده شده"))</f>
        <v/>
      </c>
      <c r="F483" s="10" t="str">
        <f>IF($A483="","",IFERROR(COUNTIFS(Evaluations!$G$3:$G$10000,$A483,Evaluations!$O$3:$O$10000,"رعایت شده")/(COUNTIFS(Evaluations!$G$3:$G$10000,$A483,Evaluations!$O$3:$O$10000,"رعایت شده")+COUNTIFS(Evaluations!$G$3:$G$10000,$A483,Evaluations!$O$3:$O$10000,"رعایت نشده")),""))</f>
        <v/>
      </c>
      <c r="G483" s="10" t="str">
        <f>IF($A483="","",IFERROR(ROUND(100*COUNTIFS(Evaluations!$G$3:$G$10000,$A483,Evaluations!$Q$3:$Q$10000,1)/(COUNTIFS(Evaluations!$G$3:$G$10000,$A483,Evaluations!$Q$3:$Q$10000,1)+COUNTIFS(Evaluations!$G$3:$G$10000,$A483,Evaluations!$Q$3:$Q$10000,0)),2),""))</f>
        <v/>
      </c>
      <c r="H483" s="10" t="str">
        <f>IF($A483="","",IFERROR(ROUND(100*COUNTIFS(Evaluations!$G$3:$G$10000,$A483,Evaluations!$R$3:$R$10000,1)/(COUNTIFS(Evaluations!$G$3:$G$10000,$A483,Evaluations!$R$3:$R$10000,1)+COUNTIFS(Evaluations!$G$3:$G$10000,$A483,Evaluations!$R$3:$R$10000,0)),2),""))</f>
        <v/>
      </c>
      <c r="I483" s="10" t="str">
        <f>IF($A483="","",IFERROR(ROUND(100*COUNTIFS(Evaluations!$G$3:$G$10000,$A483,Evaluations!$S$3:$S$10000,1)/(COUNTIFS(Evaluations!$G$3:$G$10000,$A483,Evaluations!$S$3:$S$10000,1)+COUNTIFS(Evaluations!$G$3:$G$10000,$A483,Evaluations!$S$3:$S$10000,0)),2),""))</f>
        <v/>
      </c>
      <c r="J483" s="10" t="str">
        <f>IF($A483="","",IFERROR(ROUND(100*COUNTIFS(Evaluations!$G$3:$G$10000,$A483,Evaluations!$T$3:$T$10000,1)/(COUNTIFS(Evaluations!$G$3:$G$10000,$A483,Evaluations!$T$3:$T$10000,1)+COUNTIFS(Evaluations!$G$3:$G$10000,$A483,Evaluations!$T$3:$T$10000,0)),2),""))</f>
        <v/>
      </c>
      <c r="K483" s="10" t="str">
        <f>IF($A483="","",COUNTIFS(Evaluations!$G$3:$G$10000,$A483,Evaluations!$M$3:$M$10000,"عدم پاسخ"))</f>
        <v/>
      </c>
      <c r="L483" s="10" t="str">
        <f>IF($A483="","",COUNTIFS(Evaluations!$G$3:$G$10000,$A483,Evaluations!$O$3:$O$10000,"رعایت نشده"))</f>
        <v/>
      </c>
    </row>
    <row r="484">
      <c r="A484" s="10"/>
      <c r="B484" s="10" t="str">
        <f t="array" ref="B484">_xlfn.XLOOKUP(A484,DATA!D:D,DATA!E:E,"")</f>
        <v/>
      </c>
      <c r="C484" s="10" t="str">
        <f>IF($A484="","",COUNTIFS(Evaluations!$G$3:$G$10000,$A484,Evaluations!$U$3:$U$10000,"&gt;=0",Evaluations!$U$3:$U$10000,"&lt;=100"))</f>
        <v/>
      </c>
      <c r="D484" s="10" t="str">
        <f>IF(OR($A484="",C484=0),"",ROUND(SUMIFS(Evaluations!$U$3:$U$10000,Evaluations!$G$3:$G$10000,$A484)/C484,2))</f>
        <v/>
      </c>
      <c r="E484" s="10" t="str">
        <f>IF($A484="","",COUNTIFS(Evaluations!$G$3:$G$10000,$A484,Evaluations!$M$3:$M$10000,"پاسخ داده شده"))</f>
        <v/>
      </c>
      <c r="F484" s="10" t="str">
        <f>IF($A484="","",IFERROR(COUNTIFS(Evaluations!$G$3:$G$10000,$A484,Evaluations!$O$3:$O$10000,"رعایت شده")/(COUNTIFS(Evaluations!$G$3:$G$10000,$A484,Evaluations!$O$3:$O$10000,"رعایت شده")+COUNTIFS(Evaluations!$G$3:$G$10000,$A484,Evaluations!$O$3:$O$10000,"رعایت نشده")),""))</f>
        <v/>
      </c>
      <c r="G484" s="10" t="str">
        <f>IF($A484="","",IFERROR(ROUND(100*COUNTIFS(Evaluations!$G$3:$G$10000,$A484,Evaluations!$Q$3:$Q$10000,1)/(COUNTIFS(Evaluations!$G$3:$G$10000,$A484,Evaluations!$Q$3:$Q$10000,1)+COUNTIFS(Evaluations!$G$3:$G$10000,$A484,Evaluations!$Q$3:$Q$10000,0)),2),""))</f>
        <v/>
      </c>
      <c r="H484" s="10" t="str">
        <f>IF($A484="","",IFERROR(ROUND(100*COUNTIFS(Evaluations!$G$3:$G$10000,$A484,Evaluations!$R$3:$R$10000,1)/(COUNTIFS(Evaluations!$G$3:$G$10000,$A484,Evaluations!$R$3:$R$10000,1)+COUNTIFS(Evaluations!$G$3:$G$10000,$A484,Evaluations!$R$3:$R$10000,0)),2),""))</f>
        <v/>
      </c>
      <c r="I484" s="10" t="str">
        <f>IF($A484="","",IFERROR(ROUND(100*COUNTIFS(Evaluations!$G$3:$G$10000,$A484,Evaluations!$S$3:$S$10000,1)/(COUNTIFS(Evaluations!$G$3:$G$10000,$A484,Evaluations!$S$3:$S$10000,1)+COUNTIFS(Evaluations!$G$3:$G$10000,$A484,Evaluations!$S$3:$S$10000,0)),2),""))</f>
        <v/>
      </c>
      <c r="J484" s="10" t="str">
        <f>IF($A484="","",IFERROR(ROUND(100*COUNTIFS(Evaluations!$G$3:$G$10000,$A484,Evaluations!$T$3:$T$10000,1)/(COUNTIFS(Evaluations!$G$3:$G$10000,$A484,Evaluations!$T$3:$T$10000,1)+COUNTIFS(Evaluations!$G$3:$G$10000,$A484,Evaluations!$T$3:$T$10000,0)),2),""))</f>
        <v/>
      </c>
      <c r="K484" s="10" t="str">
        <f>IF($A484="","",COUNTIFS(Evaluations!$G$3:$G$10000,$A484,Evaluations!$M$3:$M$10000,"عدم پاسخ"))</f>
        <v/>
      </c>
      <c r="L484" s="10" t="str">
        <f>IF($A484="","",COUNTIFS(Evaluations!$G$3:$G$10000,$A484,Evaluations!$O$3:$O$10000,"رعایت نشده"))</f>
        <v/>
      </c>
    </row>
    <row r="485">
      <c r="A485" s="10"/>
      <c r="B485" s="10" t="str">
        <f t="array" ref="B485">_xlfn.XLOOKUP(A485,DATA!D:D,DATA!E:E,"")</f>
        <v/>
      </c>
      <c r="C485" s="10" t="str">
        <f>IF($A485="","",COUNTIFS(Evaluations!$G$3:$G$10000,$A485,Evaluations!$U$3:$U$10000,"&gt;=0",Evaluations!$U$3:$U$10000,"&lt;=100"))</f>
        <v/>
      </c>
      <c r="D485" s="10" t="str">
        <f>IF(OR($A485="",C485=0),"",ROUND(SUMIFS(Evaluations!$U$3:$U$10000,Evaluations!$G$3:$G$10000,$A485)/C485,2))</f>
        <v/>
      </c>
      <c r="E485" s="10" t="str">
        <f>IF($A485="","",COUNTIFS(Evaluations!$G$3:$G$10000,$A485,Evaluations!$M$3:$M$10000,"پاسخ داده شده"))</f>
        <v/>
      </c>
      <c r="F485" s="10" t="str">
        <f>IF($A485="","",IFERROR(COUNTIFS(Evaluations!$G$3:$G$10000,$A485,Evaluations!$O$3:$O$10000,"رعایت شده")/(COUNTIFS(Evaluations!$G$3:$G$10000,$A485,Evaluations!$O$3:$O$10000,"رعایت شده")+COUNTIFS(Evaluations!$G$3:$G$10000,$A485,Evaluations!$O$3:$O$10000,"رعایت نشده")),""))</f>
        <v/>
      </c>
      <c r="G485" s="10" t="str">
        <f>IF($A485="","",IFERROR(ROUND(100*COUNTIFS(Evaluations!$G$3:$G$10000,$A485,Evaluations!$Q$3:$Q$10000,1)/(COUNTIFS(Evaluations!$G$3:$G$10000,$A485,Evaluations!$Q$3:$Q$10000,1)+COUNTIFS(Evaluations!$G$3:$G$10000,$A485,Evaluations!$Q$3:$Q$10000,0)),2),""))</f>
        <v/>
      </c>
      <c r="H485" s="10" t="str">
        <f>IF($A485="","",IFERROR(ROUND(100*COUNTIFS(Evaluations!$G$3:$G$10000,$A485,Evaluations!$R$3:$R$10000,1)/(COUNTIFS(Evaluations!$G$3:$G$10000,$A485,Evaluations!$R$3:$R$10000,1)+COUNTIFS(Evaluations!$G$3:$G$10000,$A485,Evaluations!$R$3:$R$10000,0)),2),""))</f>
        <v/>
      </c>
      <c r="I485" s="10" t="str">
        <f>IF($A485="","",IFERROR(ROUND(100*COUNTIFS(Evaluations!$G$3:$G$10000,$A485,Evaluations!$S$3:$S$10000,1)/(COUNTIFS(Evaluations!$G$3:$G$10000,$A485,Evaluations!$S$3:$S$10000,1)+COUNTIFS(Evaluations!$G$3:$G$10000,$A485,Evaluations!$S$3:$S$10000,0)),2),""))</f>
        <v/>
      </c>
      <c r="J485" s="10" t="str">
        <f>IF($A485="","",IFERROR(ROUND(100*COUNTIFS(Evaluations!$G$3:$G$10000,$A485,Evaluations!$T$3:$T$10000,1)/(COUNTIFS(Evaluations!$G$3:$G$10000,$A485,Evaluations!$T$3:$T$10000,1)+COUNTIFS(Evaluations!$G$3:$G$10000,$A485,Evaluations!$T$3:$T$10000,0)),2),""))</f>
        <v/>
      </c>
      <c r="K485" s="10" t="str">
        <f>IF($A485="","",COUNTIFS(Evaluations!$G$3:$G$10000,$A485,Evaluations!$M$3:$M$10000,"عدم پاسخ"))</f>
        <v/>
      </c>
      <c r="L485" s="10" t="str">
        <f>IF($A485="","",COUNTIFS(Evaluations!$G$3:$G$10000,$A485,Evaluations!$O$3:$O$10000,"رعایت نشده"))</f>
        <v/>
      </c>
    </row>
    <row r="486">
      <c r="A486" s="10"/>
      <c r="B486" s="10" t="str">
        <f t="array" ref="B486">_xlfn.XLOOKUP(A486,DATA!D:D,DATA!E:E,"")</f>
        <v/>
      </c>
      <c r="C486" s="10" t="str">
        <f>IF($A486="","",COUNTIFS(Evaluations!$G$3:$G$10000,$A486,Evaluations!$U$3:$U$10000,"&gt;=0",Evaluations!$U$3:$U$10000,"&lt;=100"))</f>
        <v/>
      </c>
      <c r="D486" s="10" t="str">
        <f>IF(OR($A486="",C486=0),"",ROUND(SUMIFS(Evaluations!$U$3:$U$10000,Evaluations!$G$3:$G$10000,$A486)/C486,2))</f>
        <v/>
      </c>
      <c r="E486" s="10" t="str">
        <f>IF($A486="","",COUNTIFS(Evaluations!$G$3:$G$10000,$A486,Evaluations!$M$3:$M$10000,"پاسخ داده شده"))</f>
        <v/>
      </c>
      <c r="F486" s="10" t="str">
        <f>IF($A486="","",IFERROR(COUNTIFS(Evaluations!$G$3:$G$10000,$A486,Evaluations!$O$3:$O$10000,"رعایت شده")/(COUNTIFS(Evaluations!$G$3:$G$10000,$A486,Evaluations!$O$3:$O$10000,"رعایت شده")+COUNTIFS(Evaluations!$G$3:$G$10000,$A486,Evaluations!$O$3:$O$10000,"رعایت نشده")),""))</f>
        <v/>
      </c>
      <c r="G486" s="10" t="str">
        <f>IF($A486="","",IFERROR(ROUND(100*COUNTIFS(Evaluations!$G$3:$G$10000,$A486,Evaluations!$Q$3:$Q$10000,1)/(COUNTIFS(Evaluations!$G$3:$G$10000,$A486,Evaluations!$Q$3:$Q$10000,1)+COUNTIFS(Evaluations!$G$3:$G$10000,$A486,Evaluations!$Q$3:$Q$10000,0)),2),""))</f>
        <v/>
      </c>
      <c r="H486" s="10" t="str">
        <f>IF($A486="","",IFERROR(ROUND(100*COUNTIFS(Evaluations!$G$3:$G$10000,$A486,Evaluations!$R$3:$R$10000,1)/(COUNTIFS(Evaluations!$G$3:$G$10000,$A486,Evaluations!$R$3:$R$10000,1)+COUNTIFS(Evaluations!$G$3:$G$10000,$A486,Evaluations!$R$3:$R$10000,0)),2),""))</f>
        <v/>
      </c>
      <c r="I486" s="10" t="str">
        <f>IF($A486="","",IFERROR(ROUND(100*COUNTIFS(Evaluations!$G$3:$G$10000,$A486,Evaluations!$S$3:$S$10000,1)/(COUNTIFS(Evaluations!$G$3:$G$10000,$A486,Evaluations!$S$3:$S$10000,1)+COUNTIFS(Evaluations!$G$3:$G$10000,$A486,Evaluations!$S$3:$S$10000,0)),2),""))</f>
        <v/>
      </c>
      <c r="J486" s="10" t="str">
        <f>IF($A486="","",IFERROR(ROUND(100*COUNTIFS(Evaluations!$G$3:$G$10000,$A486,Evaluations!$T$3:$T$10000,1)/(COUNTIFS(Evaluations!$G$3:$G$10000,$A486,Evaluations!$T$3:$T$10000,1)+COUNTIFS(Evaluations!$G$3:$G$10000,$A486,Evaluations!$T$3:$T$10000,0)),2),""))</f>
        <v/>
      </c>
      <c r="K486" s="10" t="str">
        <f>IF($A486="","",COUNTIFS(Evaluations!$G$3:$G$10000,$A486,Evaluations!$M$3:$M$10000,"عدم پاسخ"))</f>
        <v/>
      </c>
      <c r="L486" s="10" t="str">
        <f>IF($A486="","",COUNTIFS(Evaluations!$G$3:$G$10000,$A486,Evaluations!$O$3:$O$10000,"رعایت نشده"))</f>
        <v/>
      </c>
    </row>
    <row r="487">
      <c r="A487" s="10"/>
      <c r="B487" s="10" t="str">
        <f t="array" ref="B487">_xlfn.XLOOKUP(A487,DATA!D:D,DATA!E:E,"")</f>
        <v/>
      </c>
      <c r="C487" s="10" t="str">
        <f>IF($A487="","",COUNTIFS(Evaluations!$G$3:$G$10000,$A487,Evaluations!$U$3:$U$10000,"&gt;=0",Evaluations!$U$3:$U$10000,"&lt;=100"))</f>
        <v/>
      </c>
      <c r="D487" s="10" t="str">
        <f>IF(OR($A487="",C487=0),"",ROUND(SUMIFS(Evaluations!$U$3:$U$10000,Evaluations!$G$3:$G$10000,$A487)/C487,2))</f>
        <v/>
      </c>
      <c r="E487" s="10" t="str">
        <f>IF($A487="","",COUNTIFS(Evaluations!$G$3:$G$10000,$A487,Evaluations!$M$3:$M$10000,"پاسخ داده شده"))</f>
        <v/>
      </c>
      <c r="F487" s="10" t="str">
        <f>IF($A487="","",IFERROR(COUNTIFS(Evaluations!$G$3:$G$10000,$A487,Evaluations!$O$3:$O$10000,"رعایت شده")/(COUNTIFS(Evaluations!$G$3:$G$10000,$A487,Evaluations!$O$3:$O$10000,"رعایت شده")+COUNTIFS(Evaluations!$G$3:$G$10000,$A487,Evaluations!$O$3:$O$10000,"رعایت نشده")),""))</f>
        <v/>
      </c>
      <c r="G487" s="10" t="str">
        <f>IF($A487="","",IFERROR(ROUND(100*COUNTIFS(Evaluations!$G$3:$G$10000,$A487,Evaluations!$Q$3:$Q$10000,1)/(COUNTIFS(Evaluations!$G$3:$G$10000,$A487,Evaluations!$Q$3:$Q$10000,1)+COUNTIFS(Evaluations!$G$3:$G$10000,$A487,Evaluations!$Q$3:$Q$10000,0)),2),""))</f>
        <v/>
      </c>
      <c r="H487" s="10" t="str">
        <f>IF($A487="","",IFERROR(ROUND(100*COUNTIFS(Evaluations!$G$3:$G$10000,$A487,Evaluations!$R$3:$R$10000,1)/(COUNTIFS(Evaluations!$G$3:$G$10000,$A487,Evaluations!$R$3:$R$10000,1)+COUNTIFS(Evaluations!$G$3:$G$10000,$A487,Evaluations!$R$3:$R$10000,0)),2),""))</f>
        <v/>
      </c>
      <c r="I487" s="10" t="str">
        <f>IF($A487="","",IFERROR(ROUND(100*COUNTIFS(Evaluations!$G$3:$G$10000,$A487,Evaluations!$S$3:$S$10000,1)/(COUNTIFS(Evaluations!$G$3:$G$10000,$A487,Evaluations!$S$3:$S$10000,1)+COUNTIFS(Evaluations!$G$3:$G$10000,$A487,Evaluations!$S$3:$S$10000,0)),2),""))</f>
        <v/>
      </c>
      <c r="J487" s="10" t="str">
        <f>IF($A487="","",IFERROR(ROUND(100*COUNTIFS(Evaluations!$G$3:$G$10000,$A487,Evaluations!$T$3:$T$10000,1)/(COUNTIFS(Evaluations!$G$3:$G$10000,$A487,Evaluations!$T$3:$T$10000,1)+COUNTIFS(Evaluations!$G$3:$G$10000,$A487,Evaluations!$T$3:$T$10000,0)),2),""))</f>
        <v/>
      </c>
      <c r="K487" s="10" t="str">
        <f>IF($A487="","",COUNTIFS(Evaluations!$G$3:$G$10000,$A487,Evaluations!$M$3:$M$10000,"عدم پاسخ"))</f>
        <v/>
      </c>
      <c r="L487" s="10" t="str">
        <f>IF($A487="","",COUNTIFS(Evaluations!$G$3:$G$10000,$A487,Evaluations!$O$3:$O$10000,"رعایت نشده"))</f>
        <v/>
      </c>
    </row>
    <row r="488">
      <c r="A488" s="10"/>
      <c r="B488" s="10" t="str">
        <f t="array" ref="B488">_xlfn.XLOOKUP(A488,DATA!D:D,DATA!E:E,"")</f>
        <v/>
      </c>
      <c r="C488" s="10" t="str">
        <f>IF($A488="","",COUNTIFS(Evaluations!$G$3:$G$10000,$A488,Evaluations!$U$3:$U$10000,"&gt;=0",Evaluations!$U$3:$U$10000,"&lt;=100"))</f>
        <v/>
      </c>
      <c r="D488" s="10" t="str">
        <f>IF(OR($A488="",C488=0),"",ROUND(SUMIFS(Evaluations!$U$3:$U$10000,Evaluations!$G$3:$G$10000,$A488)/C488,2))</f>
        <v/>
      </c>
      <c r="E488" s="10" t="str">
        <f>IF($A488="","",COUNTIFS(Evaluations!$G$3:$G$10000,$A488,Evaluations!$M$3:$M$10000,"پاسخ داده شده"))</f>
        <v/>
      </c>
      <c r="F488" s="10" t="str">
        <f>IF($A488="","",IFERROR(COUNTIFS(Evaluations!$G$3:$G$10000,$A488,Evaluations!$O$3:$O$10000,"رعایت شده")/(COUNTIFS(Evaluations!$G$3:$G$10000,$A488,Evaluations!$O$3:$O$10000,"رعایت شده")+COUNTIFS(Evaluations!$G$3:$G$10000,$A488,Evaluations!$O$3:$O$10000,"رعایت نشده")),""))</f>
        <v/>
      </c>
      <c r="G488" s="10" t="str">
        <f>IF($A488="","",IFERROR(ROUND(100*COUNTIFS(Evaluations!$G$3:$G$10000,$A488,Evaluations!$Q$3:$Q$10000,1)/(COUNTIFS(Evaluations!$G$3:$G$10000,$A488,Evaluations!$Q$3:$Q$10000,1)+COUNTIFS(Evaluations!$G$3:$G$10000,$A488,Evaluations!$Q$3:$Q$10000,0)),2),""))</f>
        <v/>
      </c>
      <c r="H488" s="10" t="str">
        <f>IF($A488="","",IFERROR(ROUND(100*COUNTIFS(Evaluations!$G$3:$G$10000,$A488,Evaluations!$R$3:$R$10000,1)/(COUNTIFS(Evaluations!$G$3:$G$10000,$A488,Evaluations!$R$3:$R$10000,1)+COUNTIFS(Evaluations!$G$3:$G$10000,$A488,Evaluations!$R$3:$R$10000,0)),2),""))</f>
        <v/>
      </c>
      <c r="I488" s="10" t="str">
        <f>IF($A488="","",IFERROR(ROUND(100*COUNTIFS(Evaluations!$G$3:$G$10000,$A488,Evaluations!$S$3:$S$10000,1)/(COUNTIFS(Evaluations!$G$3:$G$10000,$A488,Evaluations!$S$3:$S$10000,1)+COUNTIFS(Evaluations!$G$3:$G$10000,$A488,Evaluations!$S$3:$S$10000,0)),2),""))</f>
        <v/>
      </c>
      <c r="J488" s="10" t="str">
        <f>IF($A488="","",IFERROR(ROUND(100*COUNTIFS(Evaluations!$G$3:$G$10000,$A488,Evaluations!$T$3:$T$10000,1)/(COUNTIFS(Evaluations!$G$3:$G$10000,$A488,Evaluations!$T$3:$T$10000,1)+COUNTIFS(Evaluations!$G$3:$G$10000,$A488,Evaluations!$T$3:$T$10000,0)),2),""))</f>
        <v/>
      </c>
      <c r="K488" s="10" t="str">
        <f>IF($A488="","",COUNTIFS(Evaluations!$G$3:$G$10000,$A488,Evaluations!$M$3:$M$10000,"عدم پاسخ"))</f>
        <v/>
      </c>
      <c r="L488" s="10" t="str">
        <f>IF($A488="","",COUNTIFS(Evaluations!$G$3:$G$10000,$A488,Evaluations!$O$3:$O$10000,"رعایت نشده"))</f>
        <v/>
      </c>
    </row>
    <row r="489">
      <c r="A489" s="10"/>
      <c r="B489" s="10" t="str">
        <f t="array" ref="B489">_xlfn.XLOOKUP(A489,DATA!D:D,DATA!E:E,"")</f>
        <v/>
      </c>
      <c r="C489" s="10" t="str">
        <f>IF($A489="","",COUNTIFS(Evaluations!$G$3:$G$10000,$A489,Evaluations!$U$3:$U$10000,"&gt;=0",Evaluations!$U$3:$U$10000,"&lt;=100"))</f>
        <v/>
      </c>
      <c r="D489" s="10" t="str">
        <f>IF(OR($A489="",C489=0),"",ROUND(SUMIFS(Evaluations!$U$3:$U$10000,Evaluations!$G$3:$G$10000,$A489)/C489,2))</f>
        <v/>
      </c>
      <c r="E489" s="10" t="str">
        <f>IF($A489="","",COUNTIFS(Evaluations!$G$3:$G$10000,$A489,Evaluations!$M$3:$M$10000,"پاسخ داده شده"))</f>
        <v/>
      </c>
      <c r="F489" s="10" t="str">
        <f>IF($A489="","",IFERROR(COUNTIFS(Evaluations!$G$3:$G$10000,$A489,Evaluations!$O$3:$O$10000,"رعایت شده")/(COUNTIFS(Evaluations!$G$3:$G$10000,$A489,Evaluations!$O$3:$O$10000,"رعایت شده")+COUNTIFS(Evaluations!$G$3:$G$10000,$A489,Evaluations!$O$3:$O$10000,"رعایت نشده")),""))</f>
        <v/>
      </c>
      <c r="G489" s="10" t="str">
        <f>IF($A489="","",IFERROR(ROUND(100*COUNTIFS(Evaluations!$G$3:$G$10000,$A489,Evaluations!$Q$3:$Q$10000,1)/(COUNTIFS(Evaluations!$G$3:$G$10000,$A489,Evaluations!$Q$3:$Q$10000,1)+COUNTIFS(Evaluations!$G$3:$G$10000,$A489,Evaluations!$Q$3:$Q$10000,0)),2),""))</f>
        <v/>
      </c>
      <c r="H489" s="10" t="str">
        <f>IF($A489="","",IFERROR(ROUND(100*COUNTIFS(Evaluations!$G$3:$G$10000,$A489,Evaluations!$R$3:$R$10000,1)/(COUNTIFS(Evaluations!$G$3:$G$10000,$A489,Evaluations!$R$3:$R$10000,1)+COUNTIFS(Evaluations!$G$3:$G$10000,$A489,Evaluations!$R$3:$R$10000,0)),2),""))</f>
        <v/>
      </c>
      <c r="I489" s="10" t="str">
        <f>IF($A489="","",IFERROR(ROUND(100*COUNTIFS(Evaluations!$G$3:$G$10000,$A489,Evaluations!$S$3:$S$10000,1)/(COUNTIFS(Evaluations!$G$3:$G$10000,$A489,Evaluations!$S$3:$S$10000,1)+COUNTIFS(Evaluations!$G$3:$G$10000,$A489,Evaluations!$S$3:$S$10000,0)),2),""))</f>
        <v/>
      </c>
      <c r="J489" s="10" t="str">
        <f>IF($A489="","",IFERROR(ROUND(100*COUNTIFS(Evaluations!$G$3:$G$10000,$A489,Evaluations!$T$3:$T$10000,1)/(COUNTIFS(Evaluations!$G$3:$G$10000,$A489,Evaluations!$T$3:$T$10000,1)+COUNTIFS(Evaluations!$G$3:$G$10000,$A489,Evaluations!$T$3:$T$10000,0)),2),""))</f>
        <v/>
      </c>
      <c r="K489" s="10" t="str">
        <f>IF($A489="","",COUNTIFS(Evaluations!$G$3:$G$10000,$A489,Evaluations!$M$3:$M$10000,"عدم پاسخ"))</f>
        <v/>
      </c>
      <c r="L489" s="10" t="str">
        <f>IF($A489="","",COUNTIFS(Evaluations!$G$3:$G$10000,$A489,Evaluations!$O$3:$O$10000,"رعایت نشده"))</f>
        <v/>
      </c>
    </row>
    <row r="490">
      <c r="A490" s="10"/>
      <c r="B490" s="10" t="str">
        <f t="array" ref="B490">_xlfn.XLOOKUP(A490,DATA!D:D,DATA!E:E,"")</f>
        <v/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</row>
    <row r="491">
      <c r="A491" s="10"/>
      <c r="B491" s="10" t="str">
        <f t="array" ref="B491">_xlfn.XLOOKUP(A491,DATA!D:D,DATA!E:E,"")</f>
        <v/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</row>
    <row r="492">
      <c r="A492" s="10"/>
      <c r="B492" s="10" t="str">
        <f t="array" ref="B492">_xlfn.XLOOKUP(A492,DATA!D:D,DATA!E:E,"")</f>
        <v/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</row>
    <row r="493">
      <c r="A493" s="10"/>
      <c r="B493" s="10" t="str">
        <f t="array" ref="B493">_xlfn.XLOOKUP(A493,DATA!D:D,DATA!E:E,"")</f>
        <v/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</row>
    <row r="494">
      <c r="A494" s="10"/>
      <c r="B494" s="10" t="str">
        <f t="array" ref="B494">_xlfn.XLOOKUP(A494,DATA!D:D,DATA!E:E,"")</f>
        <v/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</row>
    <row r="495">
      <c r="A495" s="10"/>
      <c r="B495" s="10" t="str">
        <f t="array" ref="B495">_xlfn.XLOOKUP(A495,DATA!D:D,DATA!E:E,"")</f>
        <v/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</row>
    <row r="496">
      <c r="A496" s="10"/>
      <c r="B496" s="10" t="str">
        <f t="array" ref="B496">_xlfn.XLOOKUP(A496,DATA!D:D,DATA!E:E,"")</f>
        <v/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</row>
    <row r="497">
      <c r="A497" s="10"/>
      <c r="B497" s="10" t="str">
        <f t="array" ref="B497">_xlfn.XLOOKUP(A497,DATA!D:D,DATA!E:E,"")</f>
        <v/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</row>
    <row r="498">
      <c r="A498" s="10"/>
      <c r="B498" s="10" t="str">
        <f t="array" ref="B498">_xlfn.XLOOKUP(A498,DATA!D:D,DATA!E:E,"")</f>
        <v/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</row>
    <row r="499">
      <c r="A499" s="10"/>
      <c r="B499" s="10" t="str">
        <f t="array" ref="B499">_xlfn.XLOOKUP(A499,DATA!D:D,DATA!E:E,"")</f>
        <v/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</row>
    <row r="500">
      <c r="A500" s="10"/>
      <c r="B500" s="10" t="str">
        <f t="array" ref="B500">_xlfn.XLOOKUP(A500,DATA!D:D,DATA!E:E,"")</f>
        <v/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</row>
    <row r="501">
      <c r="A501" s="10"/>
      <c r="B501" s="10" t="str">
        <f t="array" ref="B501">_xlfn.XLOOKUP(A501,DATA!D:D,DATA!E:E,"")</f>
        <v/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</row>
    <row r="502">
      <c r="A502" s="10"/>
      <c r="B502" s="10" t="str">
        <f t="array" ref="B502">_xlfn.XLOOKUP(A502,DATA!D:D,DATA!E:E,"")</f>
        <v/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</row>
    <row r="503">
      <c r="A503" s="10"/>
      <c r="B503" s="10" t="str">
        <f t="array" ref="B503">_xlfn.XLOOKUP(A503,DATA!D:D,DATA!E:E,"")</f>
        <v/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</row>
    <row r="504">
      <c r="A504" s="10"/>
      <c r="B504" s="10" t="str">
        <f t="array" ref="B504">_xlfn.XLOOKUP(A504,DATA!D:D,DATA!E:E,"")</f>
        <v/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</row>
    <row r="505">
      <c r="A505" s="10"/>
      <c r="B505" s="10" t="str">
        <f t="array" ref="B505">_xlfn.XLOOKUP(A505,DATA!D:D,DATA!E:E,"")</f>
        <v/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</row>
    <row r="506">
      <c r="A506" s="10"/>
      <c r="B506" s="10" t="str">
        <f t="array" ref="B506">_xlfn.XLOOKUP(A506,DATA!D:D,DATA!E:E,"")</f>
        <v/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</row>
    <row r="507">
      <c r="A507" s="10"/>
      <c r="B507" s="10" t="str">
        <f t="array" ref="B507">_xlfn.XLOOKUP(A507,DATA!D:D,DATA!E:E,"")</f>
        <v/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</row>
    <row r="508">
      <c r="A508" s="10"/>
      <c r="B508" s="10" t="str">
        <f t="array" ref="B508">_xlfn.XLOOKUP(A508,DATA!D:D,DATA!E:E,"")</f>
        <v/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</row>
    <row r="509">
      <c r="A509" s="10"/>
      <c r="B509" s="10" t="str">
        <f t="array" ref="B509">_xlfn.XLOOKUP(A509,DATA!D:D,DATA!E:E,"")</f>
        <v/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</row>
    <row r="510">
      <c r="A510" s="10"/>
      <c r="B510" s="10" t="str">
        <f t="array" ref="B510">_xlfn.XLOOKUP(A510,DATA!D:D,DATA!E:E,"")</f>
        <v/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</row>
    <row r="511">
      <c r="A511" s="10"/>
      <c r="B511" s="10" t="str">
        <f t="array" ref="B511">_xlfn.XLOOKUP(A511,DATA!D:D,DATA!E:E,"")</f>
        <v/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>
      <c r="A512" s="10"/>
      <c r="B512" s="10" t="str">
        <f t="array" ref="B512">_xlfn.XLOOKUP(A512,DATA!D:D,DATA!E:E,"")</f>
        <v/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>
      <c r="A513" s="10"/>
      <c r="B513" s="10" t="str">
        <f t="array" ref="B513">_xlfn.XLOOKUP(A513,DATA!D:D,DATA!E:E,"")</f>
        <v/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>
      <c r="A514" s="10"/>
      <c r="B514" s="10" t="str">
        <f t="array" ref="B514">_xlfn.XLOOKUP(A514,DATA!D:D,DATA!E:E,"")</f>
        <v/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>
      <c r="A515" s="10"/>
      <c r="B515" s="10" t="str">
        <f t="array" ref="B515">_xlfn.XLOOKUP(A515,DATA!D:D,DATA!E:E,"")</f>
        <v/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</row>
    <row r="516">
      <c r="A516" s="10"/>
      <c r="B516" s="10" t="str">
        <f t="array" ref="B516">_xlfn.XLOOKUP(A516,DATA!D:D,DATA!E:E,"")</f>
        <v/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>
      <c r="A517" s="10"/>
      <c r="B517" s="10" t="str">
        <f t="array" ref="B517">_xlfn.XLOOKUP(A517,DATA!D:D,DATA!E:E,"")</f>
        <v/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>
      <c r="A518" s="10"/>
      <c r="B518" s="10" t="str">
        <f t="array" ref="B518">_xlfn.XLOOKUP(A518,DATA!D:D,DATA!E:E,"")</f>
        <v/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>
      <c r="A519" s="10"/>
      <c r="B519" s="10" t="str">
        <f t="array" ref="B519">_xlfn.XLOOKUP(A519,DATA!D:D,DATA!E:E,"")</f>
        <v/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>
      <c r="A520" s="10"/>
      <c r="B520" s="10" t="str">
        <f t="array" ref="B520">_xlfn.XLOOKUP(A520,DATA!D:D,DATA!E:E,"")</f>
        <v/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>
      <c r="A521" s="10"/>
      <c r="B521" s="10" t="str">
        <f t="array" ref="B521">_xlfn.XLOOKUP(A521,DATA!D:D,DATA!E:E,"")</f>
        <v/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>
      <c r="A522" s="10"/>
      <c r="B522" s="10" t="str">
        <f t="array" ref="B522">_xlfn.XLOOKUP(A522,DATA!D:D,DATA!E:E,"")</f>
        <v/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>
      <c r="A523" s="10"/>
      <c r="B523" s="10" t="str">
        <f t="array" ref="B523">_xlfn.XLOOKUP(A523,DATA!D:D,DATA!E:E,"")</f>
        <v/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>
      <c r="A524" s="10"/>
      <c r="B524" s="10" t="str">
        <f t="array" ref="B524">_xlfn.XLOOKUP(A524,DATA!D:D,DATA!E:E,"")</f>
        <v/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>
      <c r="A525" s="10"/>
      <c r="B525" s="10" t="str">
        <f t="array" ref="B525">_xlfn.XLOOKUP(A525,DATA!D:D,DATA!E:E,"")</f>
        <v/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>
      <c r="A526" s="10"/>
      <c r="B526" s="10" t="str">
        <f t="array" ref="B526">_xlfn.XLOOKUP(A526,DATA!D:D,DATA!E:E,"")</f>
        <v/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>
      <c r="A527" s="10"/>
      <c r="B527" s="10" t="str">
        <f t="array" ref="B527">_xlfn.XLOOKUP(A527,DATA!D:D,DATA!E:E,"")</f>
        <v/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</row>
    <row r="528">
      <c r="A528" s="10"/>
      <c r="B528" s="10" t="str">
        <f t="array" ref="B528">_xlfn.XLOOKUP(A528,DATA!D:D,DATA!E:E,"")</f>
        <v/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</row>
    <row r="529">
      <c r="A529" s="10"/>
      <c r="B529" s="10" t="str">
        <f t="array" ref="B529">_xlfn.XLOOKUP(A529,DATA!D:D,DATA!E:E,"")</f>
        <v/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</row>
    <row r="530">
      <c r="A530" s="10"/>
      <c r="B530" s="10" t="str">
        <f t="array" ref="B530">_xlfn.XLOOKUP(A530,DATA!D:D,DATA!E:E,"")</f>
        <v/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</row>
    <row r="531">
      <c r="A531" s="10"/>
      <c r="B531" s="10" t="str">
        <f t="array" ref="B531">_xlfn.XLOOKUP(A531,DATA!D:D,DATA!E:E,"")</f>
        <v/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</row>
    <row r="532">
      <c r="A532" s="10"/>
      <c r="B532" s="10" t="str">
        <f t="array" ref="B532">_xlfn.XLOOKUP(A532,DATA!D:D,DATA!E:E,"")</f>
        <v/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</row>
    <row r="533">
      <c r="A533" s="10"/>
      <c r="B533" s="10" t="str">
        <f t="array" ref="B533">_xlfn.XLOOKUP(A533,DATA!D:D,DATA!E:E,"")</f>
        <v/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</row>
    <row r="534">
      <c r="A534" s="10"/>
      <c r="B534" s="10" t="str">
        <f t="array" ref="B534">_xlfn.XLOOKUP(A534,DATA!D:D,DATA!E:E,"")</f>
        <v/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</row>
    <row r="535">
      <c r="A535" s="10"/>
      <c r="B535" s="10" t="str">
        <f t="array" ref="B535">_xlfn.XLOOKUP(A535,DATA!D:D,DATA!E:E,"")</f>
        <v/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</row>
    <row r="536">
      <c r="A536" s="10"/>
      <c r="B536" s="10" t="str">
        <f t="array" ref="B536">_xlfn.XLOOKUP(A536,DATA!D:D,DATA!E:E,"")</f>
        <v/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</row>
    <row r="537">
      <c r="A537" s="10"/>
      <c r="B537" s="10" t="str">
        <f t="array" ref="B537">_xlfn.XLOOKUP(A537,DATA!D:D,DATA!E:E,"")</f>
        <v/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</row>
    <row r="538">
      <c r="A538" s="10"/>
      <c r="B538" s="10" t="str">
        <f t="array" ref="B538">_xlfn.XLOOKUP(A538,DATA!D:D,DATA!E:E,"")</f>
        <v/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</row>
    <row r="539">
      <c r="A539" s="10"/>
      <c r="B539" s="10" t="str">
        <f t="array" ref="B539">_xlfn.XLOOKUP(A539,DATA!D:D,DATA!E:E,"")</f>
        <v/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</row>
    <row r="540">
      <c r="A540" s="10"/>
      <c r="B540" s="10" t="str">
        <f t="array" ref="B540">_xlfn.XLOOKUP(A540,DATA!D:D,DATA!E:E,"")</f>
        <v/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</row>
    <row r="541">
      <c r="A541" s="10"/>
      <c r="B541" s="10" t="str">
        <f t="array" ref="B541">_xlfn.XLOOKUP(A541,DATA!D:D,DATA!E:E,"")</f>
        <v/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</row>
    <row r="542">
      <c r="A542" s="10"/>
      <c r="B542" s="10" t="str">
        <f t="array" ref="B542">_xlfn.XLOOKUP(A542,DATA!D:D,DATA!E:E,"")</f>
        <v/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</row>
    <row r="543">
      <c r="A543" s="10"/>
      <c r="B543" s="10" t="str">
        <f t="array" ref="B543">_xlfn.XLOOKUP(A543,DATA!D:D,DATA!E:E,"")</f>
        <v/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</row>
    <row r="544">
      <c r="A544" s="10"/>
      <c r="B544" s="10" t="str">
        <f t="array" ref="B544">_xlfn.XLOOKUP(A544,DATA!D:D,DATA!E:E,"")</f>
        <v/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</row>
    <row r="545">
      <c r="A545" s="10"/>
      <c r="B545" s="10" t="str">
        <f t="array" ref="B545">_xlfn.XLOOKUP(A545,DATA!D:D,DATA!E:E,"")</f>
        <v/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</row>
    <row r="546">
      <c r="A546" s="10"/>
      <c r="B546" s="10" t="str">
        <f t="array" ref="B546">_xlfn.XLOOKUP(A546,DATA!D:D,DATA!E:E,"")</f>
        <v/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</row>
    <row r="547">
      <c r="A547" s="10"/>
      <c r="B547" s="10" t="str">
        <f t="array" ref="B547">_xlfn.XLOOKUP(A547,DATA!D:D,DATA!E:E,"")</f>
        <v/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</row>
    <row r="548">
      <c r="A548" s="10"/>
      <c r="B548" s="10" t="str">
        <f t="array" ref="B548">_xlfn.XLOOKUP(A548,DATA!D:D,DATA!E:E,"")</f>
        <v/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</row>
    <row r="549">
      <c r="A549" s="10"/>
      <c r="B549" s="10" t="str">
        <f t="array" ref="B549">_xlfn.XLOOKUP(A549,DATA!D:D,DATA!E:E,"")</f>
        <v/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</row>
    <row r="550">
      <c r="A550" s="10"/>
      <c r="B550" s="10" t="str">
        <f t="array" ref="B550">_xlfn.XLOOKUP(A550,DATA!D:D,DATA!E:E,"")</f>
        <v/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</row>
    <row r="551">
      <c r="A551" s="10"/>
      <c r="B551" s="10" t="str">
        <f t="array" ref="B551">_xlfn.XLOOKUP(A551,DATA!D:D,DATA!E:E,"")</f>
        <v/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</row>
    <row r="552">
      <c r="A552" s="10"/>
      <c r="B552" s="10" t="str">
        <f t="array" ref="B552">_xlfn.XLOOKUP(A552,DATA!D:D,DATA!E:E,"")</f>
        <v/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</row>
    <row r="553">
      <c r="A553" s="10"/>
      <c r="B553" s="10" t="str">
        <f t="array" ref="B553">_xlfn.XLOOKUP(A553,DATA!D:D,DATA!E:E,"")</f>
        <v/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</row>
    <row r="554">
      <c r="A554" s="10"/>
      <c r="B554" s="10" t="str">
        <f t="array" ref="B554">_xlfn.XLOOKUP(A554,DATA!D:D,DATA!E:E,"")</f>
        <v/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</row>
    <row r="555">
      <c r="A555" s="10"/>
      <c r="B555" s="10" t="str">
        <f t="array" ref="B555">_xlfn.XLOOKUP(A555,DATA!D:D,DATA!E:E,"")</f>
        <v/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</row>
    <row r="556">
      <c r="A556" s="10"/>
      <c r="B556" s="10" t="str">
        <f t="array" ref="B556">_xlfn.XLOOKUP(A556,DATA!D:D,DATA!E:E,"")</f>
        <v/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</row>
    <row r="557">
      <c r="A557" s="10"/>
      <c r="B557" s="10" t="str">
        <f t="array" ref="B557">_xlfn.XLOOKUP(A557,DATA!D:D,DATA!E:E,"")</f>
        <v/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</row>
    <row r="558">
      <c r="A558" s="10"/>
      <c r="B558" s="10" t="str">
        <f t="array" ref="B558">_xlfn.XLOOKUP(A558,DATA!D:D,DATA!E:E,"")</f>
        <v/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</row>
    <row r="559">
      <c r="A559" s="10"/>
      <c r="B559" s="10" t="str">
        <f t="array" ref="B559">_xlfn.XLOOKUP(A559,DATA!D:D,DATA!E:E,"")</f>
        <v/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</row>
    <row r="560">
      <c r="A560" s="10"/>
      <c r="B560" s="10" t="str">
        <f t="array" ref="B560">_xlfn.XLOOKUP(A560,DATA!D:D,DATA!E:E,"")</f>
        <v/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</row>
    <row r="561">
      <c r="A561" s="10"/>
      <c r="B561" s="10" t="str">
        <f t="array" ref="B561">_xlfn.XLOOKUP(A561,DATA!D:D,DATA!E:E,"")</f>
        <v/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</row>
    <row r="562">
      <c r="A562" s="10"/>
      <c r="B562" s="10" t="str">
        <f t="array" ref="B562">_xlfn.XLOOKUP(A562,DATA!D:D,DATA!E:E,"")</f>
        <v/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</row>
    <row r="563">
      <c r="A563" s="10"/>
      <c r="B563" s="10" t="str">
        <f t="array" ref="B563">_xlfn.XLOOKUP(A563,DATA!D:D,DATA!E:E,"")</f>
        <v/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</row>
    <row r="564">
      <c r="A564" s="10"/>
      <c r="B564" s="10" t="str">
        <f t="array" ref="B564">_xlfn.XLOOKUP(A564,DATA!D:D,DATA!E:E,"")</f>
        <v/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</row>
    <row r="565">
      <c r="A565" s="10"/>
      <c r="B565" s="10" t="str">
        <f t="array" ref="B565">_xlfn.XLOOKUP(A565,DATA!D:D,DATA!E:E,"")</f>
        <v/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</row>
    <row r="566">
      <c r="A566" s="10"/>
      <c r="B566" s="10" t="str">
        <f t="array" ref="B566">_xlfn.XLOOKUP(A566,DATA!D:D,DATA!E:E,"")</f>
        <v/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</row>
    <row r="567">
      <c r="A567" s="10"/>
      <c r="B567" s="10" t="str">
        <f t="array" ref="B567">_xlfn.XLOOKUP(A567,DATA!D:D,DATA!E:E,"")</f>
        <v/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</row>
    <row r="568">
      <c r="A568" s="10"/>
      <c r="B568" s="10" t="str">
        <f t="array" ref="B568">_xlfn.XLOOKUP(A568,DATA!D:D,DATA!E:E,"")</f>
        <v/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</row>
    <row r="569">
      <c r="A569" s="10"/>
      <c r="B569" s="10" t="str">
        <f t="array" ref="B569">_xlfn.XLOOKUP(A569,DATA!D:D,DATA!E:E,"")</f>
        <v/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</row>
    <row r="570">
      <c r="A570" s="10"/>
      <c r="B570" s="10" t="str">
        <f t="array" ref="B570">_xlfn.XLOOKUP(A570,DATA!D:D,DATA!E:E,"")</f>
        <v/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</row>
    <row r="571">
      <c r="A571" s="10"/>
      <c r="B571" s="10" t="str">
        <f t="array" ref="B571">_xlfn.XLOOKUP(A571,DATA!D:D,DATA!E:E,"")</f>
        <v/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</row>
    <row r="572">
      <c r="A572" s="10"/>
      <c r="B572" s="10" t="str">
        <f t="array" ref="B572">_xlfn.XLOOKUP(A572,DATA!D:D,DATA!E:E,"")</f>
        <v/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</row>
    <row r="573">
      <c r="A573" s="10"/>
      <c r="B573" s="10" t="str">
        <f t="array" ref="B573">_xlfn.XLOOKUP(A573,DATA!D:D,DATA!E:E,"")</f>
        <v/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</row>
    <row r="574">
      <c r="A574" s="10"/>
      <c r="B574" s="10" t="str">
        <f t="array" ref="B574">_xlfn.XLOOKUP(A574,DATA!D:D,DATA!E:E,"")</f>
        <v/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</row>
    <row r="575">
      <c r="A575" s="10"/>
      <c r="B575" s="10" t="str">
        <f t="array" ref="B575">_xlfn.XLOOKUP(A575,DATA!D:D,DATA!E:E,"")</f>
        <v/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</row>
    <row r="576">
      <c r="A576" s="10"/>
      <c r="B576" s="10" t="str">
        <f t="array" ref="B576">_xlfn.XLOOKUP(A576,DATA!D:D,DATA!E:E,"")</f>
        <v/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</row>
    <row r="577">
      <c r="A577" s="10"/>
      <c r="B577" s="10" t="str">
        <f t="array" ref="B577">_xlfn.XLOOKUP(A577,DATA!D:D,DATA!E:E,"")</f>
        <v/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</row>
    <row r="578">
      <c r="A578" s="10"/>
      <c r="B578" s="10" t="str">
        <f t="array" ref="B578">_xlfn.XLOOKUP(A578,DATA!D:D,DATA!E:E,"")</f>
        <v/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</row>
    <row r="579">
      <c r="A579" s="10"/>
      <c r="B579" s="10" t="str">
        <f t="array" ref="B579">_xlfn.XLOOKUP(A579,DATA!D:D,DATA!E:E,"")</f>
        <v/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</row>
    <row r="580">
      <c r="A580" s="10"/>
      <c r="B580" s="10" t="str">
        <f t="array" ref="B580">_xlfn.XLOOKUP(A580,DATA!D:D,DATA!E:E,"")</f>
        <v/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</row>
    <row r="581">
      <c r="A581" s="10"/>
      <c r="B581" s="10" t="str">
        <f t="array" ref="B581">_xlfn.XLOOKUP(A581,DATA!D:D,DATA!E:E,"")</f>
        <v/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</row>
    <row r="582">
      <c r="A582" s="10"/>
      <c r="B582" s="10" t="str">
        <f t="array" ref="B582">_xlfn.XLOOKUP(A582,DATA!D:D,DATA!E:E,"")</f>
        <v/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</row>
    <row r="583">
      <c r="A583" s="10"/>
      <c r="B583" s="10" t="str">
        <f t="array" ref="B583">_xlfn.XLOOKUP(A583,DATA!D:D,DATA!E:E,"")</f>
        <v/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</row>
    <row r="584">
      <c r="A584" s="10"/>
      <c r="B584" s="10" t="str">
        <f t="array" ref="B584">_xlfn.XLOOKUP(A584,DATA!D:D,DATA!E:E,"")</f>
        <v/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</row>
    <row r="585">
      <c r="A585" s="10"/>
      <c r="B585" s="10" t="str">
        <f t="array" ref="B585">_xlfn.XLOOKUP(A585,DATA!D:D,DATA!E:E,"")</f>
        <v/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</row>
    <row r="586">
      <c r="A586" s="10"/>
      <c r="B586" s="10" t="str">
        <f t="array" ref="B586">_xlfn.XLOOKUP(A586,DATA!D:D,DATA!E:E,"")</f>
        <v/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</row>
    <row r="587">
      <c r="A587" s="10"/>
      <c r="B587" s="10" t="str">
        <f t="array" ref="B587">_xlfn.XLOOKUP(A587,DATA!D:D,DATA!E:E,"")</f>
        <v/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</row>
    <row r="588">
      <c r="A588" s="10"/>
      <c r="B588" s="10" t="str">
        <f t="array" ref="B588">_xlfn.XLOOKUP(A588,DATA!D:D,DATA!E:E,"")</f>
        <v/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</row>
    <row r="589">
      <c r="A589" s="10"/>
      <c r="B589" s="10" t="str">
        <f t="array" ref="B589">_xlfn.XLOOKUP(A589,DATA!D:D,DATA!E:E,"")</f>
        <v/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</row>
    <row r="590">
      <c r="A590" s="10"/>
      <c r="B590" s="10" t="str">
        <f t="array" ref="B590">_xlfn.XLOOKUP(A590,DATA!D:D,DATA!E:E,"")</f>
        <v/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</row>
    <row r="591">
      <c r="A591" s="10"/>
      <c r="B591" s="10" t="str">
        <f t="array" ref="B591">_xlfn.XLOOKUP(A591,DATA!D:D,DATA!E:E,"")</f>
        <v/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</row>
    <row r="592">
      <c r="A592" s="10"/>
      <c r="B592" s="10" t="str">
        <f t="array" ref="B592">_xlfn.XLOOKUP(A592,DATA!D:D,DATA!E:E,"")</f>
        <v/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</row>
    <row r="593">
      <c r="A593" s="10"/>
      <c r="B593" s="10" t="str">
        <f t="array" ref="B593">_xlfn.XLOOKUP(A593,DATA!D:D,DATA!E:E,"")</f>
        <v/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</row>
    <row r="594">
      <c r="A594" s="10"/>
      <c r="B594" s="10" t="str">
        <f t="array" ref="B594">_xlfn.XLOOKUP(A594,DATA!D:D,DATA!E:E,"")</f>
        <v/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</row>
    <row r="595">
      <c r="A595" s="10"/>
      <c r="B595" s="10" t="str">
        <f t="array" ref="B595">_xlfn.XLOOKUP(A595,DATA!D:D,DATA!E:E,"")</f>
        <v/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</row>
    <row r="596">
      <c r="A596" s="10"/>
      <c r="B596" s="10" t="str">
        <f t="array" ref="B596">_xlfn.XLOOKUP(A596,DATA!D:D,DATA!E:E,"")</f>
        <v/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</row>
    <row r="597">
      <c r="A597" s="10"/>
      <c r="B597" s="10" t="str">
        <f t="array" ref="B597">_xlfn.XLOOKUP(A597,DATA!D:D,DATA!E:E,"")</f>
        <v/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</row>
    <row r="598">
      <c r="A598" s="10"/>
      <c r="B598" s="10" t="str">
        <f t="array" ref="B598">_xlfn.XLOOKUP(A598,DATA!D:D,DATA!E:E,"")</f>
        <v/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</row>
    <row r="599">
      <c r="A599" s="10"/>
      <c r="B599" s="10" t="str">
        <f t="array" ref="B599">_xlfn.XLOOKUP(A599,DATA!D:D,DATA!E:E,"")</f>
        <v/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</row>
    <row r="600">
      <c r="A600" s="10"/>
      <c r="B600" s="10" t="str">
        <f t="array" ref="B600">_xlfn.XLOOKUP(A600,DATA!D:D,DATA!E:E,"")</f>
        <v/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</row>
    <row r="601">
      <c r="A601" s="10"/>
      <c r="B601" s="10" t="str">
        <f t="array" ref="B601">_xlfn.XLOOKUP(A601,DATA!D:D,DATA!E:E,"")</f>
        <v/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</row>
    <row r="602">
      <c r="A602" s="10"/>
      <c r="B602" s="10" t="str">
        <f t="array" ref="B602">_xlfn.XLOOKUP(A602,DATA!D:D,DATA!E:E,"")</f>
        <v/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</row>
    <row r="603">
      <c r="A603" s="10"/>
      <c r="B603" s="10" t="str">
        <f t="array" ref="B603">_xlfn.XLOOKUP(A603,DATA!D:D,DATA!E:E,"")</f>
        <v/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</row>
    <row r="604">
      <c r="A604" s="10"/>
      <c r="B604" s="10" t="str">
        <f t="array" ref="B604">_xlfn.XLOOKUP(A604,DATA!D:D,DATA!E:E,"")</f>
        <v/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</row>
    <row r="605">
      <c r="A605" s="10"/>
      <c r="B605" s="10" t="str">
        <f t="array" ref="B605">_xlfn.XLOOKUP(A605,DATA!D:D,DATA!E:E,"")</f>
        <v/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</row>
    <row r="606">
      <c r="A606" s="10"/>
      <c r="B606" s="10" t="str">
        <f t="array" ref="B606">_xlfn.XLOOKUP(A606,DATA!D:D,DATA!E:E,"")</f>
        <v/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</row>
    <row r="607">
      <c r="A607" s="10"/>
      <c r="B607" s="10" t="str">
        <f t="array" ref="B607">_xlfn.XLOOKUP(A607,DATA!D:D,DATA!E:E,"")</f>
        <v/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</row>
    <row r="608">
      <c r="A608" s="10"/>
      <c r="B608" s="10" t="str">
        <f t="array" ref="B608">_xlfn.XLOOKUP(A608,DATA!D:D,DATA!E:E,"")</f>
        <v/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</row>
    <row r="609">
      <c r="A609" s="10"/>
      <c r="B609" s="10" t="str">
        <f t="array" ref="B609">_xlfn.XLOOKUP(A609,DATA!D:D,DATA!E:E,"")</f>
        <v/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</row>
    <row r="610">
      <c r="A610" s="10"/>
      <c r="B610" s="10" t="str">
        <f t="array" ref="B610">_xlfn.XLOOKUP(A610,DATA!D:D,DATA!E:E,"")</f>
        <v/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</row>
    <row r="611">
      <c r="A611" s="10"/>
      <c r="B611" s="10" t="str">
        <f t="array" ref="B611">_xlfn.XLOOKUP(A611,DATA!D:D,DATA!E:E,"")</f>
        <v/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</row>
    <row r="612">
      <c r="A612" s="10"/>
      <c r="B612" s="10" t="str">
        <f t="array" ref="B612">_xlfn.XLOOKUP(A612,DATA!D:D,DATA!E:E,"")</f>
        <v/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</row>
    <row r="613">
      <c r="A613" s="10"/>
      <c r="B613" s="10" t="str">
        <f t="array" ref="B613">_xlfn.XLOOKUP(A613,DATA!D:D,DATA!E:E,"")</f>
        <v/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</row>
    <row r="614">
      <c r="A614" s="10"/>
      <c r="B614" s="10" t="str">
        <f t="array" ref="B614">_xlfn.XLOOKUP(A614,DATA!D:D,DATA!E:E,"")</f>
        <v/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</row>
    <row r="615">
      <c r="A615" s="10"/>
      <c r="B615" s="10" t="str">
        <f t="array" ref="B615">_xlfn.XLOOKUP(A615,DATA!D:D,DATA!E:E,"")</f>
        <v/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</row>
    <row r="616">
      <c r="A616" s="10"/>
      <c r="B616" s="10" t="str">
        <f t="array" ref="B616">_xlfn.XLOOKUP(A616,DATA!D:D,DATA!E:E,"")</f>
        <v/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</row>
    <row r="617">
      <c r="A617" s="10"/>
      <c r="B617" s="10" t="str">
        <f t="array" ref="B617">_xlfn.XLOOKUP(A617,DATA!D:D,DATA!E:E,"")</f>
        <v/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</row>
    <row r="618">
      <c r="A618" s="10"/>
      <c r="B618" s="10" t="str">
        <f t="array" ref="B618">_xlfn.XLOOKUP(A618,DATA!D:D,DATA!E:E,"")</f>
        <v/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</row>
    <row r="619">
      <c r="A619" s="10"/>
      <c r="B619" s="10" t="str">
        <f t="array" ref="B619">_xlfn.XLOOKUP(A619,DATA!D:D,DATA!E:E,"")</f>
        <v/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</row>
    <row r="620">
      <c r="A620" s="10"/>
      <c r="B620" s="10" t="str">
        <f t="array" ref="B620">_xlfn.XLOOKUP(A620,DATA!D:D,DATA!E:E,"")</f>
        <v/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</row>
    <row r="621">
      <c r="A621" s="10"/>
      <c r="B621" s="10" t="str">
        <f t="array" ref="B621">_xlfn.XLOOKUP(A621,DATA!D:D,DATA!E:E,"")</f>
        <v/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</row>
    <row r="622">
      <c r="A622" s="10"/>
      <c r="B622" s="10" t="str">
        <f t="array" ref="B622">_xlfn.XLOOKUP(A622,DATA!D:D,DATA!E:E,"")</f>
        <v/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</row>
    <row r="623">
      <c r="A623" s="10"/>
      <c r="B623" s="10" t="str">
        <f t="array" ref="B623">_xlfn.XLOOKUP(A623,DATA!D:D,DATA!E:E,"")</f>
        <v/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</row>
    <row r="624">
      <c r="A624" s="10"/>
      <c r="B624" s="10" t="str">
        <f t="array" ref="B624">_xlfn.XLOOKUP(A624,DATA!D:D,DATA!E:E,"")</f>
        <v/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</row>
    <row r="625">
      <c r="A625" s="10"/>
      <c r="B625" s="10" t="str">
        <f t="array" ref="B625">_xlfn.XLOOKUP(A625,DATA!D:D,DATA!E:E,"")</f>
        <v/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</row>
    <row r="626">
      <c r="A626" s="10"/>
      <c r="B626" s="10" t="str">
        <f t="array" ref="B626">_xlfn.XLOOKUP(A626,DATA!D:D,DATA!E:E,"")</f>
        <v/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</row>
    <row r="627">
      <c r="A627" s="10"/>
      <c r="B627" s="10" t="str">
        <f t="array" ref="B627">_xlfn.XLOOKUP(A627,DATA!D:D,DATA!E:E,"")</f>
        <v/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</row>
    <row r="628">
      <c r="A628" s="10"/>
      <c r="B628" s="10" t="str">
        <f t="array" ref="B628">_xlfn.XLOOKUP(A628,DATA!D:D,DATA!E:E,"")</f>
        <v/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</row>
    <row r="629">
      <c r="A629" s="10"/>
      <c r="B629" s="10" t="str">
        <f t="array" ref="B629">_xlfn.XLOOKUP(A629,DATA!D:D,DATA!E:E,"")</f>
        <v/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</row>
    <row r="630">
      <c r="A630" s="10"/>
      <c r="B630" s="10" t="str">
        <f t="array" ref="B630">_xlfn.XLOOKUP(A630,DATA!D:D,DATA!E:E,"")</f>
        <v/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</row>
    <row r="631">
      <c r="A631" s="10"/>
      <c r="B631" s="10" t="str">
        <f t="array" ref="B631">_xlfn.XLOOKUP(A631,DATA!D:D,DATA!E:E,"")</f>
        <v/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</row>
    <row r="632">
      <c r="A632" s="10"/>
      <c r="B632" s="10" t="str">
        <f t="array" ref="B632">_xlfn.XLOOKUP(A632,DATA!D:D,DATA!E:E,"")</f>
        <v/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</row>
    <row r="633">
      <c r="A633" s="10"/>
      <c r="B633" s="10" t="str">
        <f t="array" ref="B633">_xlfn.XLOOKUP(A633,DATA!D:D,DATA!E:E,"")</f>
        <v/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</row>
    <row r="634">
      <c r="A634" s="10"/>
      <c r="B634" s="10" t="str">
        <f t="array" ref="B634">_xlfn.XLOOKUP(A634,DATA!D:D,DATA!E:E,"")</f>
        <v/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</row>
    <row r="635">
      <c r="A635" s="10"/>
      <c r="B635" s="10" t="str">
        <f t="array" ref="B635">_xlfn.XLOOKUP(A635,DATA!D:D,DATA!E:E,"")</f>
        <v/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</row>
    <row r="636">
      <c r="A636" s="10"/>
      <c r="B636" s="10" t="str">
        <f t="array" ref="B636">_xlfn.XLOOKUP(A636,DATA!D:D,DATA!E:E,"")</f>
        <v/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</row>
    <row r="637">
      <c r="A637" s="10"/>
      <c r="B637" s="10" t="str">
        <f t="array" ref="B637">_xlfn.XLOOKUP(A637,DATA!D:D,DATA!E:E,"")</f>
        <v/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</row>
    <row r="638">
      <c r="A638" s="10"/>
      <c r="B638" s="10" t="str">
        <f t="array" ref="B638">_xlfn.XLOOKUP(A638,DATA!D:D,DATA!E:E,"")</f>
        <v/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</row>
    <row r="639">
      <c r="A639" s="10"/>
      <c r="B639" s="10" t="str">
        <f t="array" ref="B639">_xlfn.XLOOKUP(A639,DATA!D:D,DATA!E:E,"")</f>
        <v/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</row>
    <row r="640">
      <c r="A640" s="10"/>
      <c r="B640" s="10" t="str">
        <f t="array" ref="B640">_xlfn.XLOOKUP(A640,DATA!D:D,DATA!E:E,"")</f>
        <v/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</row>
    <row r="641">
      <c r="A641" s="10"/>
      <c r="B641" s="10" t="str">
        <f t="array" ref="B641">_xlfn.XLOOKUP(A641,DATA!D:D,DATA!E:E,"")</f>
        <v/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</row>
    <row r="642">
      <c r="A642" s="10"/>
      <c r="B642" s="10" t="str">
        <f t="array" ref="B642">_xlfn.XLOOKUP(A642,DATA!D:D,DATA!E:E,"")</f>
        <v/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</row>
    <row r="643">
      <c r="A643" s="10"/>
      <c r="B643" s="10" t="str">
        <f t="array" ref="B643">_xlfn.XLOOKUP(A643,DATA!D:D,DATA!E:E,"")</f>
        <v/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</row>
    <row r="644">
      <c r="A644" s="10"/>
      <c r="B644" s="10" t="str">
        <f t="array" ref="B644">_xlfn.XLOOKUP(A644,DATA!D:D,DATA!E:E,"")</f>
        <v/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</row>
    <row r="645">
      <c r="A645" s="10"/>
      <c r="B645" s="10" t="str">
        <f t="array" ref="B645">_xlfn.XLOOKUP(A645,DATA!D:D,DATA!E:E,"")</f>
        <v/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</row>
    <row r="646">
      <c r="A646" s="10"/>
      <c r="B646" s="10" t="str">
        <f t="array" ref="B646">_xlfn.XLOOKUP(A646,DATA!D:D,DATA!E:E,"")</f>
        <v/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</row>
    <row r="647">
      <c r="A647" s="10"/>
      <c r="B647" s="10" t="str">
        <f t="array" ref="B647">_xlfn.XLOOKUP(A647,DATA!D:D,DATA!E:E,"")</f>
        <v/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</row>
    <row r="648">
      <c r="A648" s="10"/>
      <c r="B648" s="10" t="str">
        <f t="array" ref="B648">_xlfn.XLOOKUP(A648,DATA!D:D,DATA!E:E,"")</f>
        <v/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</row>
    <row r="649">
      <c r="A649" s="10"/>
      <c r="B649" s="10" t="str">
        <f t="array" ref="B649">_xlfn.XLOOKUP(A649,DATA!D:D,DATA!E:E,"")</f>
        <v/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</row>
    <row r="650">
      <c r="A650" s="10"/>
      <c r="B650" s="10" t="str">
        <f t="array" ref="B650">_xlfn.XLOOKUP(A650,DATA!D:D,DATA!E:E,"")</f>
        <v/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</row>
    <row r="651">
      <c r="A651" s="10"/>
      <c r="B651" s="10" t="str">
        <f t="array" ref="B651">_xlfn.XLOOKUP(A651,DATA!D:D,DATA!E:E,"")</f>
        <v/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</row>
    <row r="652">
      <c r="A652" s="10"/>
      <c r="B652" s="10" t="str">
        <f t="array" ref="B652">_xlfn.XLOOKUP(A652,DATA!D:D,DATA!E:E,"")</f>
        <v/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</row>
    <row r="653">
      <c r="A653" s="10"/>
      <c r="B653" s="10" t="str">
        <f t="array" ref="B653">_xlfn.XLOOKUP(A653,DATA!D:D,DATA!E:E,"")</f>
        <v/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</row>
    <row r="654">
      <c r="A654" s="10"/>
      <c r="B654" s="10" t="str">
        <f t="array" ref="B654">_xlfn.XLOOKUP(A654,DATA!D:D,DATA!E:E,"")</f>
        <v/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</row>
    <row r="655">
      <c r="A655" s="10"/>
      <c r="B655" s="10" t="str">
        <f t="array" ref="B655">_xlfn.XLOOKUP(A655,DATA!D:D,DATA!E:E,"")</f>
        <v/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</row>
    <row r="656">
      <c r="A656" s="10"/>
      <c r="B656" s="10" t="str">
        <f t="array" ref="B656">_xlfn.XLOOKUP(A656,DATA!D:D,DATA!E:E,"")</f>
        <v/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</row>
    <row r="657">
      <c r="A657" s="10"/>
      <c r="B657" s="10" t="str">
        <f t="array" ref="B657">_xlfn.XLOOKUP(A657,DATA!D:D,DATA!E:E,"")</f>
        <v/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</row>
    <row r="658">
      <c r="A658" s="10"/>
      <c r="B658" s="10" t="str">
        <f t="array" ref="B658">_xlfn.XLOOKUP(A658,DATA!D:D,DATA!E:E,"")</f>
        <v/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</row>
    <row r="659">
      <c r="A659" s="10"/>
      <c r="B659" s="10" t="str">
        <f t="array" ref="B659">_xlfn.XLOOKUP(A659,DATA!D:D,DATA!E:E,"")</f>
        <v/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</row>
    <row r="660">
      <c r="A660" s="10"/>
      <c r="B660" s="10" t="str">
        <f t="array" ref="B660">_xlfn.XLOOKUP(A660,DATA!D:D,DATA!E:E,"")</f>
        <v/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</row>
    <row r="661">
      <c r="A661" s="10"/>
      <c r="B661" s="10" t="str">
        <f t="array" ref="B661">_xlfn.XLOOKUP(A661,DATA!D:D,DATA!E:E,"")</f>
        <v/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</row>
    <row r="662">
      <c r="A662" s="10"/>
      <c r="B662" s="10" t="str">
        <f t="array" ref="B662">_xlfn.XLOOKUP(A662,DATA!D:D,DATA!E:E,"")</f>
        <v/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</row>
    <row r="663">
      <c r="A663" s="10"/>
      <c r="B663" s="10" t="str">
        <f t="array" ref="B663">_xlfn.XLOOKUP(A663,DATA!D:D,DATA!E:E,"")</f>
        <v/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</row>
    <row r="664">
      <c r="A664" s="10"/>
      <c r="B664" s="10" t="str">
        <f t="array" ref="B664">_xlfn.XLOOKUP(A664,DATA!D:D,DATA!E:E,"")</f>
        <v/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</row>
    <row r="665">
      <c r="A665" s="10"/>
      <c r="B665" s="10" t="str">
        <f t="array" ref="B665">_xlfn.XLOOKUP(A665,DATA!D:D,DATA!E:E,"")</f>
        <v/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</row>
    <row r="666">
      <c r="A666" s="10"/>
      <c r="B666" s="10" t="str">
        <f t="array" ref="B666">_xlfn.XLOOKUP(A666,DATA!D:D,DATA!E:E,"")</f>
        <v/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</row>
    <row r="667">
      <c r="A667" s="10"/>
      <c r="B667" s="10" t="str">
        <f t="array" ref="B667">_xlfn.XLOOKUP(A667,DATA!D:D,DATA!E:E,"")</f>
        <v/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</row>
    <row r="668">
      <c r="A668" s="10"/>
      <c r="B668" s="10" t="str">
        <f t="array" ref="B668">_xlfn.XLOOKUP(A668,DATA!D:D,DATA!E:E,"")</f>
        <v/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</row>
    <row r="669">
      <c r="A669" s="10"/>
      <c r="B669" s="10" t="str">
        <f t="array" ref="B669">_xlfn.XLOOKUP(A669,DATA!D:D,DATA!E:E,"")</f>
        <v/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</row>
    <row r="670">
      <c r="A670" s="10"/>
      <c r="B670" s="10" t="str">
        <f t="array" ref="B670">_xlfn.XLOOKUP(A670,DATA!D:D,DATA!E:E,"")</f>
        <v/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</row>
    <row r="671">
      <c r="A671" s="10"/>
      <c r="B671" s="10" t="str">
        <f t="array" ref="B671">_xlfn.XLOOKUP(A671,DATA!D:D,DATA!E:E,"")</f>
        <v/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</row>
    <row r="672">
      <c r="A672" s="10"/>
      <c r="B672" s="10" t="str">
        <f t="array" ref="B672">_xlfn.XLOOKUP(A672,DATA!D:D,DATA!E:E,"")</f>
        <v/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</row>
    <row r="673">
      <c r="A673" s="10"/>
      <c r="B673" s="10" t="str">
        <f t="array" ref="B673">_xlfn.XLOOKUP(A673,DATA!D:D,DATA!E:E,"")</f>
        <v/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</row>
    <row r="674">
      <c r="A674" s="10"/>
      <c r="B674" s="10" t="str">
        <f t="array" ref="B674">_xlfn.XLOOKUP(A674,DATA!D:D,DATA!E:E,"")</f>
        <v/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</row>
    <row r="675">
      <c r="A675" s="10"/>
      <c r="B675" s="10" t="str">
        <f t="array" ref="B675">_xlfn.XLOOKUP(A675,DATA!D:D,DATA!E:E,"")</f>
        <v/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</row>
    <row r="676">
      <c r="A676" s="10"/>
      <c r="B676" s="10" t="str">
        <f t="array" ref="B676">_xlfn.XLOOKUP(A676,DATA!D:D,DATA!E:E,"")</f>
        <v/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</row>
    <row r="677">
      <c r="A677" s="10"/>
      <c r="B677" s="10" t="str">
        <f t="array" ref="B677">_xlfn.XLOOKUP(A677,DATA!D:D,DATA!E:E,"")</f>
        <v/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</row>
    <row r="678">
      <c r="A678" s="10"/>
      <c r="B678" s="10" t="str">
        <f t="array" ref="B678">_xlfn.XLOOKUP(A678,DATA!D:D,DATA!E:E,"")</f>
        <v/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</row>
    <row r="679">
      <c r="A679" s="10"/>
      <c r="B679" s="10" t="str">
        <f t="array" ref="B679">_xlfn.XLOOKUP(A679,DATA!D:D,DATA!E:E,"")</f>
        <v/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</row>
    <row r="680">
      <c r="A680" s="10"/>
      <c r="B680" s="10" t="str">
        <f t="array" ref="B680">_xlfn.XLOOKUP(A680,DATA!D:D,DATA!E:E,"")</f>
        <v/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</row>
    <row r="681">
      <c r="A681" s="10"/>
      <c r="B681" s="10" t="str">
        <f t="array" ref="B681">_xlfn.XLOOKUP(A681,DATA!D:D,DATA!E:E,"")</f>
        <v/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</row>
    <row r="682">
      <c r="A682" s="10"/>
      <c r="B682" s="10" t="str">
        <f t="array" ref="B682">_xlfn.XLOOKUP(A682,DATA!D:D,DATA!E:E,"")</f>
        <v/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</row>
    <row r="683">
      <c r="A683" s="10"/>
      <c r="B683" s="10" t="str">
        <f t="array" ref="B683">_xlfn.XLOOKUP(A683,DATA!D:D,DATA!E:E,"")</f>
        <v/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</row>
    <row r="684">
      <c r="A684" s="10"/>
      <c r="B684" s="10" t="str">
        <f t="array" ref="B684">_xlfn.XLOOKUP(A684,DATA!D:D,DATA!E:E,"")</f>
        <v/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</row>
    <row r="685">
      <c r="A685" s="10"/>
      <c r="B685" s="10" t="str">
        <f t="array" ref="B685">_xlfn.XLOOKUP(A685,DATA!D:D,DATA!E:E,"")</f>
        <v/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</row>
    <row r="686">
      <c r="A686" s="10"/>
      <c r="B686" s="10" t="str">
        <f t="array" ref="B686">_xlfn.XLOOKUP(A686,DATA!D:D,DATA!E:E,"")</f>
        <v/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</row>
    <row r="687">
      <c r="A687" s="10"/>
      <c r="B687" s="10" t="str">
        <f t="array" ref="B687">_xlfn.XLOOKUP(A687,DATA!D:D,DATA!E:E,"")</f>
        <v/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</row>
    <row r="688">
      <c r="A688" s="10"/>
      <c r="B688" s="10" t="str">
        <f t="array" ref="B688">_xlfn.XLOOKUP(A688,DATA!D:D,DATA!E:E,"")</f>
        <v/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</row>
    <row r="689">
      <c r="A689" s="10"/>
      <c r="B689" s="10" t="str">
        <f t="array" ref="B689">_xlfn.XLOOKUP(A689,DATA!D:D,DATA!E:E,"")</f>
        <v/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</row>
    <row r="690">
      <c r="A690" s="10"/>
      <c r="B690" s="10" t="str">
        <f t="array" ref="B690">_xlfn.XLOOKUP(A690,DATA!D:D,DATA!E:E,"")</f>
        <v/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</row>
    <row r="691">
      <c r="A691" s="10"/>
      <c r="B691" s="10" t="str">
        <f t="array" ref="B691">_xlfn.XLOOKUP(A691,DATA!D:D,DATA!E:E,"")</f>
        <v/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</row>
    <row r="692">
      <c r="A692" s="10"/>
      <c r="B692" s="10" t="str">
        <f t="array" ref="B692">_xlfn.XLOOKUP(A692,DATA!D:D,DATA!E:E,"")</f>
        <v/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</row>
    <row r="693">
      <c r="A693" s="10"/>
      <c r="B693" s="10" t="str">
        <f t="array" ref="B693">_xlfn.XLOOKUP(A693,DATA!D:D,DATA!E:E,"")</f>
        <v/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</row>
    <row r="694">
      <c r="A694" s="10"/>
      <c r="B694" s="10" t="str">
        <f t="array" ref="B694">_xlfn.XLOOKUP(A694,DATA!D:D,DATA!E:E,"")</f>
        <v/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</row>
    <row r="695">
      <c r="A695" s="10"/>
      <c r="B695" s="10" t="str">
        <f t="array" ref="B695">_xlfn.XLOOKUP(A695,DATA!D:D,DATA!E:E,"")</f>
        <v/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</row>
    <row r="696">
      <c r="A696" s="10"/>
      <c r="B696" s="10" t="str">
        <f t="array" ref="B696">_xlfn.XLOOKUP(A696,DATA!D:D,DATA!E:E,"")</f>
        <v/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</row>
    <row r="697">
      <c r="A697" s="10"/>
      <c r="B697" s="10" t="str">
        <f t="array" ref="B697">_xlfn.XLOOKUP(A697,DATA!D:D,DATA!E:E,"")</f>
        <v/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</row>
    <row r="698">
      <c r="A698" s="10"/>
      <c r="B698" s="10" t="str">
        <f t="array" ref="B698">_xlfn.XLOOKUP(A698,DATA!D:D,DATA!E:E,"")</f>
        <v/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</row>
    <row r="699">
      <c r="A699" s="10"/>
      <c r="B699" s="10" t="str">
        <f t="array" ref="B699">_xlfn.XLOOKUP(A699,DATA!D:D,DATA!E:E,"")</f>
        <v/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</row>
    <row r="700">
      <c r="A700" s="10"/>
      <c r="B700" s="10" t="str">
        <f t="array" ref="B700">_xlfn.XLOOKUP(A700,DATA!D:D,DATA!E:E,"")</f>
        <v/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</row>
    <row r="701">
      <c r="A701" s="10"/>
      <c r="B701" s="10" t="str">
        <f t="array" ref="B701">_xlfn.XLOOKUP(A701,DATA!D:D,DATA!E:E,"")</f>
        <v/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</row>
    <row r="702">
      <c r="A702" s="10"/>
      <c r="B702" s="10" t="str">
        <f t="array" ref="B702">_xlfn.XLOOKUP(A702,DATA!D:D,DATA!E:E,"")</f>
        <v/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</row>
    <row r="703">
      <c r="A703" s="10"/>
      <c r="B703" s="10" t="str">
        <f t="array" ref="B703">_xlfn.XLOOKUP(A703,DATA!D:D,DATA!E:E,"")</f>
        <v/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04">
      <c r="A704" s="10"/>
      <c r="B704" s="10" t="str">
        <f t="array" ref="B704">_xlfn.XLOOKUP(A704,DATA!D:D,DATA!E:E,"")</f>
        <v/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</row>
    <row r="705">
      <c r="A705" s="10"/>
      <c r="B705" s="10" t="str">
        <f t="array" ref="B705">_xlfn.XLOOKUP(A705,DATA!D:D,DATA!E:E,"")</f>
        <v/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</row>
    <row r="706">
      <c r="A706" s="10"/>
      <c r="B706" s="10" t="str">
        <f t="array" ref="B706">_xlfn.XLOOKUP(A706,DATA!D:D,DATA!E:E,"")</f>
        <v/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</row>
    <row r="707">
      <c r="A707" s="10"/>
      <c r="B707" s="10" t="str">
        <f t="array" ref="B707">_xlfn.XLOOKUP(A707,DATA!D:D,DATA!E:E,"")</f>
        <v/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</row>
    <row r="708">
      <c r="A708" s="10"/>
      <c r="B708" s="10" t="str">
        <f t="array" ref="B708">_xlfn.XLOOKUP(A708,DATA!D:D,DATA!E:E,"")</f>
        <v/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</row>
    <row r="709">
      <c r="A709" s="10"/>
      <c r="B709" s="10" t="str">
        <f t="array" ref="B709">_xlfn.XLOOKUP(A709,DATA!D:D,DATA!E:E,"")</f>
        <v/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</row>
    <row r="710">
      <c r="A710" s="10"/>
      <c r="B710" s="10" t="str">
        <f t="array" ref="B710">_xlfn.XLOOKUP(A710,DATA!D:D,DATA!E:E,"")</f>
        <v/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</row>
    <row r="711">
      <c r="A711" s="10"/>
      <c r="B711" s="10" t="str">
        <f t="array" ref="B711">_xlfn.XLOOKUP(A711,DATA!D:D,DATA!E:E,"")</f>
        <v/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</row>
    <row r="712">
      <c r="A712" s="10"/>
      <c r="B712" s="10" t="str">
        <f t="array" ref="B712">_xlfn.XLOOKUP(A712,DATA!D:D,DATA!E:E,"")</f>
        <v/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</row>
    <row r="713">
      <c r="A713" s="10"/>
      <c r="B713" s="10" t="str">
        <f t="array" ref="B713">_xlfn.XLOOKUP(A713,DATA!D:D,DATA!E:E,"")</f>
        <v/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</row>
    <row r="714">
      <c r="A714" s="10"/>
      <c r="B714" s="10" t="str">
        <f t="array" ref="B714">_xlfn.XLOOKUP(A714,DATA!D:D,DATA!E:E,"")</f>
        <v/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</row>
    <row r="715">
      <c r="A715" s="10"/>
      <c r="B715" s="10" t="str">
        <f t="array" ref="B715">_xlfn.XLOOKUP(A715,DATA!D:D,DATA!E:E,"")</f>
        <v/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</row>
    <row r="716">
      <c r="A716" s="10"/>
      <c r="B716" s="10" t="str">
        <f t="array" ref="B716">_xlfn.XLOOKUP(A716,DATA!D:D,DATA!E:E,"")</f>
        <v/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</row>
    <row r="717">
      <c r="A717" s="10"/>
      <c r="B717" s="10" t="str">
        <f t="array" ref="B717">_xlfn.XLOOKUP(A717,DATA!D:D,DATA!E:E,"")</f>
        <v/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</row>
    <row r="718">
      <c r="A718" s="10"/>
      <c r="B718" s="10" t="str">
        <f t="array" ref="B718">_xlfn.XLOOKUP(A718,DATA!D:D,DATA!E:E,"")</f>
        <v/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</row>
    <row r="719">
      <c r="A719" s="10"/>
      <c r="B719" s="10" t="str">
        <f t="array" ref="B719">_xlfn.XLOOKUP(A719,DATA!D:D,DATA!E:E,"")</f>
        <v/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</row>
    <row r="720">
      <c r="A720" s="10"/>
      <c r="B720" s="10" t="str">
        <f t="array" ref="B720">_xlfn.XLOOKUP(A720,DATA!D:D,DATA!E:E,"")</f>
        <v/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</row>
    <row r="721">
      <c r="A721" s="10"/>
      <c r="B721" s="10" t="str">
        <f t="array" ref="B721">_xlfn.XLOOKUP(A721,DATA!D:D,DATA!E:E,"")</f>
        <v/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</row>
    <row r="722">
      <c r="A722" s="10"/>
      <c r="B722" s="10" t="str">
        <f t="array" ref="B722">_xlfn.XLOOKUP(A722,DATA!D:D,DATA!E:E,"")</f>
        <v/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</row>
    <row r="723">
      <c r="A723" s="10"/>
      <c r="B723" s="10" t="str">
        <f t="array" ref="B723">_xlfn.XLOOKUP(A723,DATA!D:D,DATA!E:E,"")</f>
        <v/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</row>
    <row r="724">
      <c r="A724" s="10"/>
      <c r="B724" s="10" t="str">
        <f t="array" ref="B724">_xlfn.XLOOKUP(A724,DATA!D:D,DATA!E:E,"")</f>
        <v/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</row>
    <row r="725">
      <c r="A725" s="10"/>
      <c r="B725" s="10" t="str">
        <f t="array" ref="B725">_xlfn.XLOOKUP(A725,DATA!D:D,DATA!E:E,"")</f>
        <v/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</row>
    <row r="726">
      <c r="A726" s="10"/>
      <c r="B726" s="10" t="str">
        <f t="array" ref="B726">_xlfn.XLOOKUP(A726,DATA!D:D,DATA!E:E,"")</f>
        <v/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</row>
    <row r="727">
      <c r="A727" s="10"/>
      <c r="B727" s="10" t="str">
        <f t="array" ref="B727">_xlfn.XLOOKUP(A727,DATA!D:D,DATA!E:E,"")</f>
        <v/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</row>
    <row r="728">
      <c r="A728" s="10"/>
      <c r="B728" s="10" t="str">
        <f t="array" ref="B728">_xlfn.XLOOKUP(A728,DATA!D:D,DATA!E:E,"")</f>
        <v/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</row>
    <row r="729">
      <c r="A729" s="10"/>
      <c r="B729" s="10" t="str">
        <f t="array" ref="B729">_xlfn.XLOOKUP(A729,DATA!D:D,DATA!E:E,"")</f>
        <v/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</row>
    <row r="730">
      <c r="A730" s="10"/>
      <c r="B730" s="10" t="str">
        <f t="array" ref="B730">_xlfn.XLOOKUP(A730,DATA!D:D,DATA!E:E,"")</f>
        <v/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</row>
    <row r="731">
      <c r="A731" s="10"/>
      <c r="B731" s="10" t="str">
        <f t="array" ref="B731">_xlfn.XLOOKUP(A731,DATA!D:D,DATA!E:E,"")</f>
        <v/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</row>
    <row r="732">
      <c r="A732" s="10"/>
      <c r="B732" s="10" t="str">
        <f t="array" ref="B732">_xlfn.XLOOKUP(A732,DATA!D:D,DATA!E:E,"")</f>
        <v/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</row>
    <row r="733">
      <c r="A733" s="10"/>
      <c r="B733" s="10" t="str">
        <f t="array" ref="B733">_xlfn.XLOOKUP(A733,DATA!D:D,DATA!E:E,"")</f>
        <v/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</row>
    <row r="734">
      <c r="A734" s="10"/>
      <c r="B734" s="10" t="str">
        <f t="array" ref="B734">_xlfn.XLOOKUP(A734,DATA!D:D,DATA!E:E,"")</f>
        <v/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</row>
    <row r="735">
      <c r="A735" s="10"/>
      <c r="B735" s="10" t="str">
        <f t="array" ref="B735">_xlfn.XLOOKUP(A735,DATA!D:D,DATA!E:E,"")</f>
        <v/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</row>
    <row r="736">
      <c r="A736" s="10"/>
      <c r="B736" s="10" t="str">
        <f t="array" ref="B736">_xlfn.XLOOKUP(A736,DATA!D:D,DATA!E:E,"")</f>
        <v/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</row>
    <row r="737">
      <c r="A737" s="10"/>
      <c r="B737" s="10" t="str">
        <f t="array" ref="B737">_xlfn.XLOOKUP(A737,DATA!D:D,DATA!E:E,"")</f>
        <v/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</row>
    <row r="738">
      <c r="A738" s="10"/>
      <c r="B738" s="10" t="str">
        <f t="array" ref="B738">_xlfn.XLOOKUP(A738,DATA!D:D,DATA!E:E,"")</f>
        <v/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</row>
    <row r="739">
      <c r="A739" s="10"/>
      <c r="B739" s="10" t="str">
        <f t="array" ref="B739">_xlfn.XLOOKUP(A739,DATA!D:D,DATA!E:E,"")</f>
        <v/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</row>
    <row r="740">
      <c r="A740" s="10"/>
      <c r="B740" s="10" t="str">
        <f t="array" ref="B740">_xlfn.XLOOKUP(A740,DATA!D:D,DATA!E:E,"")</f>
        <v/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</row>
    <row r="741">
      <c r="A741" s="10"/>
      <c r="B741" s="10" t="str">
        <f t="array" ref="B741">_xlfn.XLOOKUP(A741,DATA!D:D,DATA!E:E,"")</f>
        <v/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</row>
    <row r="742">
      <c r="A742" s="10"/>
      <c r="B742" s="10" t="str">
        <f t="array" ref="B742">_xlfn.XLOOKUP(A742,DATA!D:D,DATA!E:E,"")</f>
        <v/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</row>
    <row r="743">
      <c r="A743" s="10"/>
      <c r="B743" s="10" t="str">
        <f t="array" ref="B743">_xlfn.XLOOKUP(A743,DATA!D:D,DATA!E:E,"")</f>
        <v/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</row>
    <row r="744">
      <c r="A744" s="10"/>
      <c r="B744" s="10" t="str">
        <f t="array" ref="B744">_xlfn.XLOOKUP(A744,DATA!D:D,DATA!E:E,"")</f>
        <v/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</row>
    <row r="745">
      <c r="A745" s="10"/>
      <c r="B745" s="10" t="str">
        <f t="array" ref="B745">_xlfn.XLOOKUP(A745,DATA!D:D,DATA!E:E,"")</f>
        <v/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</row>
    <row r="746">
      <c r="A746" s="10"/>
      <c r="B746" s="10" t="str">
        <f t="array" ref="B746">_xlfn.XLOOKUP(A746,DATA!D:D,DATA!E:E,"")</f>
        <v/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</row>
    <row r="747">
      <c r="A747" s="10"/>
      <c r="B747" s="10" t="str">
        <f t="array" ref="B747">_xlfn.XLOOKUP(A747,DATA!D:D,DATA!E:E,"")</f>
        <v/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</row>
    <row r="748">
      <c r="A748" s="10"/>
      <c r="B748" s="10" t="str">
        <f t="array" ref="B748">_xlfn.XLOOKUP(A748,DATA!D:D,DATA!E:E,"")</f>
        <v/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</row>
    <row r="749">
      <c r="A749" s="10"/>
      <c r="B749" s="10" t="str">
        <f t="array" ref="B749">_xlfn.XLOOKUP(A749,DATA!D:D,DATA!E:E,"")</f>
        <v/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</row>
    <row r="750">
      <c r="A750" s="10"/>
      <c r="B750" s="10" t="str">
        <f t="array" ref="B750">_xlfn.XLOOKUP(A750,DATA!D:D,DATA!E:E,"")</f>
        <v/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</row>
    <row r="751">
      <c r="A751" s="10"/>
      <c r="B751" s="10" t="str">
        <f t="array" ref="B751">_xlfn.XLOOKUP(A751,DATA!D:D,DATA!E:E,"")</f>
        <v/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</row>
    <row r="752">
      <c r="A752" s="10"/>
      <c r="B752" s="10" t="str">
        <f t="array" ref="B752">_xlfn.XLOOKUP(A752,DATA!D:D,DATA!E:E,"")</f>
        <v/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</row>
    <row r="753">
      <c r="A753" s="10"/>
      <c r="B753" s="10" t="str">
        <f t="array" ref="B753">_xlfn.XLOOKUP(A753,DATA!D:D,DATA!E:E,"")</f>
        <v/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</row>
    <row r="754">
      <c r="A754" s="10"/>
      <c r="B754" s="10" t="str">
        <f t="array" ref="B754">_xlfn.XLOOKUP(A754,DATA!D:D,DATA!E:E,"")</f>
        <v/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</row>
    <row r="755">
      <c r="A755" s="10"/>
      <c r="B755" s="10" t="str">
        <f t="array" ref="B755">_xlfn.XLOOKUP(A755,DATA!D:D,DATA!E:E,"")</f>
        <v/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</row>
    <row r="756">
      <c r="A756" s="10"/>
      <c r="B756" s="10" t="str">
        <f t="array" ref="B756">_xlfn.XLOOKUP(A756,DATA!D:D,DATA!E:E,"")</f>
        <v/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</row>
    <row r="757">
      <c r="A757" s="10"/>
      <c r="B757" s="10" t="str">
        <f t="array" ref="B757">_xlfn.XLOOKUP(A757,DATA!D:D,DATA!E:E,"")</f>
        <v/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</row>
    <row r="758">
      <c r="A758" s="10"/>
      <c r="B758" s="10" t="str">
        <f t="array" ref="B758">_xlfn.XLOOKUP(A758,DATA!D:D,DATA!E:E,"")</f>
        <v/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</row>
    <row r="759">
      <c r="A759" s="10"/>
      <c r="B759" s="10" t="str">
        <f t="array" ref="B759">_xlfn.XLOOKUP(A759,DATA!D:D,DATA!E:E,"")</f>
        <v/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</row>
    <row r="760">
      <c r="A760" s="10"/>
      <c r="B760" s="10" t="str">
        <f t="array" ref="B760">_xlfn.XLOOKUP(A760,DATA!D:D,DATA!E:E,"")</f>
        <v/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</row>
    <row r="761">
      <c r="A761" s="10"/>
      <c r="B761" s="10" t="str">
        <f t="array" ref="B761">_xlfn.XLOOKUP(A761,DATA!D:D,DATA!E:E,"")</f>
        <v/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</row>
    <row r="762">
      <c r="A762" s="10"/>
      <c r="B762" s="10" t="str">
        <f t="array" ref="B762">_xlfn.XLOOKUP(A762,DATA!D:D,DATA!E:E,"")</f>
        <v/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</row>
    <row r="763">
      <c r="A763" s="10"/>
      <c r="B763" s="10" t="str">
        <f t="array" ref="B763">_xlfn.XLOOKUP(A763,DATA!D:D,DATA!E:E,"")</f>
        <v/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</row>
    <row r="764">
      <c r="A764" s="10"/>
      <c r="B764" s="10" t="str">
        <f t="array" ref="B764">_xlfn.XLOOKUP(A764,DATA!D:D,DATA!E:E,"")</f>
        <v/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</row>
    <row r="765">
      <c r="A765" s="10"/>
      <c r="B765" s="10" t="str">
        <f t="array" ref="B765">_xlfn.XLOOKUP(A765,DATA!D:D,DATA!E:E,"")</f>
        <v/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</row>
    <row r="766">
      <c r="A766" s="10"/>
      <c r="B766" s="10" t="str">
        <f t="array" ref="B766">_xlfn.XLOOKUP(A766,DATA!D:D,DATA!E:E,"")</f>
        <v/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</row>
    <row r="767">
      <c r="A767" s="10"/>
      <c r="B767" s="10" t="str">
        <f t="array" ref="B767">_xlfn.XLOOKUP(A767,DATA!D:D,DATA!E:E,"")</f>
        <v/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</row>
    <row r="768">
      <c r="A768" s="10"/>
      <c r="B768" s="10" t="str">
        <f t="array" ref="B768">_xlfn.XLOOKUP(A768,DATA!D:D,DATA!E:E,"")</f>
        <v/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</row>
    <row r="769">
      <c r="A769" s="10"/>
      <c r="B769" s="10" t="str">
        <f t="array" ref="B769">_xlfn.XLOOKUP(A769,DATA!D:D,DATA!E:E,"")</f>
        <v/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</row>
    <row r="770">
      <c r="A770" s="10"/>
      <c r="B770" s="10" t="str">
        <f t="array" ref="B770">_xlfn.XLOOKUP(A770,DATA!D:D,DATA!E:E,"")</f>
        <v/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</row>
    <row r="771">
      <c r="A771" s="10"/>
      <c r="B771" s="10" t="str">
        <f t="array" ref="B771">_xlfn.XLOOKUP(A771,DATA!D:D,DATA!E:E,"")</f>
        <v/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</row>
    <row r="772">
      <c r="A772" s="10"/>
      <c r="B772" s="10" t="str">
        <f t="array" ref="B772">_xlfn.XLOOKUP(A772,DATA!D:D,DATA!E:E,"")</f>
        <v/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</row>
    <row r="773">
      <c r="A773" s="10"/>
      <c r="B773" s="10" t="str">
        <f t="array" ref="B773">_xlfn.XLOOKUP(A773,DATA!D:D,DATA!E:E,"")</f>
        <v/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</row>
    <row r="774">
      <c r="A774" s="10"/>
      <c r="B774" s="10" t="str">
        <f t="array" ref="B774">_xlfn.XLOOKUP(A774,DATA!D:D,DATA!E:E,"")</f>
        <v/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</row>
    <row r="775">
      <c r="A775" s="10"/>
      <c r="B775" s="10" t="str">
        <f t="array" ref="B775">_xlfn.XLOOKUP(A775,DATA!D:D,DATA!E:E,"")</f>
        <v/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</row>
    <row r="776">
      <c r="A776" s="10"/>
      <c r="B776" s="10" t="str">
        <f t="array" ref="B776">_xlfn.XLOOKUP(A776,DATA!D:D,DATA!E:E,"")</f>
        <v/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</row>
    <row r="777">
      <c r="A777" s="10"/>
      <c r="B777" s="10" t="str">
        <f t="array" ref="B777">_xlfn.XLOOKUP(A777,DATA!D:D,DATA!E:E,"")</f>
        <v/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</row>
    <row r="778">
      <c r="A778" s="10"/>
      <c r="B778" s="10" t="str">
        <f t="array" ref="B778">_xlfn.XLOOKUP(A778,DATA!D:D,DATA!E:E,"")</f>
        <v/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</row>
    <row r="779">
      <c r="A779" s="10"/>
      <c r="B779" s="10" t="str">
        <f t="array" ref="B779">_xlfn.XLOOKUP(A779,DATA!D:D,DATA!E:E,"")</f>
        <v/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</row>
    <row r="780">
      <c r="A780" s="10"/>
      <c r="B780" s="10" t="str">
        <f t="array" ref="B780">_xlfn.XLOOKUP(A780,DATA!D:D,DATA!E:E,"")</f>
        <v/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</row>
    <row r="781">
      <c r="A781" s="10"/>
      <c r="B781" s="10" t="str">
        <f t="array" ref="B781">_xlfn.XLOOKUP(A781,DATA!D:D,DATA!E:E,"")</f>
        <v/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</row>
    <row r="782">
      <c r="A782" s="10"/>
      <c r="B782" s="10" t="str">
        <f t="array" ref="B782">_xlfn.XLOOKUP(A782,DATA!D:D,DATA!E:E,"")</f>
        <v/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</row>
    <row r="783">
      <c r="A783" s="10"/>
      <c r="B783" s="10" t="str">
        <f t="array" ref="B783">_xlfn.XLOOKUP(A783,DATA!D:D,DATA!E:E,"")</f>
        <v/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</row>
    <row r="784">
      <c r="A784" s="10"/>
      <c r="B784" s="10" t="str">
        <f t="array" ref="B784">_xlfn.XLOOKUP(A784,DATA!D:D,DATA!E:E,"")</f>
        <v/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</row>
    <row r="785">
      <c r="A785" s="10"/>
      <c r="B785" s="10" t="str">
        <f t="array" ref="B785">_xlfn.XLOOKUP(A785,DATA!D:D,DATA!E:E,"")</f>
        <v/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</row>
    <row r="786">
      <c r="A786" s="10"/>
      <c r="B786" s="10" t="str">
        <f t="array" ref="B786">_xlfn.XLOOKUP(A786,DATA!D:D,DATA!E:E,"")</f>
        <v/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</row>
    <row r="787">
      <c r="A787" s="10"/>
      <c r="B787" s="10" t="str">
        <f t="array" ref="B787">_xlfn.XLOOKUP(A787,DATA!D:D,DATA!E:E,"")</f>
        <v/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</row>
    <row r="788">
      <c r="A788" s="10"/>
      <c r="B788" s="10" t="str">
        <f t="array" ref="B788">_xlfn.XLOOKUP(A788,DATA!D:D,DATA!E:E,"")</f>
        <v/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</row>
    <row r="789">
      <c r="A789" s="10"/>
      <c r="B789" s="10" t="str">
        <f t="array" ref="B789">_xlfn.XLOOKUP(A789,DATA!D:D,DATA!E:E,"")</f>
        <v/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</row>
    <row r="790">
      <c r="A790" s="10"/>
      <c r="B790" s="10" t="str">
        <f t="array" ref="B790">_xlfn.XLOOKUP(A790,DATA!D:D,DATA!E:E,"")</f>
        <v/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</row>
    <row r="791">
      <c r="A791" s="10"/>
      <c r="B791" s="10" t="str">
        <f t="array" ref="B791">_xlfn.XLOOKUP(A791,DATA!D:D,DATA!E:E,"")</f>
        <v/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</row>
    <row r="792">
      <c r="A792" s="10"/>
      <c r="B792" s="10" t="str">
        <f t="array" ref="B792">_xlfn.XLOOKUP(A792,DATA!D:D,DATA!E:E,"")</f>
        <v/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</row>
    <row r="793">
      <c r="A793" s="10"/>
      <c r="B793" s="10" t="str">
        <f t="array" ref="B793">_xlfn.XLOOKUP(A793,DATA!D:D,DATA!E:E,"")</f>
        <v/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</row>
    <row r="794">
      <c r="A794" s="10"/>
      <c r="B794" s="10" t="str">
        <f t="array" ref="B794">_xlfn.XLOOKUP(A794,DATA!D:D,DATA!E:E,"")</f>
        <v/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</row>
    <row r="795">
      <c r="A795" s="10"/>
      <c r="B795" s="10" t="str">
        <f t="array" ref="B795">_xlfn.XLOOKUP(A795,DATA!D:D,DATA!E:E,"")</f>
        <v/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</row>
    <row r="796">
      <c r="A796" s="10"/>
      <c r="B796" s="10" t="str">
        <f t="array" ref="B796">_xlfn.XLOOKUP(A796,DATA!D:D,DATA!E:E,"")</f>
        <v/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</row>
    <row r="797">
      <c r="A797" s="10"/>
      <c r="B797" s="10" t="str">
        <f t="array" ref="B797">_xlfn.XLOOKUP(A797,DATA!D:D,DATA!E:E,"")</f>
        <v/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</row>
    <row r="798">
      <c r="A798" s="10"/>
      <c r="B798" s="10" t="str">
        <f t="array" ref="B798">_xlfn.XLOOKUP(A798,DATA!D:D,DATA!E:E,"")</f>
        <v/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</row>
    <row r="799">
      <c r="A799" s="10"/>
      <c r="B799" s="10" t="str">
        <f t="array" ref="B799">_xlfn.XLOOKUP(A799,DATA!D:D,DATA!E:E,"")</f>
        <v/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</row>
    <row r="800">
      <c r="A800" s="10"/>
      <c r="B800" s="10" t="str">
        <f t="array" ref="B800">_xlfn.XLOOKUP(A800,DATA!D:D,DATA!E:E,"")</f>
        <v/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</row>
    <row r="801">
      <c r="A801" s="10"/>
      <c r="B801" s="10" t="str">
        <f t="array" ref="B801">_xlfn.XLOOKUP(A801,DATA!D:D,DATA!E:E,"")</f>
        <v/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</row>
    <row r="802">
      <c r="A802" s="10"/>
      <c r="B802" s="10" t="str">
        <f t="array" ref="B802">_xlfn.XLOOKUP(A802,DATA!D:D,DATA!E:E,"")</f>
        <v/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</row>
    <row r="803">
      <c r="A803" s="10"/>
      <c r="B803" s="10" t="str">
        <f t="array" ref="B803">_xlfn.XLOOKUP(A803,DATA!D:D,DATA!E:E,"")</f>
        <v/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</row>
    <row r="804">
      <c r="A804" s="10"/>
      <c r="B804" s="10" t="str">
        <f t="array" ref="B804">_xlfn.XLOOKUP(A804,DATA!D:D,DATA!E:E,"")</f>
        <v/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</row>
    <row r="805">
      <c r="A805" s="10"/>
      <c r="B805" s="10" t="str">
        <f t="array" ref="B805">_xlfn.XLOOKUP(A805,DATA!D:D,DATA!E:E,"")</f>
        <v/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</row>
    <row r="806">
      <c r="A806" s="10"/>
      <c r="B806" s="10" t="str">
        <f t="array" ref="B806">_xlfn.XLOOKUP(A806,DATA!D:D,DATA!E:E,"")</f>
        <v/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</row>
    <row r="807">
      <c r="A807" s="10"/>
      <c r="B807" s="10" t="str">
        <f t="array" ref="B807">_xlfn.XLOOKUP(A807,DATA!D:D,DATA!E:E,"")</f>
        <v/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</row>
    <row r="808">
      <c r="A808" s="10"/>
      <c r="B808" s="10" t="str">
        <f t="array" ref="B808">_xlfn.XLOOKUP(A808,DATA!D:D,DATA!E:E,"")</f>
        <v/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</row>
    <row r="809">
      <c r="A809" s="10"/>
      <c r="B809" s="10" t="str">
        <f t="array" ref="B809">_xlfn.XLOOKUP(A809,DATA!D:D,DATA!E:E,"")</f>
        <v/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</row>
    <row r="810">
      <c r="A810" s="10"/>
      <c r="B810" s="10" t="str">
        <f t="array" ref="B810">_xlfn.XLOOKUP(A810,DATA!D:D,DATA!E:E,"")</f>
        <v/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</row>
    <row r="811">
      <c r="A811" s="10"/>
      <c r="B811" s="10" t="str">
        <f t="array" ref="B811">_xlfn.XLOOKUP(A811,DATA!D:D,DATA!E:E,"")</f>
        <v/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</row>
    <row r="812">
      <c r="A812" s="10"/>
      <c r="B812" s="10" t="str">
        <f t="array" ref="B812">_xlfn.XLOOKUP(A812,DATA!D:D,DATA!E:E,"")</f>
        <v/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</row>
    <row r="813">
      <c r="A813" s="10"/>
      <c r="B813" s="10" t="str">
        <f t="array" ref="B813">_xlfn.XLOOKUP(A813,DATA!D:D,DATA!E:E,"")</f>
        <v/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</row>
    <row r="814">
      <c r="A814" s="10"/>
      <c r="B814" s="10" t="str">
        <f t="array" ref="B814">_xlfn.XLOOKUP(A814,DATA!D:D,DATA!E:E,"")</f>
        <v/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</row>
    <row r="815">
      <c r="A815" s="10"/>
      <c r="B815" s="10" t="str">
        <f t="array" ref="B815">_xlfn.XLOOKUP(A815,DATA!D:D,DATA!E:E,"")</f>
        <v/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</row>
    <row r="816">
      <c r="A816" s="10"/>
      <c r="B816" s="10" t="str">
        <f t="array" ref="B816">_xlfn.XLOOKUP(A816,DATA!D:D,DATA!E:E,"")</f>
        <v/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</row>
    <row r="817">
      <c r="A817" s="10"/>
      <c r="B817" s="10" t="str">
        <f t="array" ref="B817">_xlfn.XLOOKUP(A817,DATA!D:D,DATA!E:E,"")</f>
        <v/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</row>
    <row r="818">
      <c r="A818" s="10"/>
      <c r="B818" s="10" t="str">
        <f t="array" ref="B818">_xlfn.XLOOKUP(A818,DATA!D:D,DATA!E:E,"")</f>
        <v/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</row>
    <row r="819">
      <c r="A819" s="10"/>
      <c r="B819" s="10" t="str">
        <f t="array" ref="B819">_xlfn.XLOOKUP(A819,DATA!D:D,DATA!E:E,"")</f>
        <v/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</row>
    <row r="820">
      <c r="A820" s="10"/>
      <c r="B820" s="10" t="str">
        <f t="array" ref="B820">_xlfn.XLOOKUP(A820,DATA!D:D,DATA!E:E,"")</f>
        <v/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</row>
    <row r="821">
      <c r="A821" s="10"/>
      <c r="B821" s="10" t="str">
        <f t="array" ref="B821">_xlfn.XLOOKUP(A821,DATA!D:D,DATA!E:E,"")</f>
        <v/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</row>
    <row r="822">
      <c r="A822" s="10"/>
      <c r="B822" s="10" t="str">
        <f t="array" ref="B822">_xlfn.XLOOKUP(A822,DATA!D:D,DATA!E:E,"")</f>
        <v/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</row>
    <row r="823">
      <c r="A823" s="10"/>
      <c r="B823" s="10" t="str">
        <f t="array" ref="B823">_xlfn.XLOOKUP(A823,DATA!D:D,DATA!E:E,"")</f>
        <v/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</row>
    <row r="824">
      <c r="A824" s="10"/>
      <c r="B824" s="10" t="str">
        <f t="array" ref="B824">_xlfn.XLOOKUP(A824,DATA!D:D,DATA!E:E,"")</f>
        <v/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</row>
    <row r="825">
      <c r="A825" s="10"/>
      <c r="B825" s="10" t="str">
        <f t="array" ref="B825">_xlfn.XLOOKUP(A825,DATA!D:D,DATA!E:E,"")</f>
        <v/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</row>
    <row r="826">
      <c r="A826" s="10"/>
      <c r="B826" s="10" t="str">
        <f t="array" ref="B826">_xlfn.XLOOKUP(A826,DATA!D:D,DATA!E:E,"")</f>
        <v/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</row>
    <row r="827">
      <c r="A827" s="10"/>
      <c r="B827" s="10" t="str">
        <f t="array" ref="B827">_xlfn.XLOOKUP(A827,DATA!D:D,DATA!E:E,"")</f>
        <v/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</row>
    <row r="828">
      <c r="A828" s="10"/>
      <c r="B828" s="10" t="str">
        <f t="array" ref="B828">_xlfn.XLOOKUP(A828,DATA!D:D,DATA!E:E,"")</f>
        <v/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</row>
    <row r="829">
      <c r="A829" s="10"/>
      <c r="B829" s="10" t="str">
        <f t="array" ref="B829">_xlfn.XLOOKUP(A829,DATA!D:D,DATA!E:E,"")</f>
        <v/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</row>
    <row r="830">
      <c r="A830" s="10"/>
      <c r="B830" s="10" t="str">
        <f t="array" ref="B830">_xlfn.XLOOKUP(A830,DATA!D:D,DATA!E:E,"")</f>
        <v/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</row>
    <row r="831">
      <c r="A831" s="10"/>
      <c r="B831" s="10" t="str">
        <f t="array" ref="B831">_xlfn.XLOOKUP(A831,DATA!D:D,DATA!E:E,"")</f>
        <v/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</row>
    <row r="832">
      <c r="A832" s="10"/>
      <c r="B832" s="10" t="str">
        <f t="array" ref="B832">_xlfn.XLOOKUP(A832,DATA!D:D,DATA!E:E,"")</f>
        <v/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</row>
    <row r="833">
      <c r="A833" s="10"/>
      <c r="B833" s="10" t="str">
        <f t="array" ref="B833">_xlfn.XLOOKUP(A833,DATA!D:D,DATA!E:E,"")</f>
        <v/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</row>
    <row r="834">
      <c r="A834" s="10"/>
      <c r="B834" s="10" t="str">
        <f t="array" ref="B834">_xlfn.XLOOKUP(A834,DATA!D:D,DATA!E:E,"")</f>
        <v/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</row>
    <row r="835">
      <c r="A835" s="10"/>
      <c r="B835" s="10" t="str">
        <f t="array" ref="B835">_xlfn.XLOOKUP(A835,DATA!D:D,DATA!E:E,"")</f>
        <v/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</row>
    <row r="836">
      <c r="A836" s="10"/>
      <c r="B836" s="10" t="str">
        <f t="array" ref="B836">_xlfn.XLOOKUP(A836,DATA!D:D,DATA!E:E,"")</f>
        <v/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</row>
    <row r="837">
      <c r="A837" s="10"/>
      <c r="B837" s="10" t="str">
        <f t="array" ref="B837">_xlfn.XLOOKUP(A837,DATA!D:D,DATA!E:E,"")</f>
        <v/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</row>
    <row r="838">
      <c r="A838" s="10"/>
      <c r="B838" s="10" t="str">
        <f t="array" ref="B838">_xlfn.XLOOKUP(A838,DATA!D:D,DATA!E:E,"")</f>
        <v/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</row>
    <row r="839">
      <c r="A839" s="10"/>
      <c r="B839" s="10" t="str">
        <f t="array" ref="B839">_xlfn.XLOOKUP(A839,DATA!D:D,DATA!E:E,"")</f>
        <v/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</row>
    <row r="840">
      <c r="A840" s="10"/>
      <c r="B840" s="10" t="str">
        <f t="array" ref="B840">_xlfn.XLOOKUP(A840,DATA!D:D,DATA!E:E,"")</f>
        <v/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</row>
    <row r="841">
      <c r="A841" s="10"/>
      <c r="B841" s="10" t="str">
        <f t="array" ref="B841">_xlfn.XLOOKUP(A841,DATA!D:D,DATA!E:E,"")</f>
        <v/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</row>
    <row r="842">
      <c r="A842" s="10"/>
      <c r="B842" s="10" t="str">
        <f t="array" ref="B842">_xlfn.XLOOKUP(A842,DATA!D:D,DATA!E:E,"")</f>
        <v/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</row>
    <row r="843">
      <c r="A843" s="10"/>
      <c r="B843" s="10" t="str">
        <f t="array" ref="B843">_xlfn.XLOOKUP(A843,DATA!D:D,DATA!E:E,"")</f>
        <v/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</row>
    <row r="844">
      <c r="A844" s="10"/>
      <c r="B844" s="10" t="str">
        <f t="array" ref="B844">_xlfn.XLOOKUP(A844,DATA!D:D,DATA!E:E,"")</f>
        <v/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</row>
    <row r="845">
      <c r="A845" s="10"/>
      <c r="B845" s="10" t="str">
        <f t="array" ref="B845">_xlfn.XLOOKUP(A845,DATA!D:D,DATA!E:E,"")</f>
        <v/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</row>
    <row r="846">
      <c r="A846" s="10"/>
      <c r="B846" s="10" t="str">
        <f t="array" ref="B846">_xlfn.XLOOKUP(A846,DATA!D:D,DATA!E:E,"")</f>
        <v/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</row>
    <row r="847">
      <c r="A847" s="10"/>
      <c r="B847" s="10" t="str">
        <f t="array" ref="B847">_xlfn.XLOOKUP(A847,DATA!D:D,DATA!E:E,"")</f>
        <v/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</row>
    <row r="848">
      <c r="A848" s="10"/>
      <c r="B848" s="10" t="str">
        <f t="array" ref="B848">_xlfn.XLOOKUP(A848,DATA!D:D,DATA!E:E,"")</f>
        <v/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</row>
    <row r="849">
      <c r="A849" s="10"/>
      <c r="B849" s="10" t="str">
        <f t="array" ref="B849">_xlfn.XLOOKUP(A849,DATA!D:D,DATA!E:E,"")</f>
        <v/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</row>
    <row r="850">
      <c r="A850" s="10"/>
      <c r="B850" s="10" t="str">
        <f t="array" ref="B850">_xlfn.XLOOKUP(A850,DATA!D:D,DATA!E:E,"")</f>
        <v/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</row>
    <row r="851">
      <c r="A851" s="10"/>
      <c r="B851" s="10" t="str">
        <f t="array" ref="B851">_xlfn.XLOOKUP(A851,DATA!D:D,DATA!E:E,"")</f>
        <v/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</row>
    <row r="852">
      <c r="A852" s="10"/>
      <c r="B852" s="10" t="str">
        <f t="array" ref="B852">_xlfn.XLOOKUP(A852,DATA!D:D,DATA!E:E,"")</f>
        <v/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</row>
    <row r="853">
      <c r="A853" s="10"/>
      <c r="B853" s="10" t="str">
        <f t="array" ref="B853">_xlfn.XLOOKUP(A853,DATA!D:D,DATA!E:E,"")</f>
        <v/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</row>
    <row r="854">
      <c r="A854" s="10"/>
      <c r="B854" s="10" t="str">
        <f t="array" ref="B854">_xlfn.XLOOKUP(A854,DATA!D:D,DATA!E:E,"")</f>
        <v/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</row>
    <row r="855">
      <c r="A855" s="10"/>
      <c r="B855" s="10" t="str">
        <f t="array" ref="B855">_xlfn.XLOOKUP(A855,DATA!D:D,DATA!E:E,"")</f>
        <v/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</row>
    <row r="856">
      <c r="A856" s="10"/>
      <c r="B856" s="10" t="str">
        <f t="array" ref="B856">_xlfn.XLOOKUP(A856,DATA!D:D,DATA!E:E,"")</f>
        <v/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</row>
    <row r="857">
      <c r="A857" s="10"/>
      <c r="B857" s="10" t="str">
        <f t="array" ref="B857">_xlfn.XLOOKUP(A857,DATA!D:D,DATA!E:E,"")</f>
        <v/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</row>
    <row r="858">
      <c r="A858" s="10"/>
      <c r="B858" s="10" t="str">
        <f t="array" ref="B858">_xlfn.XLOOKUP(A858,DATA!D:D,DATA!E:E,"")</f>
        <v/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</row>
    <row r="859">
      <c r="A859" s="10"/>
      <c r="B859" s="10" t="str">
        <f t="array" ref="B859">_xlfn.XLOOKUP(A859,DATA!D:D,DATA!E:E,"")</f>
        <v/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</row>
    <row r="860">
      <c r="A860" s="10"/>
      <c r="B860" s="10" t="str">
        <f t="array" ref="B860">_xlfn.XLOOKUP(A860,DATA!D:D,DATA!E:E,"")</f>
        <v/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</row>
    <row r="861">
      <c r="A861" s="10"/>
      <c r="B861" s="10" t="str">
        <f t="array" ref="B861">_xlfn.XLOOKUP(A861,DATA!D:D,DATA!E:E,"")</f>
        <v/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</row>
    <row r="862">
      <c r="A862" s="10"/>
      <c r="B862" s="10" t="str">
        <f t="array" ref="B862">_xlfn.XLOOKUP(A862,DATA!D:D,DATA!E:E,"")</f>
        <v/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</row>
    <row r="863">
      <c r="A863" s="10"/>
      <c r="B863" s="10" t="str">
        <f t="array" ref="B863">_xlfn.XLOOKUP(A863,DATA!D:D,DATA!E:E,"")</f>
        <v/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</row>
    <row r="864">
      <c r="A864" s="10"/>
      <c r="B864" s="10" t="str">
        <f t="array" ref="B864">_xlfn.XLOOKUP(A864,DATA!D:D,DATA!E:E,"")</f>
        <v/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</row>
    <row r="865">
      <c r="A865" s="10"/>
      <c r="B865" s="10" t="str">
        <f t="array" ref="B865">_xlfn.XLOOKUP(A865,DATA!D:D,DATA!E:E,"")</f>
        <v/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</row>
    <row r="866">
      <c r="A866" s="10"/>
      <c r="B866" s="10" t="str">
        <f t="array" ref="B866">_xlfn.XLOOKUP(A866,DATA!D:D,DATA!E:E,"")</f>
        <v/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</row>
    <row r="867">
      <c r="A867" s="10"/>
      <c r="B867" s="10" t="str">
        <f t="array" ref="B867">_xlfn.XLOOKUP(A867,DATA!D:D,DATA!E:E,"")</f>
        <v/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</row>
    <row r="868">
      <c r="A868" s="10"/>
      <c r="B868" s="10" t="str">
        <f t="array" ref="B868">_xlfn.XLOOKUP(A868,DATA!D:D,DATA!E:E,"")</f>
        <v/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</row>
    <row r="869">
      <c r="A869" s="10"/>
      <c r="B869" s="10" t="str">
        <f t="array" ref="B869">_xlfn.XLOOKUP(A869,DATA!D:D,DATA!E:E,"")</f>
        <v/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</row>
    <row r="870">
      <c r="A870" s="10"/>
      <c r="B870" s="10" t="str">
        <f t="array" ref="B870">_xlfn.XLOOKUP(A870,DATA!D:D,DATA!E:E,"")</f>
        <v/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</row>
    <row r="871">
      <c r="A871" s="10"/>
      <c r="B871" s="10" t="str">
        <f t="array" ref="B871">_xlfn.XLOOKUP(A871,DATA!D:D,DATA!E:E,"")</f>
        <v/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</row>
    <row r="872">
      <c r="A872" s="10"/>
      <c r="B872" s="10" t="str">
        <f t="array" ref="B872">_xlfn.XLOOKUP(A872,DATA!D:D,DATA!E:E,"")</f>
        <v/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</row>
    <row r="873">
      <c r="A873" s="10"/>
      <c r="B873" s="10" t="str">
        <f t="array" ref="B873">_xlfn.XLOOKUP(A873,DATA!D:D,DATA!E:E,"")</f>
        <v/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</row>
    <row r="874">
      <c r="A874" s="10"/>
      <c r="B874" s="10" t="str">
        <f t="array" ref="B874">_xlfn.XLOOKUP(A874,DATA!D:D,DATA!E:E,"")</f>
        <v/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</row>
    <row r="875">
      <c r="A875" s="10"/>
      <c r="B875" s="10" t="str">
        <f t="array" ref="B875">_xlfn.XLOOKUP(A875,DATA!D:D,DATA!E:E,"")</f>
        <v/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</row>
    <row r="876">
      <c r="A876" s="10"/>
      <c r="B876" s="10" t="str">
        <f t="array" ref="B876">_xlfn.XLOOKUP(A876,DATA!D:D,DATA!E:E,"")</f>
        <v/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</row>
    <row r="877">
      <c r="A877" s="10"/>
      <c r="B877" s="10" t="str">
        <f t="array" ref="B877">_xlfn.XLOOKUP(A877,DATA!D:D,DATA!E:E,"")</f>
        <v/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</row>
    <row r="878">
      <c r="A878" s="10"/>
      <c r="B878" s="10" t="str">
        <f t="array" ref="B878">_xlfn.XLOOKUP(A878,DATA!D:D,DATA!E:E,"")</f>
        <v/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</row>
    <row r="879">
      <c r="A879" s="10"/>
      <c r="B879" s="10" t="str">
        <f t="array" ref="B879">_xlfn.XLOOKUP(A879,DATA!D:D,DATA!E:E,"")</f>
        <v/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</row>
    <row r="880">
      <c r="A880" s="10"/>
      <c r="B880" s="10" t="str">
        <f t="array" ref="B880">_xlfn.XLOOKUP(A880,DATA!D:D,DATA!E:E,"")</f>
        <v/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</row>
    <row r="881">
      <c r="A881" s="10"/>
      <c r="B881" s="10" t="str">
        <f t="array" ref="B881">_xlfn.XLOOKUP(A881,DATA!D:D,DATA!E:E,"")</f>
        <v/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</row>
    <row r="882">
      <c r="A882" s="10"/>
      <c r="B882" s="10" t="str">
        <f t="array" ref="B882">_xlfn.XLOOKUP(A882,DATA!D:D,DATA!E:E,"")</f>
        <v/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</row>
    <row r="883">
      <c r="A883" s="10"/>
      <c r="B883" s="10" t="str">
        <f t="array" ref="B883">_xlfn.XLOOKUP(A883,DATA!D:D,DATA!E:E,"")</f>
        <v/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</row>
    <row r="884">
      <c r="A884" s="10"/>
      <c r="B884" s="10" t="str">
        <f t="array" ref="B884">_xlfn.XLOOKUP(A884,DATA!D:D,DATA!E:E,"")</f>
        <v/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</row>
    <row r="885">
      <c r="A885" s="10"/>
      <c r="B885" s="10" t="str">
        <f t="array" ref="B885">_xlfn.XLOOKUP(A885,DATA!D:D,DATA!E:E,"")</f>
        <v/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</row>
    <row r="886">
      <c r="A886" s="10"/>
      <c r="B886" s="10" t="str">
        <f t="array" ref="B886">_xlfn.XLOOKUP(A886,DATA!D:D,DATA!E:E,"")</f>
        <v/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</row>
    <row r="887">
      <c r="A887" s="10"/>
      <c r="B887" s="10" t="str">
        <f t="array" ref="B887">_xlfn.XLOOKUP(A887,DATA!D:D,DATA!E:E,"")</f>
        <v/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</row>
    <row r="888">
      <c r="A888" s="10"/>
      <c r="B888" s="10" t="str">
        <f t="array" ref="B888">_xlfn.XLOOKUP(A888,DATA!D:D,DATA!E:E,"")</f>
        <v/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</row>
    <row r="889">
      <c r="A889" s="10"/>
      <c r="B889" s="10" t="str">
        <f t="array" ref="B889">_xlfn.XLOOKUP(A889,DATA!D:D,DATA!E:E,"")</f>
        <v/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</row>
    <row r="890">
      <c r="A890" s="10"/>
      <c r="B890" s="10" t="str">
        <f t="array" ref="B890">_xlfn.XLOOKUP(A890,DATA!D:D,DATA!E:E,"")</f>
        <v/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</row>
    <row r="891">
      <c r="A891" s="10"/>
      <c r="B891" s="10" t="str">
        <f t="array" ref="B891">_xlfn.XLOOKUP(A891,DATA!D:D,DATA!E:E,"")</f>
        <v/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</row>
    <row r="892">
      <c r="A892" s="10"/>
      <c r="B892" s="10" t="str">
        <f t="array" ref="B892">_xlfn.XLOOKUP(A892,DATA!D:D,DATA!E:E,"")</f>
        <v/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</row>
    <row r="893">
      <c r="A893" s="10"/>
      <c r="B893" s="10" t="str">
        <f t="array" ref="B893">_xlfn.XLOOKUP(A893,DATA!D:D,DATA!E:E,"")</f>
        <v/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</row>
    <row r="894">
      <c r="A894" s="10"/>
      <c r="B894" s="10" t="str">
        <f t="array" ref="B894">_xlfn.XLOOKUP(A894,DATA!D:D,DATA!E:E,"")</f>
        <v/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</row>
    <row r="895">
      <c r="A895" s="10"/>
      <c r="B895" s="10" t="str">
        <f t="array" ref="B895">_xlfn.XLOOKUP(A895,DATA!D:D,DATA!E:E,"")</f>
        <v/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</row>
    <row r="896">
      <c r="A896" s="10"/>
      <c r="B896" s="10" t="str">
        <f t="array" ref="B896">_xlfn.XLOOKUP(A896,DATA!D:D,DATA!E:E,"")</f>
        <v/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</row>
    <row r="897">
      <c r="A897" s="10"/>
      <c r="B897" s="10" t="str">
        <f t="array" ref="B897">_xlfn.XLOOKUP(A897,DATA!D:D,DATA!E:E,"")</f>
        <v/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</row>
    <row r="898">
      <c r="A898" s="10"/>
      <c r="B898" s="10" t="str">
        <f t="array" ref="B898">_xlfn.XLOOKUP(A898,DATA!D:D,DATA!E:E,"")</f>
        <v/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</row>
    <row r="899">
      <c r="A899" s="10"/>
      <c r="B899" s="10" t="str">
        <f t="array" ref="B899">_xlfn.XLOOKUP(A899,DATA!D:D,DATA!E:E,"")</f>
        <v/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</row>
    <row r="900">
      <c r="A900" s="10"/>
      <c r="B900" s="10" t="str">
        <f t="array" ref="B900">_xlfn.XLOOKUP(A900,DATA!D:D,DATA!E:E,"")</f>
        <v/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</row>
    <row r="901">
      <c r="A901" s="10"/>
      <c r="B901" s="10" t="str">
        <f t="array" ref="B901">_xlfn.XLOOKUP(A901,DATA!D:D,DATA!E:E,"")</f>
        <v/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</row>
    <row r="902">
      <c r="A902" s="10"/>
      <c r="B902" s="10" t="str">
        <f t="array" ref="B902">_xlfn.XLOOKUP(A902,DATA!D:D,DATA!E:E,"")</f>
        <v/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</row>
    <row r="903">
      <c r="A903" s="10"/>
      <c r="B903" s="10" t="str">
        <f t="array" ref="B903">_xlfn.XLOOKUP(A903,DATA!D:D,DATA!E:E,"")</f>
        <v/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</row>
    <row r="904">
      <c r="A904" s="10"/>
      <c r="B904" s="10" t="str">
        <f t="array" ref="B904">_xlfn.XLOOKUP(A904,DATA!D:D,DATA!E:E,"")</f>
        <v/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</row>
    <row r="905">
      <c r="A905" s="10"/>
      <c r="B905" s="10" t="str">
        <f t="array" ref="B905">_xlfn.XLOOKUP(A905,DATA!D:D,DATA!E:E,"")</f>
        <v/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</row>
    <row r="906">
      <c r="A906" s="10"/>
      <c r="B906" s="10" t="str">
        <f t="array" ref="B906">_xlfn.XLOOKUP(A906,DATA!D:D,DATA!E:E,"")</f>
        <v/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</row>
    <row r="907">
      <c r="A907" s="10"/>
      <c r="B907" s="10" t="str">
        <f t="array" ref="B907">_xlfn.XLOOKUP(A907,DATA!D:D,DATA!E:E,"")</f>
        <v/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</row>
    <row r="908">
      <c r="A908" s="10"/>
      <c r="B908" s="10" t="str">
        <f t="array" ref="B908">_xlfn.XLOOKUP(A908,DATA!D:D,DATA!E:E,"")</f>
        <v/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</row>
    <row r="909">
      <c r="A909" s="10"/>
      <c r="B909" s="10" t="str">
        <f t="array" ref="B909">_xlfn.XLOOKUP(A909,DATA!D:D,DATA!E:E,"")</f>
        <v/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</row>
    <row r="910">
      <c r="A910" s="10"/>
      <c r="B910" s="10" t="str">
        <f t="array" ref="B910">_xlfn.XLOOKUP(A910,DATA!D:D,DATA!E:E,"")</f>
        <v/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</row>
    <row r="911">
      <c r="A911" s="10"/>
      <c r="B911" s="10" t="str">
        <f t="array" ref="B911">_xlfn.XLOOKUP(A911,DATA!D:D,DATA!E:E,"")</f>
        <v/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</row>
    <row r="912">
      <c r="A912" s="10"/>
      <c r="B912" s="10" t="str">
        <f t="array" ref="B912">_xlfn.XLOOKUP(A912,DATA!D:D,DATA!E:E,"")</f>
        <v/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</row>
    <row r="913">
      <c r="A913" s="10"/>
      <c r="B913" s="10" t="str">
        <f t="array" ref="B913">_xlfn.XLOOKUP(A913,DATA!D:D,DATA!E:E,"")</f>
        <v/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</row>
    <row r="914">
      <c r="A914" s="10"/>
      <c r="B914" s="10" t="str">
        <f t="array" ref="B914">_xlfn.XLOOKUP(A914,DATA!D:D,DATA!E:E,"")</f>
        <v/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</row>
    <row r="915">
      <c r="A915" s="10"/>
      <c r="B915" s="10" t="str">
        <f t="array" ref="B915">_xlfn.XLOOKUP(A915,DATA!D:D,DATA!E:E,"")</f>
        <v/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</row>
    <row r="916">
      <c r="A916" s="10"/>
      <c r="B916" s="10" t="str">
        <f t="array" ref="B916">_xlfn.XLOOKUP(A916,DATA!D:D,DATA!E:E,"")</f>
        <v/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</row>
    <row r="917">
      <c r="A917" s="10"/>
      <c r="B917" s="10" t="str">
        <f t="array" ref="B917">_xlfn.XLOOKUP(A917,DATA!D:D,DATA!E:E,"")</f>
        <v/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</row>
    <row r="918">
      <c r="A918" s="10"/>
      <c r="B918" s="10" t="str">
        <f t="array" ref="B918">_xlfn.XLOOKUP(A918,DATA!D:D,DATA!E:E,"")</f>
        <v/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</row>
    <row r="919">
      <c r="A919" s="10"/>
      <c r="B919" s="10" t="str">
        <f t="array" ref="B919">_xlfn.XLOOKUP(A919,DATA!D:D,DATA!E:E,"")</f>
        <v/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</row>
    <row r="920">
      <c r="A920" s="10"/>
      <c r="B920" s="10" t="str">
        <f t="array" ref="B920">_xlfn.XLOOKUP(A920,DATA!D:D,DATA!E:E,"")</f>
        <v/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</row>
    <row r="921">
      <c r="A921" s="10"/>
      <c r="B921" s="10" t="str">
        <f t="array" ref="B921">_xlfn.XLOOKUP(A921,DATA!D:D,DATA!E:E,"")</f>
        <v/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</row>
    <row r="922">
      <c r="A922" s="10"/>
      <c r="B922" s="10" t="str">
        <f t="array" ref="B922">_xlfn.XLOOKUP(A922,DATA!D:D,DATA!E:E,"")</f>
        <v/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</row>
    <row r="923">
      <c r="A923" s="10"/>
      <c r="B923" s="10" t="str">
        <f t="array" ref="B923">_xlfn.XLOOKUP(A923,DATA!D:D,DATA!E:E,"")</f>
        <v/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</row>
    <row r="924">
      <c r="A924" s="10"/>
      <c r="B924" s="10" t="str">
        <f t="array" ref="B924">_xlfn.XLOOKUP(A924,DATA!D:D,DATA!E:E,"")</f>
        <v/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</row>
    <row r="925">
      <c r="A925" s="10"/>
      <c r="B925" s="10" t="str">
        <f t="array" ref="B925">_xlfn.XLOOKUP(A925,DATA!D:D,DATA!E:E,"")</f>
        <v/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</row>
    <row r="926">
      <c r="A926" s="10"/>
      <c r="B926" s="10" t="str">
        <f t="array" ref="B926">_xlfn.XLOOKUP(A926,DATA!D:D,DATA!E:E,"")</f>
        <v/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</row>
    <row r="927">
      <c r="A927" s="10"/>
      <c r="B927" s="10" t="str">
        <f t="array" ref="B927">_xlfn.XLOOKUP(A927,DATA!D:D,DATA!E:E,"")</f>
        <v/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</row>
    <row r="928">
      <c r="A928" s="10"/>
      <c r="B928" s="10" t="str">
        <f t="array" ref="B928">_xlfn.XLOOKUP(A928,DATA!D:D,DATA!E:E,"")</f>
        <v/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</row>
    <row r="929">
      <c r="A929" s="10"/>
      <c r="B929" s="10" t="str">
        <f t="array" ref="B929">_xlfn.XLOOKUP(A929,DATA!D:D,DATA!E:E,"")</f>
        <v/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</row>
    <row r="930">
      <c r="A930" s="10"/>
      <c r="B930" s="10" t="str">
        <f t="array" ref="B930">_xlfn.XLOOKUP(A930,DATA!D:D,DATA!E:E,"")</f>
        <v/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</row>
    <row r="931">
      <c r="A931" s="10"/>
      <c r="B931" s="10" t="str">
        <f t="array" ref="B931">_xlfn.XLOOKUP(A931,DATA!D:D,DATA!E:E,"")</f>
        <v/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</row>
    <row r="932">
      <c r="A932" s="10"/>
      <c r="B932" s="10" t="str">
        <f t="array" ref="B932">_xlfn.XLOOKUP(A932,DATA!D:D,DATA!E:E,"")</f>
        <v/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</row>
    <row r="933">
      <c r="A933" s="10"/>
      <c r="B933" s="10" t="str">
        <f t="array" ref="B933">_xlfn.XLOOKUP(A933,DATA!D:D,DATA!E:E,"")</f>
        <v/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</row>
    <row r="934">
      <c r="A934" s="10"/>
      <c r="B934" s="10" t="str">
        <f t="array" ref="B934">_xlfn.XLOOKUP(A934,DATA!D:D,DATA!E:E,"")</f>
        <v/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</row>
    <row r="935">
      <c r="A935" s="10"/>
      <c r="B935" s="10" t="str">
        <f t="array" ref="B935">_xlfn.XLOOKUP(A935,DATA!D:D,DATA!E:E,"")</f>
        <v/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</row>
    <row r="936">
      <c r="A936" s="10"/>
      <c r="B936" s="10" t="str">
        <f t="array" ref="B936">_xlfn.XLOOKUP(A936,DATA!D:D,DATA!E:E,"")</f>
        <v/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</row>
    <row r="937">
      <c r="A937" s="10"/>
      <c r="B937" s="10" t="str">
        <f t="array" ref="B937">_xlfn.XLOOKUP(A937,DATA!D:D,DATA!E:E,"")</f>
        <v/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</row>
    <row r="938">
      <c r="A938" s="10"/>
      <c r="B938" s="10" t="str">
        <f t="array" ref="B938">_xlfn.XLOOKUP(A938,DATA!D:D,DATA!E:E,"")</f>
        <v/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</row>
    <row r="939">
      <c r="A939" s="10"/>
      <c r="B939" s="10" t="str">
        <f t="array" ref="B939">_xlfn.XLOOKUP(A939,DATA!D:D,DATA!E:E,"")</f>
        <v/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</row>
    <row r="940">
      <c r="A940" s="10"/>
      <c r="B940" s="10" t="str">
        <f t="array" ref="B940">_xlfn.XLOOKUP(A940,DATA!D:D,DATA!E:E,"")</f>
        <v/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</row>
    <row r="941">
      <c r="A941" s="10"/>
      <c r="B941" s="10" t="str">
        <f t="array" ref="B941">_xlfn.XLOOKUP(A941,DATA!D:D,DATA!E:E,"")</f>
        <v/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</row>
    <row r="942">
      <c r="A942" s="10"/>
      <c r="B942" s="10" t="str">
        <f t="array" ref="B942">_xlfn.XLOOKUP(A942,DATA!D:D,DATA!E:E,"")</f>
        <v/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</row>
    <row r="943">
      <c r="A943" s="10"/>
      <c r="B943" s="10" t="str">
        <f t="array" ref="B943">_xlfn.XLOOKUP(A943,DATA!D:D,DATA!E:E,"")</f>
        <v/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</row>
    <row r="944">
      <c r="A944" s="10"/>
      <c r="B944" s="10" t="str">
        <f t="array" ref="B944">_xlfn.XLOOKUP(A944,DATA!D:D,DATA!E:E,"")</f>
        <v/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</row>
    <row r="945">
      <c r="A945" s="10"/>
      <c r="B945" s="10" t="str">
        <f t="array" ref="B945">_xlfn.XLOOKUP(A945,DATA!D:D,DATA!E:E,"")</f>
        <v/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</row>
    <row r="946">
      <c r="A946" s="10"/>
      <c r="B946" s="10" t="str">
        <f t="array" ref="B946">_xlfn.XLOOKUP(A946,DATA!D:D,DATA!E:E,"")</f>
        <v/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</row>
    <row r="947">
      <c r="A947" s="10"/>
      <c r="B947" s="10" t="str">
        <f t="array" ref="B947">_xlfn.XLOOKUP(A947,DATA!D:D,DATA!E:E,"")</f>
        <v/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</row>
    <row r="948">
      <c r="A948" s="10"/>
      <c r="B948" s="10" t="str">
        <f t="array" ref="B948">_xlfn.XLOOKUP(A948,DATA!D:D,DATA!E:E,"")</f>
        <v/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</row>
    <row r="949">
      <c r="A949" s="10"/>
      <c r="B949" s="10" t="str">
        <f t="array" ref="B949">_xlfn.XLOOKUP(A949,DATA!D:D,DATA!E:E,"")</f>
        <v/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</row>
    <row r="950">
      <c r="A950" s="10"/>
      <c r="B950" s="10" t="str">
        <f t="array" ref="B950">_xlfn.XLOOKUP(A950,DATA!D:D,DATA!E:E,"")</f>
        <v/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</row>
    <row r="951">
      <c r="A951" s="10"/>
      <c r="B951" s="10" t="str">
        <f t="array" ref="B951">_xlfn.XLOOKUP(A951,DATA!D:D,DATA!E:E,"")</f>
        <v/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</row>
    <row r="952">
      <c r="A952" s="10"/>
      <c r="B952" s="10" t="str">
        <f t="array" ref="B952">_xlfn.XLOOKUP(A952,DATA!D:D,DATA!E:E,"")</f>
        <v/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</row>
    <row r="953">
      <c r="A953" s="10"/>
      <c r="B953" s="10" t="str">
        <f t="array" ref="B953">_xlfn.XLOOKUP(A953,DATA!D:D,DATA!E:E,"")</f>
        <v/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</row>
    <row r="954">
      <c r="A954" s="10"/>
      <c r="B954" s="10" t="str">
        <f t="array" ref="B954">_xlfn.XLOOKUP(A954,DATA!D:D,DATA!E:E,"")</f>
        <v/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</row>
    <row r="955">
      <c r="A955" s="10"/>
      <c r="B955" s="10" t="str">
        <f t="array" ref="B955">_xlfn.XLOOKUP(A955,DATA!D:D,DATA!E:E,"")</f>
        <v/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</row>
    <row r="956">
      <c r="A956" s="10"/>
      <c r="B956" s="10" t="str">
        <f t="array" ref="B956">_xlfn.XLOOKUP(A956,DATA!D:D,DATA!E:E,"")</f>
        <v/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</row>
    <row r="957">
      <c r="A957" s="10"/>
      <c r="B957" s="10" t="str">
        <f t="array" ref="B957">_xlfn.XLOOKUP(A957,DATA!D:D,DATA!E:E,"")</f>
        <v/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</row>
    <row r="958">
      <c r="A958" s="10"/>
      <c r="B958" s="10" t="str">
        <f t="array" ref="B958">_xlfn.XLOOKUP(A958,DATA!D:D,DATA!E:E,"")</f>
        <v/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</row>
    <row r="959">
      <c r="A959" s="10"/>
      <c r="B959" s="10" t="str">
        <f t="array" ref="B959">_xlfn.XLOOKUP(A959,DATA!D:D,DATA!E:E,"")</f>
        <v/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</row>
    <row r="960">
      <c r="A960" s="10"/>
      <c r="B960" s="10" t="str">
        <f t="array" ref="B960">_xlfn.XLOOKUP(A960,DATA!D:D,DATA!E:E,"")</f>
        <v/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</row>
    <row r="961">
      <c r="A961" s="10"/>
      <c r="B961" s="10" t="str">
        <f t="array" ref="B961">_xlfn.XLOOKUP(A961,DATA!D:D,DATA!E:E,"")</f>
        <v/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</row>
    <row r="962">
      <c r="A962" s="10"/>
      <c r="B962" s="10" t="str">
        <f t="array" ref="B962">_xlfn.XLOOKUP(A962,DATA!D:D,DATA!E:E,"")</f>
        <v/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</row>
    <row r="963">
      <c r="A963" s="10"/>
      <c r="B963" s="10" t="str">
        <f t="array" ref="B963">_xlfn.XLOOKUP(A963,DATA!D:D,DATA!E:E,"")</f>
        <v/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</row>
    <row r="964">
      <c r="A964" s="10"/>
      <c r="B964" s="10" t="str">
        <f t="array" ref="B964">_xlfn.XLOOKUP(A964,DATA!D:D,DATA!E:E,"")</f>
        <v/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</row>
    <row r="965">
      <c r="A965" s="10"/>
      <c r="B965" s="10" t="str">
        <f t="array" ref="B965">_xlfn.XLOOKUP(A965,DATA!D:D,DATA!E:E,"")</f>
        <v/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</row>
    <row r="966">
      <c r="A966" s="10"/>
      <c r="B966" s="10" t="str">
        <f t="array" ref="B966">_xlfn.XLOOKUP(A966,DATA!D:D,DATA!E:E,"")</f>
        <v/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</row>
    <row r="967">
      <c r="A967" s="10"/>
      <c r="B967" s="10" t="str">
        <f t="array" ref="B967">_xlfn.XLOOKUP(A967,DATA!D:D,DATA!E:E,"")</f>
        <v/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</row>
    <row r="968">
      <c r="A968" s="10"/>
      <c r="B968" s="10" t="str">
        <f t="array" ref="B968">_xlfn.XLOOKUP(A968,DATA!D:D,DATA!E:E,"")</f>
        <v/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</row>
    <row r="969">
      <c r="A969" s="10"/>
      <c r="B969" s="10" t="str">
        <f t="array" ref="B969">_xlfn.XLOOKUP(A969,DATA!D:D,DATA!E:E,"")</f>
        <v/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</row>
    <row r="970">
      <c r="A970" s="10"/>
      <c r="B970" s="10" t="str">
        <f t="array" ref="B970">_xlfn.XLOOKUP(A970,DATA!D:D,DATA!E:E,"")</f>
        <v/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</row>
    <row r="971">
      <c r="A971" s="10"/>
      <c r="B971" s="10" t="str">
        <f t="array" ref="B971">_xlfn.XLOOKUP(A971,DATA!D:D,DATA!E:E,"")</f>
        <v/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</row>
    <row r="972">
      <c r="A972" s="10"/>
      <c r="B972" s="10" t="str">
        <f t="array" ref="B972">_xlfn.XLOOKUP(A972,DATA!D:D,DATA!E:E,"")</f>
        <v/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</row>
    <row r="973">
      <c r="A973" s="10"/>
      <c r="B973" s="10" t="str">
        <f t="array" ref="B973">_xlfn.XLOOKUP(A973,DATA!D:D,DATA!E:E,"")</f>
        <v/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</row>
    <row r="974">
      <c r="A974" s="10"/>
      <c r="B974" s="10" t="str">
        <f t="array" ref="B974">_xlfn.XLOOKUP(A974,DATA!D:D,DATA!E:E,"")</f>
        <v/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</row>
    <row r="975">
      <c r="A975" s="10"/>
      <c r="B975" s="10" t="str">
        <f t="array" ref="B975">_xlfn.XLOOKUP(A975,DATA!D:D,DATA!E:E,"")</f>
        <v/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</row>
    <row r="976">
      <c r="A976" s="10"/>
      <c r="B976" s="10" t="str">
        <f t="array" ref="B976">_xlfn.XLOOKUP(A976,DATA!D:D,DATA!E:E,"")</f>
        <v/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</row>
    <row r="977">
      <c r="A977" s="10"/>
      <c r="B977" s="10" t="str">
        <f t="array" ref="B977">_xlfn.XLOOKUP(A977,DATA!D:D,DATA!E:E,"")</f>
        <v/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</row>
    <row r="978">
      <c r="A978" s="10"/>
      <c r="B978" s="10" t="str">
        <f t="array" ref="B978">_xlfn.XLOOKUP(A978,DATA!D:D,DATA!E:E,"")</f>
        <v/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</row>
    <row r="979">
      <c r="A979" s="10"/>
      <c r="B979" s="10" t="str">
        <f t="array" ref="B979">_xlfn.XLOOKUP(A979,DATA!D:D,DATA!E:E,"")</f>
        <v/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</row>
    <row r="980">
      <c r="A980" s="10"/>
      <c r="B980" s="10" t="str">
        <f t="array" ref="B980">_xlfn.XLOOKUP(A980,DATA!D:D,DATA!E:E,"")</f>
        <v/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</row>
    <row r="981">
      <c r="A981" s="10"/>
      <c r="B981" s="10" t="str">
        <f t="array" ref="B981">_xlfn.XLOOKUP(A981,DATA!D:D,DATA!E:E,"")</f>
        <v/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</row>
    <row r="982">
      <c r="A982" s="10"/>
      <c r="B982" s="10" t="str">
        <f t="array" ref="B982">_xlfn.XLOOKUP(A982,DATA!D:D,DATA!E:E,"")</f>
        <v/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</row>
    <row r="983">
      <c r="A983" s="10"/>
      <c r="B983" s="10" t="str">
        <f t="array" ref="B983">_xlfn.XLOOKUP(A983,DATA!D:D,DATA!E:E,"")</f>
        <v/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</row>
    <row r="984">
      <c r="A984" s="10"/>
      <c r="B984" s="10" t="str">
        <f t="array" ref="B984">_xlfn.XLOOKUP(A984,DATA!D:D,DATA!E:E,"")</f>
        <v/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</row>
    <row r="985">
      <c r="A985" s="10"/>
      <c r="B985" s="10" t="str">
        <f t="array" ref="B985">_xlfn.XLOOKUP(A985,DATA!D:D,DATA!E:E,"")</f>
        <v/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</row>
    <row r="986">
      <c r="A986" s="10"/>
      <c r="B986" s="10" t="str">
        <f t="array" ref="B986">_xlfn.XLOOKUP(A986,DATA!D:D,DATA!E:E,"")</f>
        <v/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</row>
    <row r="987">
      <c r="A987" s="10"/>
      <c r="B987" s="10" t="str">
        <f t="array" ref="B987">_xlfn.XLOOKUP(A987,DATA!D:D,DATA!E:E,"")</f>
        <v/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</row>
    <row r="988">
      <c r="A988" s="10"/>
      <c r="B988" s="10" t="str">
        <f t="array" ref="B988">_xlfn.XLOOKUP(A988,DATA!D:D,DATA!E:E,"")</f>
        <v/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</row>
    <row r="989">
      <c r="A989" s="10"/>
      <c r="B989" s="10" t="str">
        <f t="array" ref="B989">_xlfn.XLOOKUP(A989,DATA!D:D,DATA!E:E,"")</f>
        <v/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</row>
    <row r="990">
      <c r="A990" s="10"/>
      <c r="B990" s="10" t="str">
        <f t="array" ref="B990">_xlfn.XLOOKUP(A990,DATA!D:D,DATA!E:E,"")</f>
        <v/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</row>
    <row r="991">
      <c r="A991" s="10"/>
      <c r="B991" s="10" t="str">
        <f t="array" ref="B991">_xlfn.XLOOKUP(A991,DATA!D:D,DATA!E:E,"")</f>
        <v/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</row>
    <row r="992">
      <c r="A992" s="10"/>
      <c r="B992" s="10" t="str">
        <f t="array" ref="B992">_xlfn.XLOOKUP(A992,DATA!D:D,DATA!E:E,"")</f>
        <v/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</row>
    <row r="993">
      <c r="A993" s="10"/>
      <c r="B993" s="10" t="str">
        <f t="array" ref="B993">_xlfn.XLOOKUP(A993,DATA!D:D,DATA!E:E,"")</f>
        <v/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</row>
    <row r="994">
      <c r="A994" s="10"/>
      <c r="B994" s="10" t="str">
        <f t="array" ref="B994">_xlfn.XLOOKUP(A994,DATA!D:D,DATA!E:E,"")</f>
        <v/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</row>
    <row r="995">
      <c r="A995" s="10"/>
      <c r="B995" s="10" t="str">
        <f t="array" ref="B995">_xlfn.XLOOKUP(A995,DATA!D:D,DATA!E:E,"")</f>
        <v/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</row>
    <row r="996">
      <c r="A996" s="10"/>
      <c r="B996" s="10" t="str">
        <f t="array" ref="B996">_xlfn.XLOOKUP(A996,DATA!D:D,DATA!E:E,"")</f>
        <v/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</row>
    <row r="997">
      <c r="A997" s="10"/>
      <c r="B997" s="10" t="str">
        <f t="array" ref="B997">_xlfn.XLOOKUP(A997,DATA!D:D,DATA!E:E,"")</f>
        <v/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</row>
    <row r="998">
      <c r="A998" s="10"/>
      <c r="B998" s="10" t="str">
        <f t="array" ref="B998">_xlfn.XLOOKUP(A998,DATA!D:D,DATA!E:E,"")</f>
        <v/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</row>
  </sheetData>
  <dataValidations>
    <dataValidation type="list" allowBlank="1" showErrorMessage="1" sqref="A2:A998">
      <formula1>DATA!$D:$D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15</v>
      </c>
      <c r="B1" s="10" t="s">
        <v>3</v>
      </c>
      <c r="C1" s="10" t="s">
        <v>17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N1" s="31" t="str">
        <f t="array" ref="N1:N5">UNIQUE(DATA!E:E)</f>
        <v>Tele sales</v>
      </c>
    </row>
    <row r="2">
      <c r="A2" s="34" t="s">
        <v>14</v>
      </c>
      <c r="B2" s="10">
        <f>IF($A2="","",COUNTIFS(Evaluations!$H$3:$H$10000,$A2,Evaluations!$U$3:$U$10000,"&gt;=0",Evaluations!$U$3:$U$10000,"&lt;=100"))</f>
        <v>0</v>
      </c>
      <c r="C2" s="10">
        <f>IF($A2="","",COUNTIFS('Agent Report'!$B$4:$B$53,$A2,'Agent Report'!$C$4:$C$53,"&gt;0"))</f>
        <v>0</v>
      </c>
      <c r="D2" s="10" t="str">
        <f>IF(OR($A2="",B2=0),"",ROUND(SUMIFS(Evaluations!$U$3:$U$10000,Evaluations!$H$3:$H$10000,$A2)/B2,2))</f>
        <v/>
      </c>
      <c r="E2" s="10">
        <f>IF($A2="","",COUNTIFS(Evaluations!$H$3:$H$10000,$A2,Evaluations!$M$3:$M$10000,"پاسخ داده شده"))</f>
        <v>0</v>
      </c>
      <c r="F2" s="10" t="str">
        <f>IF($A2="","",IFERROR(COUNTIFS(Evaluations!$H$3:$H$10000,$A2,Evaluations!$O$3:$O$10000,"رعایت شده")/(COUNTIFS(Evaluations!$H$3:$H$10000,$A2,Evaluations!$O$3:$O$10000,"رعایت شده")+COUNTIFS(Evaluations!$H$3:$H$10000,$A2,Evaluations!$O$3:$O$10000,"رعایت نشده")),""))</f>
        <v/>
      </c>
      <c r="G2" s="10" t="str">
        <f>IF($A2="","",IFERROR(ROUND(100*COUNTIFS(Evaluations!$H$3:$H$10000,$A2,Evaluations!$Q$3:$Q$10000,1)/(COUNTIFS(Evaluations!$H$3:$H$10000,$A2,Evaluations!$Q$3:$Q$10000,1)+COUNTIFS(Evaluations!$H$3:$H$10000,$A2,Evaluations!$Q$3:$Q$10000,0)),2),""))</f>
        <v/>
      </c>
      <c r="H2" s="10" t="str">
        <f>IF($A2="","",IFERROR(ROUND(100*COUNTIFS(Evaluations!$H$3:$H$10000,$A2,Evaluations!$R$3:$R$10000,1)/(COUNTIFS(Evaluations!$H$3:$H$10000,$A2,Evaluations!$R$3:$R$10000,1)+COUNTIFS(Evaluations!$H$3:$H$10000,$A2,Evaluations!$R$3:$R$10000,0)),2),""))</f>
        <v/>
      </c>
      <c r="I2" s="10" t="str">
        <f>IF($A2="","",IFERROR(ROUND(100*COUNTIFS(Evaluations!$H$3:$H$10000,$A2,Evaluations!$S$3:$S$10000,1)/(COUNTIFS(Evaluations!$H$3:$H$10000,$A2,Evaluations!$S$3:$S$10000,1)+COUNTIFS(Evaluations!$H$3:$H$10000,$A2,Evaluations!$S$3:$S$10000,0)),2),""))</f>
        <v/>
      </c>
      <c r="J2" s="10" t="str">
        <f>IF($A2="","",IFERROR(ROUND(100*COUNTIFS(Evaluations!$H$3:$H$10000,$A2,Evaluations!$T$3:$T$10000,1)/(COUNTIFS(Evaluations!$H$3:$H$10000,$A2,Evaluations!$T$3:$T$10000,1)+COUNTIFS(Evaluations!$H$3:$H$10000,$A2,Evaluations!$T$3:$T$10000,0)),2),""))</f>
        <v/>
      </c>
      <c r="K2" s="10">
        <f>IF($A2="","",COUNTIFS(Evaluations!$H$3:$H$10000,$A2,Evaluations!$M$3:$M$10000,"عدم پاسخ"))</f>
        <v>0</v>
      </c>
      <c r="L2" s="10">
        <f>IF($A2="","",COUNTIFS(Evaluations!$H$3:$H$10000,$A2,Evaluations!$O$3:$O$10000,"رعایت نشده"))</f>
        <v>0</v>
      </c>
      <c r="N2" s="31" t="s">
        <v>98</v>
      </c>
    </row>
    <row r="3">
      <c r="A3" s="10" t="s">
        <v>98</v>
      </c>
      <c r="B3" s="10">
        <f>IF($A3="","",COUNTIFS(Evaluations!$H$3:$H$10000,$A3,Evaluations!$U$3:$U$10000,"&gt;=0",Evaluations!$U$3:$U$10000,"&lt;=100"))</f>
        <v>0</v>
      </c>
      <c r="C3" s="10">
        <f>IF($A3="","",COUNTIFS('Agent Report'!$B$4:$B$53,$A3,'Agent Report'!$C$4:$C$53,"&gt;0"))</f>
        <v>0</v>
      </c>
      <c r="D3" s="10" t="str">
        <f>IF(OR($A3="",B3=0),"",ROUND(SUMIFS(Evaluations!$U$3:$U$10000,Evaluations!$H$3:$H$10000,$A3)/B3,2))</f>
        <v/>
      </c>
      <c r="E3" s="10">
        <f>IF($A3="","",COUNTIFS(Evaluations!$H$3:$H$10000,$A3,Evaluations!$M$3:$M$10000,"پاسخ داده شده"))</f>
        <v>0</v>
      </c>
      <c r="F3" s="10" t="str">
        <f>IF($A3="","",IFERROR(COUNTIFS(Evaluations!$H$3:$H$10000,$A3,Evaluations!$O$3:$O$10000,"رعایت شده")/(COUNTIFS(Evaluations!$H$3:$H$10000,$A3,Evaluations!$O$3:$O$10000,"رعایت شده")+COUNTIFS(Evaluations!$H$3:$H$10000,$A3,Evaluations!$O$3:$O$10000,"رعایت نشده")),""))</f>
        <v/>
      </c>
      <c r="G3" s="10" t="str">
        <f>IF($A3="","",IFERROR(ROUND(100*COUNTIFS(Evaluations!$H$3:$H$10000,$A3,Evaluations!$Q$3:$Q$10000,1)/(COUNTIFS(Evaluations!$H$3:$H$10000,$A3,Evaluations!$Q$3:$Q$10000,1)+COUNTIFS(Evaluations!$H$3:$H$10000,$A3,Evaluations!$Q$3:$Q$10000,0)),2),""))</f>
        <v/>
      </c>
      <c r="H3" s="10" t="str">
        <f>IF($A3="","",IFERROR(ROUND(100*COUNTIFS(Evaluations!$H$3:$H$10000,$A3,Evaluations!$R$3:$R$10000,1)/(COUNTIFS(Evaluations!$H$3:$H$10000,$A3,Evaluations!$R$3:$R$10000,1)+COUNTIFS(Evaluations!$H$3:$H$10000,$A3,Evaluations!$R$3:$R$10000,0)),2),""))</f>
        <v/>
      </c>
      <c r="I3" s="10" t="str">
        <f>IF($A3="","",IFERROR(ROUND(100*COUNTIFS(Evaluations!$H$3:$H$10000,$A3,Evaluations!$S$3:$S$10000,1)/(COUNTIFS(Evaluations!$H$3:$H$10000,$A3,Evaluations!$S$3:$S$10000,1)+COUNTIFS(Evaluations!$H$3:$H$10000,$A3,Evaluations!$S$3:$S$10000,0)),2),""))</f>
        <v/>
      </c>
      <c r="J3" s="10" t="str">
        <f>IF($A3="","",IFERROR(ROUND(100*COUNTIFS(Evaluations!$H$3:$H$10000,$A3,Evaluations!$T$3:$T$10000,1)/(COUNTIFS(Evaluations!$H$3:$H$10000,$A3,Evaluations!$T$3:$T$10000,1)+COUNTIFS(Evaluations!$H$3:$H$10000,$A3,Evaluations!$T$3:$T$10000,0)),2),""))</f>
        <v/>
      </c>
      <c r="K3" s="10">
        <f>IF($A3="","",COUNTIFS(Evaluations!$H$3:$H$10000,$A3,Evaluations!$M$3:$M$10000,"عدم پاسخ"))</f>
        <v>0</v>
      </c>
      <c r="L3" s="10">
        <f>IF($A3="","",COUNTIFS(Evaluations!$H$3:$H$10000,$A3,Evaluations!$O$3:$O$10000,"رعایت نشده"))</f>
        <v>0</v>
      </c>
      <c r="N3" s="31" t="s">
        <v>108</v>
      </c>
    </row>
    <row r="4">
      <c r="A4" s="10" t="s">
        <v>108</v>
      </c>
      <c r="B4" s="10">
        <f>IF($A4="","",COUNTIFS(Evaluations!$H$3:$H$10000,$A4,Evaluations!$U$3:$U$10000,"&gt;=0",Evaluations!$U$3:$U$10000,"&lt;=100"))</f>
        <v>0</v>
      </c>
      <c r="C4" s="10">
        <f>IF($A4="","",COUNTIFS('Agent Report'!$B$4:$B$53,$A4,'Agent Report'!$C$4:$C$53,"&gt;0"))</f>
        <v>0</v>
      </c>
      <c r="D4" s="10" t="str">
        <f>IF(OR($A4="",B4=0),"",ROUND(SUMIFS(Evaluations!$U$3:$U$10000,Evaluations!$H$3:$H$10000,$A4)/B4,2))</f>
        <v/>
      </c>
      <c r="E4" s="10">
        <f>IF($A4="","",COUNTIFS(Evaluations!$H$3:$H$10000,$A4,Evaluations!$M$3:$M$10000,"پاسخ داده شده"))</f>
        <v>0</v>
      </c>
      <c r="F4" s="10" t="str">
        <f>IF($A4="","",IFERROR(COUNTIFS(Evaluations!$H$3:$H$10000,$A4,Evaluations!$O$3:$O$10000,"رعایت شده")/(COUNTIFS(Evaluations!$H$3:$H$10000,$A4,Evaluations!$O$3:$O$10000,"رعایت شده")+COUNTIFS(Evaluations!$H$3:$H$10000,$A4,Evaluations!$O$3:$O$10000,"رعایت نشده")),""))</f>
        <v/>
      </c>
      <c r="G4" s="10" t="str">
        <f>IF($A4="","",IFERROR(ROUND(100*COUNTIFS(Evaluations!$H$3:$H$10000,$A4,Evaluations!$Q$3:$Q$10000,1)/(COUNTIFS(Evaluations!$H$3:$H$10000,$A4,Evaluations!$Q$3:$Q$10000,1)+COUNTIFS(Evaluations!$H$3:$H$10000,$A4,Evaluations!$Q$3:$Q$10000,0)),2),""))</f>
        <v/>
      </c>
      <c r="H4" s="10" t="str">
        <f>IF($A4="","",IFERROR(ROUND(100*COUNTIFS(Evaluations!$H$3:$H$10000,$A4,Evaluations!$R$3:$R$10000,1)/(COUNTIFS(Evaluations!$H$3:$H$10000,$A4,Evaluations!$R$3:$R$10000,1)+COUNTIFS(Evaluations!$H$3:$H$10000,$A4,Evaluations!$R$3:$R$10000,0)),2),""))</f>
        <v/>
      </c>
      <c r="I4" s="10" t="str">
        <f>IF($A4="","",IFERROR(ROUND(100*COUNTIFS(Evaluations!$H$3:$H$10000,$A4,Evaluations!$S$3:$S$10000,1)/(COUNTIFS(Evaluations!$H$3:$H$10000,$A4,Evaluations!$S$3:$S$10000,1)+COUNTIFS(Evaluations!$H$3:$H$10000,$A4,Evaluations!$S$3:$S$10000,0)),2),""))</f>
        <v/>
      </c>
      <c r="J4" s="10" t="str">
        <f>IF($A4="","",IFERROR(ROUND(100*COUNTIFS(Evaluations!$H$3:$H$10000,$A4,Evaluations!$T$3:$T$10000,1)/(COUNTIFS(Evaluations!$H$3:$H$10000,$A4,Evaluations!$T$3:$T$10000,1)+COUNTIFS(Evaluations!$H$3:$H$10000,$A4,Evaluations!$T$3:$T$10000,0)),2),""))</f>
        <v/>
      </c>
      <c r="K4" s="10">
        <f>IF($A4="","",COUNTIFS(Evaluations!$H$3:$H$10000,$A4,Evaluations!$M$3:$M$10000,"عدم پاسخ"))</f>
        <v>0</v>
      </c>
      <c r="L4" s="10">
        <f>IF($A4="","",COUNTIFS(Evaluations!$H$3:$H$10000,$A4,Evaluations!$O$3:$O$10000,"رعایت نشده"))</f>
        <v>0</v>
      </c>
      <c r="N4" s="31" t="s">
        <v>132</v>
      </c>
    </row>
    <row r="5">
      <c r="A5" s="10" t="s">
        <v>132</v>
      </c>
      <c r="B5" s="10">
        <f>IF($A5="","",COUNTIFS(Evaluations!$H$3:$H$10000,$A5,Evaluations!$U$3:$U$10000,"&gt;=0",Evaluations!$U$3:$U$10000,"&lt;=100"))</f>
        <v>0</v>
      </c>
      <c r="C5" s="10">
        <f>IF($A5="","",COUNTIFS('Agent Report'!$B$4:$B$53,$A5,'Agent Report'!$C$4:$C$53,"&gt;0"))</f>
        <v>0</v>
      </c>
      <c r="D5" s="10" t="str">
        <f>IF(OR($A5="",B5=0),"",ROUND(SUMIFS(Evaluations!$U$3:$U$10000,Evaluations!$H$3:$H$10000,$A5)/B5,2))</f>
        <v/>
      </c>
      <c r="E5" s="10">
        <f>IF($A5="","",COUNTIFS(Evaluations!$H$3:$H$10000,$A5,Evaluations!$M$3:$M$10000,"پاسخ داده شده"))</f>
        <v>0</v>
      </c>
      <c r="F5" s="10" t="str">
        <f>IF($A5="","",IFERROR(COUNTIFS(Evaluations!$H$3:$H$10000,$A5,Evaluations!$O$3:$O$10000,"رعایت شده")/(COUNTIFS(Evaluations!$H$3:$H$10000,$A5,Evaluations!$O$3:$O$10000,"رعایت شده")+COUNTIFS(Evaluations!$H$3:$H$10000,$A5,Evaluations!$O$3:$O$10000,"رعایت نشده")),""))</f>
        <v/>
      </c>
      <c r="G5" s="10" t="str">
        <f>IF($A5="","",IFERROR(ROUND(100*COUNTIFS(Evaluations!$H$3:$H$10000,$A5,Evaluations!$Q$3:$Q$10000,1)/(COUNTIFS(Evaluations!$H$3:$H$10000,$A5,Evaluations!$Q$3:$Q$10000,1)+COUNTIFS(Evaluations!$H$3:$H$10000,$A5,Evaluations!$Q$3:$Q$10000,0)),2),""))</f>
        <v/>
      </c>
      <c r="H5" s="10" t="str">
        <f>IF($A5="","",IFERROR(ROUND(100*COUNTIFS(Evaluations!$H$3:$H$10000,$A5,Evaluations!$R$3:$R$10000,1)/(COUNTIFS(Evaluations!$H$3:$H$10000,$A5,Evaluations!$R$3:$R$10000,1)+COUNTIFS(Evaluations!$H$3:$H$10000,$A5,Evaluations!$R$3:$R$10000,0)),2),""))</f>
        <v/>
      </c>
      <c r="I5" s="10" t="str">
        <f>IF($A5="","",IFERROR(ROUND(100*COUNTIFS(Evaluations!$H$3:$H$10000,$A5,Evaluations!$S$3:$S$10000,1)/(COUNTIFS(Evaluations!$H$3:$H$10000,$A5,Evaluations!$S$3:$S$10000,1)+COUNTIFS(Evaluations!$H$3:$H$10000,$A5,Evaluations!$S$3:$S$10000,0)),2),""))</f>
        <v/>
      </c>
      <c r="J5" s="10" t="str">
        <f>IF($A5="","",IFERROR(ROUND(100*COUNTIFS(Evaluations!$H$3:$H$10000,$A5,Evaluations!$T$3:$T$10000,1)/(COUNTIFS(Evaluations!$H$3:$H$10000,$A5,Evaluations!$T$3:$T$10000,1)+COUNTIFS(Evaluations!$H$3:$H$10000,$A5,Evaluations!$T$3:$T$10000,0)),2),""))</f>
        <v/>
      </c>
      <c r="K5" s="10">
        <f>IF($A5="","",COUNTIFS(Evaluations!$H$3:$H$10000,$A5,Evaluations!$M$3:$M$10000,"عدم پاسخ"))</f>
        <v>0</v>
      </c>
      <c r="L5" s="10">
        <f>IF($A5="","",COUNTIFS(Evaluations!$H$3:$H$10000,$A5,Evaluations!$O$3:$O$10000,"رعایت نشده"))</f>
        <v>0</v>
      </c>
      <c r="N5" s="31"/>
    </row>
    <row r="6">
      <c r="A6" s="10"/>
      <c r="B6" s="10" t="str">
        <f>IF($A6="","",COUNTIFS(Evaluations!$H$3:$H$10000,$A6,Evaluations!$U$3:$U$10000,"&gt;=0",Evaluations!$U$3:$U$10000,"&lt;=100"))</f>
        <v/>
      </c>
      <c r="C6" s="10" t="str">
        <f>IF($A6="","",COUNTIFS('Agent Report'!$B$4:$B$53,$A6,'Agent Report'!$C$4:$C$53,"&gt;0"))</f>
        <v/>
      </c>
      <c r="D6" s="10" t="str">
        <f>IF(OR($A6="",B6=0),"",ROUND(SUMIFS(Evaluations!$U$3:$U$10000,Evaluations!$H$3:$H$10000,$A6)/B6,2))</f>
        <v/>
      </c>
      <c r="E6" s="10" t="str">
        <f>IF($A6="","",COUNTIFS(Evaluations!$H$3:$H$10000,$A6,Evaluations!$M$3:$M$10000,"پاسخ داده شده"))</f>
        <v/>
      </c>
      <c r="F6" s="10" t="str">
        <f>IF($A6="","",IFERROR(COUNTIFS(Evaluations!$H$3:$H$10000,$A6,Evaluations!$O$3:$O$10000,"رعایت شده")/(COUNTIFS(Evaluations!$H$3:$H$10000,$A6,Evaluations!$O$3:$O$10000,"رعایت شده")+COUNTIFS(Evaluations!$H$3:$H$10000,$A6,Evaluations!$O$3:$O$10000,"رعایت نشده")),""))</f>
        <v/>
      </c>
      <c r="G6" s="10" t="str">
        <f>IF($A6="","",IFERROR(ROUND(100*COUNTIFS(Evaluations!$H$3:$H$10000,$A6,Evaluations!$Q$3:$Q$10000,1)/(COUNTIFS(Evaluations!$H$3:$H$10000,$A6,Evaluations!$Q$3:$Q$10000,1)+COUNTIFS(Evaluations!$H$3:$H$10000,$A6,Evaluations!$Q$3:$Q$10000,0)),2),""))</f>
        <v/>
      </c>
      <c r="H6" s="10" t="str">
        <f>IF($A6="","",IFERROR(ROUND(100*COUNTIFS(Evaluations!$H$3:$H$10000,$A6,Evaluations!$R$3:$R$10000,1)/(COUNTIFS(Evaluations!$H$3:$H$10000,$A6,Evaluations!$R$3:$R$10000,1)+COUNTIFS(Evaluations!$H$3:$H$10000,$A6,Evaluations!$R$3:$R$10000,0)),2),""))</f>
        <v/>
      </c>
      <c r="I6" s="10" t="str">
        <f>IF($A6="","",IFERROR(ROUND(100*COUNTIFS(Evaluations!$H$3:$H$10000,$A6,Evaluations!$S$3:$S$10000,1)/(COUNTIFS(Evaluations!$H$3:$H$10000,$A6,Evaluations!$S$3:$S$10000,1)+COUNTIFS(Evaluations!$H$3:$H$10000,$A6,Evaluations!$S$3:$S$10000,0)),2),""))</f>
        <v/>
      </c>
      <c r="J6" s="10" t="str">
        <f>IF($A6="","",IFERROR(ROUND(100*COUNTIFS(Evaluations!$H$3:$H$10000,$A6,Evaluations!$T$3:$T$10000,1)/(COUNTIFS(Evaluations!$H$3:$H$10000,$A6,Evaluations!$T$3:$T$10000,1)+COUNTIFS(Evaluations!$H$3:$H$10000,$A6,Evaluations!$T$3:$T$10000,0)),2),""))</f>
        <v/>
      </c>
      <c r="K6" s="10" t="str">
        <f>IF($A6="","",COUNTIFS(Evaluations!$H$3:$H$10000,$A6,Evaluations!$M$3:$M$10000,"عدم پاسخ"))</f>
        <v/>
      </c>
      <c r="L6" s="10" t="str">
        <f>IF($A6="","",COUNTIFS(Evaluations!$H$3:$H$10000,$A6,Evaluations!$O$3:$O$10000,"رعایت نشده"))</f>
        <v/>
      </c>
    </row>
    <row r="7">
      <c r="A7" s="10"/>
      <c r="B7" s="10" t="str">
        <f>IF($A7="","",COUNTIFS(Evaluations!$H$3:$H$10000,$A7,Evaluations!$U$3:$U$10000,"&gt;=0",Evaluations!$U$3:$U$10000,"&lt;=100"))</f>
        <v/>
      </c>
      <c r="C7" s="10" t="str">
        <f>IF($A7="","",COUNTIFS('Agent Report'!$B$4:$B$53,$A7,'Agent Report'!$C$4:$C$53,"&gt;0"))</f>
        <v/>
      </c>
      <c r="D7" s="10" t="str">
        <f>IF(OR($A7="",B7=0),"",ROUND(SUMIFS(Evaluations!$U$3:$U$10000,Evaluations!$H$3:$H$10000,$A7)/B7,2))</f>
        <v/>
      </c>
      <c r="E7" s="10" t="str">
        <f>IF($A7="","",COUNTIFS(Evaluations!$H$3:$H$10000,$A7,Evaluations!$M$3:$M$10000,"پاسخ داده شده"))</f>
        <v/>
      </c>
      <c r="F7" s="10" t="str">
        <f>IF($A7="","",IFERROR(COUNTIFS(Evaluations!$H$3:$H$10000,$A7,Evaluations!$O$3:$O$10000,"رعایت شده")/(COUNTIFS(Evaluations!$H$3:$H$10000,$A7,Evaluations!$O$3:$O$10000,"رعایت شده")+COUNTIFS(Evaluations!$H$3:$H$10000,$A7,Evaluations!$O$3:$O$10000,"رعایت نشده")),""))</f>
        <v/>
      </c>
      <c r="G7" s="10" t="str">
        <f>IF($A7="","",IFERROR(ROUND(100*COUNTIFS(Evaluations!$H$3:$H$10000,$A7,Evaluations!$Q$3:$Q$10000,1)/(COUNTIFS(Evaluations!$H$3:$H$10000,$A7,Evaluations!$Q$3:$Q$10000,1)+COUNTIFS(Evaluations!$H$3:$H$10000,$A7,Evaluations!$Q$3:$Q$10000,0)),2),""))</f>
        <v/>
      </c>
      <c r="H7" s="10" t="str">
        <f>IF($A7="","",IFERROR(ROUND(100*COUNTIFS(Evaluations!$H$3:$H$10000,$A7,Evaluations!$R$3:$R$10000,1)/(COUNTIFS(Evaluations!$H$3:$H$10000,$A7,Evaluations!$R$3:$R$10000,1)+COUNTIFS(Evaluations!$H$3:$H$10000,$A7,Evaluations!$R$3:$R$10000,0)),2),""))</f>
        <v/>
      </c>
      <c r="I7" s="10" t="str">
        <f>IF($A7="","",IFERROR(ROUND(100*COUNTIFS(Evaluations!$H$3:$H$10000,$A7,Evaluations!$S$3:$S$10000,1)/(COUNTIFS(Evaluations!$H$3:$H$10000,$A7,Evaluations!$S$3:$S$10000,1)+COUNTIFS(Evaluations!$H$3:$H$10000,$A7,Evaluations!$S$3:$S$10000,0)),2),""))</f>
        <v/>
      </c>
      <c r="J7" s="10" t="str">
        <f>IF($A7="","",IFERROR(ROUND(100*COUNTIFS(Evaluations!$H$3:$H$10000,$A7,Evaluations!$T$3:$T$10000,1)/(COUNTIFS(Evaluations!$H$3:$H$10000,$A7,Evaluations!$T$3:$T$10000,1)+COUNTIFS(Evaluations!$H$3:$H$10000,$A7,Evaluations!$T$3:$T$10000,0)),2),""))</f>
        <v/>
      </c>
      <c r="K7" s="10" t="str">
        <f>IF($A7="","",COUNTIFS(Evaluations!$H$3:$H$10000,$A7,Evaluations!$M$3:$M$10000,"عدم پاسخ"))</f>
        <v/>
      </c>
      <c r="L7" s="10" t="str">
        <f>IF($A7="","",COUNTIFS(Evaluations!$H$3:$H$10000,$A7,Evaluations!$O$3:$O$10000,"رعایت نشده"))</f>
        <v/>
      </c>
    </row>
    <row r="8">
      <c r="A8" s="10"/>
      <c r="B8" s="10" t="str">
        <f>IF($A8="","",COUNTIFS(Evaluations!$H$3:$H$10000,$A8,Evaluations!$U$3:$U$10000,"&gt;=0",Evaluations!$U$3:$U$10000,"&lt;=100"))</f>
        <v/>
      </c>
      <c r="C8" s="10" t="str">
        <f>IF($A8="","",COUNTIFS('Agent Report'!$B$4:$B$53,$A8,'Agent Report'!$C$4:$C$53,"&gt;0"))</f>
        <v/>
      </c>
      <c r="D8" s="10" t="str">
        <f>IF(OR($A8="",B8=0),"",ROUND(SUMIFS(Evaluations!$U$3:$U$10000,Evaluations!$H$3:$H$10000,$A8)/B8,2))</f>
        <v/>
      </c>
      <c r="E8" s="10" t="str">
        <f>IF($A8="","",COUNTIFS(Evaluations!$H$3:$H$10000,$A8,Evaluations!$M$3:$M$10000,"پاسخ داده شده"))</f>
        <v/>
      </c>
      <c r="F8" s="10" t="str">
        <f>IF($A8="","",IFERROR(COUNTIFS(Evaluations!$H$3:$H$10000,$A8,Evaluations!$O$3:$O$10000,"رعایت شده")/(COUNTIFS(Evaluations!$H$3:$H$10000,$A8,Evaluations!$O$3:$O$10000,"رعایت شده")+COUNTIFS(Evaluations!$H$3:$H$10000,$A8,Evaluations!$O$3:$O$10000,"رعایت نشده")),""))</f>
        <v/>
      </c>
      <c r="G8" s="10" t="str">
        <f>IF($A8="","",IFERROR(ROUND(100*COUNTIFS(Evaluations!$H$3:$H$10000,$A8,Evaluations!$Q$3:$Q$10000,1)/(COUNTIFS(Evaluations!$H$3:$H$10000,$A8,Evaluations!$Q$3:$Q$10000,1)+COUNTIFS(Evaluations!$H$3:$H$10000,$A8,Evaluations!$Q$3:$Q$10000,0)),2),""))</f>
        <v/>
      </c>
      <c r="H8" s="10" t="str">
        <f>IF($A8="","",IFERROR(ROUND(100*COUNTIFS(Evaluations!$H$3:$H$10000,$A8,Evaluations!$R$3:$R$10000,1)/(COUNTIFS(Evaluations!$H$3:$H$10000,$A8,Evaluations!$R$3:$R$10000,1)+COUNTIFS(Evaluations!$H$3:$H$10000,$A8,Evaluations!$R$3:$R$10000,0)),2),""))</f>
        <v/>
      </c>
      <c r="I8" s="10" t="str">
        <f>IF($A8="","",IFERROR(ROUND(100*COUNTIFS(Evaluations!$H$3:$H$10000,$A8,Evaluations!$S$3:$S$10000,1)/(COUNTIFS(Evaluations!$H$3:$H$10000,$A8,Evaluations!$S$3:$S$10000,1)+COUNTIFS(Evaluations!$H$3:$H$10000,$A8,Evaluations!$S$3:$S$10000,0)),2),""))</f>
        <v/>
      </c>
      <c r="J8" s="10" t="str">
        <f>IF($A8="","",IFERROR(ROUND(100*COUNTIFS(Evaluations!$H$3:$H$10000,$A8,Evaluations!$T$3:$T$10000,1)/(COUNTIFS(Evaluations!$H$3:$H$10000,$A8,Evaluations!$T$3:$T$10000,1)+COUNTIFS(Evaluations!$H$3:$H$10000,$A8,Evaluations!$T$3:$T$10000,0)),2),""))</f>
        <v/>
      </c>
      <c r="K8" s="10" t="str">
        <f>IF($A8="","",COUNTIFS(Evaluations!$H$3:$H$10000,$A8,Evaluations!$M$3:$M$10000,"عدم پاسخ"))</f>
        <v/>
      </c>
      <c r="L8" s="10" t="str">
        <f>IF($A8="","",COUNTIFS(Evaluations!$H$3:$H$10000,$A8,Evaluations!$O$3:$O$10000,"رعایت نشده"))</f>
        <v/>
      </c>
    </row>
    <row r="9">
      <c r="A9" s="10"/>
      <c r="B9" s="10" t="str">
        <f>IF($A9="","",COUNTIFS(Evaluations!$H$3:$H$10000,$A9,Evaluations!$U$3:$U$10000,"&gt;=0",Evaluations!$U$3:$U$10000,"&lt;=100"))</f>
        <v/>
      </c>
      <c r="C9" s="10" t="str">
        <f>IF($A9="","",COUNTIFS('Agent Report'!$B$4:$B$53,$A9,'Agent Report'!$C$4:$C$53,"&gt;0"))</f>
        <v/>
      </c>
      <c r="D9" s="10" t="str">
        <f>IF(OR($A9="",B9=0),"",ROUND(SUMIFS(Evaluations!$U$3:$U$10000,Evaluations!$H$3:$H$10000,$A9)/B9,2))</f>
        <v/>
      </c>
      <c r="E9" s="10" t="str">
        <f>IF($A9="","",COUNTIFS(Evaluations!$H$3:$H$10000,$A9,Evaluations!$M$3:$M$10000,"پاسخ داده شده"))</f>
        <v/>
      </c>
      <c r="F9" s="10" t="str">
        <f>IF($A9="","",IFERROR(COUNTIFS(Evaluations!$H$3:$H$10000,$A9,Evaluations!$O$3:$O$10000,"رعایت شده")/(COUNTIFS(Evaluations!$H$3:$H$10000,$A9,Evaluations!$O$3:$O$10000,"رعایت شده")+COUNTIFS(Evaluations!$H$3:$H$10000,$A9,Evaluations!$O$3:$O$10000,"رعایت نشده")),""))</f>
        <v/>
      </c>
      <c r="G9" s="10" t="str">
        <f>IF($A9="","",IFERROR(ROUND(100*COUNTIFS(Evaluations!$H$3:$H$10000,$A9,Evaluations!$Q$3:$Q$10000,1)/(COUNTIFS(Evaluations!$H$3:$H$10000,$A9,Evaluations!$Q$3:$Q$10000,1)+COUNTIFS(Evaluations!$H$3:$H$10000,$A9,Evaluations!$Q$3:$Q$10000,0)),2),""))</f>
        <v/>
      </c>
      <c r="H9" s="10" t="str">
        <f>IF($A9="","",IFERROR(ROUND(100*COUNTIFS(Evaluations!$H$3:$H$10000,$A9,Evaluations!$R$3:$R$10000,1)/(COUNTIFS(Evaluations!$H$3:$H$10000,$A9,Evaluations!$R$3:$R$10000,1)+COUNTIFS(Evaluations!$H$3:$H$10000,$A9,Evaluations!$R$3:$R$10000,0)),2),""))</f>
        <v/>
      </c>
      <c r="I9" s="10" t="str">
        <f>IF($A9="","",IFERROR(ROUND(100*COUNTIFS(Evaluations!$H$3:$H$10000,$A9,Evaluations!$S$3:$S$10000,1)/(COUNTIFS(Evaluations!$H$3:$H$10000,$A9,Evaluations!$S$3:$S$10000,1)+COUNTIFS(Evaluations!$H$3:$H$10000,$A9,Evaluations!$S$3:$S$10000,0)),2),""))</f>
        <v/>
      </c>
      <c r="J9" s="10" t="str">
        <f>IF($A9="","",IFERROR(ROUND(100*COUNTIFS(Evaluations!$H$3:$H$10000,$A9,Evaluations!$T$3:$T$10000,1)/(COUNTIFS(Evaluations!$H$3:$H$10000,$A9,Evaluations!$T$3:$T$10000,1)+COUNTIFS(Evaluations!$H$3:$H$10000,$A9,Evaluations!$T$3:$T$10000,0)),2),""))</f>
        <v/>
      </c>
      <c r="K9" s="10" t="str">
        <f>IF($A9="","",COUNTIFS(Evaluations!$H$3:$H$10000,$A9,Evaluations!$M$3:$M$10000,"عدم پاسخ"))</f>
        <v/>
      </c>
      <c r="L9" s="10" t="str">
        <f>IF($A9="","",COUNTIFS(Evaluations!$H$3:$H$10000,$A9,Evaluations!$O$3:$O$10000,"رعایت نشده"))</f>
        <v/>
      </c>
    </row>
    <row r="10">
      <c r="A10" s="10"/>
      <c r="B10" s="10" t="str">
        <f>IF($A10="","",COUNTIFS(Evaluations!$H$3:$H$10000,$A10,Evaluations!$U$3:$U$10000,"&gt;=0",Evaluations!$U$3:$U$10000,"&lt;=100"))</f>
        <v/>
      </c>
      <c r="C10" s="10" t="str">
        <f>IF($A10="","",COUNTIFS('Agent Report'!$B$4:$B$53,$A10,'Agent Report'!$C$4:$C$53,"&gt;0"))</f>
        <v/>
      </c>
      <c r="D10" s="10" t="str">
        <f>IF(OR($A10="",B10=0),"",ROUND(SUMIFS(Evaluations!$U$3:$U$10000,Evaluations!$H$3:$H$10000,$A10)/B10,2))</f>
        <v/>
      </c>
      <c r="E10" s="10" t="str">
        <f>IF($A10="","",COUNTIFS(Evaluations!$H$3:$H$10000,$A10,Evaluations!$M$3:$M$10000,"پاسخ داده شده"))</f>
        <v/>
      </c>
      <c r="F10" s="10" t="str">
        <f>IF($A10="","",IFERROR(COUNTIFS(Evaluations!$H$3:$H$10000,$A10,Evaluations!$O$3:$O$10000,"رعایت شده")/(COUNTIFS(Evaluations!$H$3:$H$10000,$A10,Evaluations!$O$3:$O$10000,"رعایت شده")+COUNTIFS(Evaluations!$H$3:$H$10000,$A10,Evaluations!$O$3:$O$10000,"رعایت نشده")),""))</f>
        <v/>
      </c>
      <c r="G10" s="10" t="str">
        <f>IF($A10="","",IFERROR(ROUND(100*COUNTIFS(Evaluations!$H$3:$H$10000,$A10,Evaluations!$Q$3:$Q$10000,1)/(COUNTIFS(Evaluations!$H$3:$H$10000,$A10,Evaluations!$Q$3:$Q$10000,1)+COUNTIFS(Evaluations!$H$3:$H$10000,$A10,Evaluations!$Q$3:$Q$10000,0)),2),""))</f>
        <v/>
      </c>
      <c r="H10" s="10" t="str">
        <f>IF($A10="","",IFERROR(ROUND(100*COUNTIFS(Evaluations!$H$3:$H$10000,$A10,Evaluations!$R$3:$R$10000,1)/(COUNTIFS(Evaluations!$H$3:$H$10000,$A10,Evaluations!$R$3:$R$10000,1)+COUNTIFS(Evaluations!$H$3:$H$10000,$A10,Evaluations!$R$3:$R$10000,0)),2),""))</f>
        <v/>
      </c>
      <c r="I10" s="10" t="str">
        <f>IF($A10="","",IFERROR(ROUND(100*COUNTIFS(Evaluations!$H$3:$H$10000,$A10,Evaluations!$S$3:$S$10000,1)/(COUNTIFS(Evaluations!$H$3:$H$10000,$A10,Evaluations!$S$3:$S$10000,1)+COUNTIFS(Evaluations!$H$3:$H$10000,$A10,Evaluations!$S$3:$S$10000,0)),2),""))</f>
        <v/>
      </c>
      <c r="J10" s="10" t="str">
        <f>IF($A10="","",IFERROR(ROUND(100*COUNTIFS(Evaluations!$H$3:$H$10000,$A10,Evaluations!$T$3:$T$10000,1)/(COUNTIFS(Evaluations!$H$3:$H$10000,$A10,Evaluations!$T$3:$T$10000,1)+COUNTIFS(Evaluations!$H$3:$H$10000,$A10,Evaluations!$T$3:$T$10000,0)),2),""))</f>
        <v/>
      </c>
      <c r="K10" s="10" t="str">
        <f>IF($A10="","",COUNTIFS(Evaluations!$H$3:$H$10000,$A10,Evaluations!$M$3:$M$10000,"عدم پاسخ"))</f>
        <v/>
      </c>
      <c r="L10" s="10" t="str">
        <f>IF($A10="","",COUNTIFS(Evaluations!$H$3:$H$10000,$A10,Evaluations!$O$3:$O$10000,"رعایت نشده"))</f>
        <v/>
      </c>
    </row>
    <row r="11">
      <c r="A11" s="10"/>
      <c r="B11" s="10" t="str">
        <f>IF($A11="","",COUNTIFS(Evaluations!$H$3:$H$10000,$A11,Evaluations!$U$3:$U$10000,"&gt;=0",Evaluations!$U$3:$U$10000,"&lt;=100"))</f>
        <v/>
      </c>
      <c r="C11" s="10" t="str">
        <f>IF($A11="","",COUNTIFS('Agent Report'!$B$4:$B$53,$A11,'Agent Report'!$C$4:$C$53,"&gt;0"))</f>
        <v/>
      </c>
      <c r="D11" s="10" t="str">
        <f>IF(OR($A11="",B11=0),"",ROUND(SUMIFS(Evaluations!$U$3:$U$10000,Evaluations!$H$3:$H$10000,$A11)/B11,2))</f>
        <v/>
      </c>
      <c r="E11" s="10" t="str">
        <f>IF($A11="","",COUNTIFS(Evaluations!$H$3:$H$10000,$A11,Evaluations!$M$3:$M$10000,"پاسخ داده شده"))</f>
        <v/>
      </c>
      <c r="F11" s="10" t="str">
        <f>IF($A11="","",IFERROR(COUNTIFS(Evaluations!$H$3:$H$10000,$A11,Evaluations!$O$3:$O$10000,"رعایت شده")/(COUNTIFS(Evaluations!$H$3:$H$10000,$A11,Evaluations!$O$3:$O$10000,"رعایت شده")+COUNTIFS(Evaluations!$H$3:$H$10000,$A11,Evaluations!$O$3:$O$10000,"رعایت نشده")),""))</f>
        <v/>
      </c>
      <c r="G11" s="10" t="str">
        <f>IF($A11="","",IFERROR(ROUND(100*COUNTIFS(Evaluations!$H$3:$H$10000,$A11,Evaluations!$Q$3:$Q$10000,1)/(COUNTIFS(Evaluations!$H$3:$H$10000,$A11,Evaluations!$Q$3:$Q$10000,1)+COUNTIFS(Evaluations!$H$3:$H$10000,$A11,Evaluations!$Q$3:$Q$10000,0)),2),""))</f>
        <v/>
      </c>
      <c r="H11" s="10" t="str">
        <f>IF($A11="","",IFERROR(ROUND(100*COUNTIFS(Evaluations!$H$3:$H$10000,$A11,Evaluations!$R$3:$R$10000,1)/(COUNTIFS(Evaluations!$H$3:$H$10000,$A11,Evaluations!$R$3:$R$10000,1)+COUNTIFS(Evaluations!$H$3:$H$10000,$A11,Evaluations!$R$3:$R$10000,0)),2),""))</f>
        <v/>
      </c>
      <c r="I11" s="10" t="str">
        <f>IF($A11="","",IFERROR(ROUND(100*COUNTIFS(Evaluations!$H$3:$H$10000,$A11,Evaluations!$S$3:$S$10000,1)/(COUNTIFS(Evaluations!$H$3:$H$10000,$A11,Evaluations!$S$3:$S$10000,1)+COUNTIFS(Evaluations!$H$3:$H$10000,$A11,Evaluations!$S$3:$S$10000,0)),2),""))</f>
        <v/>
      </c>
      <c r="J11" s="10" t="str">
        <f>IF($A11="","",IFERROR(ROUND(100*COUNTIFS(Evaluations!$H$3:$H$10000,$A11,Evaluations!$T$3:$T$10000,1)/(COUNTIFS(Evaluations!$H$3:$H$10000,$A11,Evaluations!$T$3:$T$10000,1)+COUNTIFS(Evaluations!$H$3:$H$10000,$A11,Evaluations!$T$3:$T$10000,0)),2),""))</f>
        <v/>
      </c>
      <c r="K11" s="10" t="str">
        <f>IF($A11="","",COUNTIFS(Evaluations!$H$3:$H$10000,$A11,Evaluations!$M$3:$M$10000,"عدم پاسخ"))</f>
        <v/>
      </c>
      <c r="L11" s="10" t="str">
        <f>IF($A11="","",COUNTIFS(Evaluations!$H$3:$H$10000,$A11,Evaluations!$O$3:$O$10000,"رعایت نشده"))</f>
        <v/>
      </c>
    </row>
    <row r="12">
      <c r="A12" s="10"/>
      <c r="B12" s="10" t="str">
        <f>IF($A12="","",COUNTIFS(Evaluations!$H$3:$H$10000,$A12,Evaluations!$U$3:$U$10000,"&gt;=0",Evaluations!$U$3:$U$10000,"&lt;=100"))</f>
        <v/>
      </c>
      <c r="C12" s="10" t="str">
        <f>IF($A12="","",COUNTIFS('Agent Report'!$B$4:$B$53,$A12,'Agent Report'!$C$4:$C$53,"&gt;0"))</f>
        <v/>
      </c>
      <c r="D12" s="10" t="str">
        <f>IF(OR($A12="",B12=0),"",ROUND(SUMIFS(Evaluations!$U$3:$U$10000,Evaluations!$H$3:$H$10000,$A12)/B12,2))</f>
        <v/>
      </c>
      <c r="E12" s="10" t="str">
        <f>IF($A12="","",COUNTIFS(Evaluations!$H$3:$H$10000,$A12,Evaluations!$M$3:$M$10000,"پاسخ داده شده"))</f>
        <v/>
      </c>
      <c r="F12" s="10" t="str">
        <f>IF($A12="","",IFERROR(COUNTIFS(Evaluations!$H$3:$H$10000,$A12,Evaluations!$O$3:$O$10000,"رعایت شده")/(COUNTIFS(Evaluations!$H$3:$H$10000,$A12,Evaluations!$O$3:$O$10000,"رعایت شده")+COUNTIFS(Evaluations!$H$3:$H$10000,$A12,Evaluations!$O$3:$O$10000,"رعایت نشده")),""))</f>
        <v/>
      </c>
      <c r="G12" s="10" t="str">
        <f>IF($A12="","",IFERROR(ROUND(100*COUNTIFS(Evaluations!$H$3:$H$10000,$A12,Evaluations!$Q$3:$Q$10000,1)/(COUNTIFS(Evaluations!$H$3:$H$10000,$A12,Evaluations!$Q$3:$Q$10000,1)+COUNTIFS(Evaluations!$H$3:$H$10000,$A12,Evaluations!$Q$3:$Q$10000,0)),2),""))</f>
        <v/>
      </c>
      <c r="H12" s="10" t="str">
        <f>IF($A12="","",IFERROR(ROUND(100*COUNTIFS(Evaluations!$H$3:$H$10000,$A12,Evaluations!$R$3:$R$10000,1)/(COUNTIFS(Evaluations!$H$3:$H$10000,$A12,Evaluations!$R$3:$R$10000,1)+COUNTIFS(Evaluations!$H$3:$H$10000,$A12,Evaluations!$R$3:$R$10000,0)),2),""))</f>
        <v/>
      </c>
      <c r="I12" s="10" t="str">
        <f>IF($A12="","",IFERROR(ROUND(100*COUNTIFS(Evaluations!$H$3:$H$10000,$A12,Evaluations!$S$3:$S$10000,1)/(COUNTIFS(Evaluations!$H$3:$H$10000,$A12,Evaluations!$S$3:$S$10000,1)+COUNTIFS(Evaluations!$H$3:$H$10000,$A12,Evaluations!$S$3:$S$10000,0)),2),""))</f>
        <v/>
      </c>
      <c r="J12" s="10" t="str">
        <f>IF($A12="","",IFERROR(ROUND(100*COUNTIFS(Evaluations!$H$3:$H$10000,$A12,Evaluations!$T$3:$T$10000,1)/(COUNTIFS(Evaluations!$H$3:$H$10000,$A12,Evaluations!$T$3:$T$10000,1)+COUNTIFS(Evaluations!$H$3:$H$10000,$A12,Evaluations!$T$3:$T$10000,0)),2),""))</f>
        <v/>
      </c>
      <c r="K12" s="10" t="str">
        <f>IF($A12="","",COUNTIFS(Evaluations!$H$3:$H$10000,$A12,Evaluations!$M$3:$M$10000,"عدم پاسخ"))</f>
        <v/>
      </c>
      <c r="L12" s="10" t="str">
        <f>IF($A12="","",COUNTIFS(Evaluations!$H$3:$H$10000,$A12,Evaluations!$O$3:$O$10000,"رعایت نشده"))</f>
        <v/>
      </c>
    </row>
    <row r="13">
      <c r="A13" s="79"/>
      <c r="B13" s="79" t="str">
        <f>IF($A13="","",COUNTIFS(Evaluations!$H$3:$H$10000,$A13,Evaluations!$U$3:$U$10000,"&gt;=0",Evaluations!$U$3:$U$10000,"&lt;=100"))</f>
        <v/>
      </c>
      <c r="C13" s="79" t="str">
        <f>IF($A13="","",COUNTIFS('Agent Report'!$B$4:$B$53,$A13,'Agent Report'!$C$4:$C$53,"&gt;0"))</f>
        <v/>
      </c>
      <c r="D13" s="79" t="str">
        <f>IF(OR($A13="",B13=0),"",ROUND(SUMIFS(Evaluations!$U$3:$U$10000,Evaluations!$H$3:$H$10000,$A13)/B13,2))</f>
        <v/>
      </c>
      <c r="E13" s="79" t="str">
        <f>IF($A13="","",COUNTIFS(Evaluations!$H$3:$H$10000,$A13,Evaluations!$M$3:$M$10000,"پاسخ داده شده"))</f>
        <v/>
      </c>
      <c r="F13" s="79" t="str">
        <f>IF($A13="","",IFERROR(COUNTIFS(Evaluations!$H$3:$H$10000,$A13,Evaluations!$O$3:$O$10000,"رعایت شده")/(COUNTIFS(Evaluations!$H$3:$H$10000,$A13,Evaluations!$O$3:$O$10000,"رعایت شده")+COUNTIFS(Evaluations!$H$3:$H$10000,$A13,Evaluations!$O$3:$O$10000,"رعایت نشده")),""))</f>
        <v/>
      </c>
      <c r="G13" s="79" t="str">
        <f>IF($A13="","",IFERROR(ROUND(100*COUNTIFS(Evaluations!$H$3:$H$10000,$A13,Evaluations!$Q$3:$Q$10000,1)/(COUNTIFS(Evaluations!$H$3:$H$10000,$A13,Evaluations!$Q$3:$Q$10000,1)+COUNTIFS(Evaluations!$H$3:$H$10000,$A13,Evaluations!$Q$3:$Q$10000,0)),2),""))</f>
        <v/>
      </c>
      <c r="H13" s="79" t="str">
        <f>IF($A13="","",IFERROR(ROUND(100*COUNTIFS(Evaluations!$H$3:$H$10000,$A13,Evaluations!$R$3:$R$10000,1)/(COUNTIFS(Evaluations!$H$3:$H$10000,$A13,Evaluations!$R$3:$R$10000,1)+COUNTIFS(Evaluations!$H$3:$H$10000,$A13,Evaluations!$R$3:$R$10000,0)),2),""))</f>
        <v/>
      </c>
      <c r="I13" s="79" t="str">
        <f>IF($A13="","",IFERROR(ROUND(100*COUNTIFS(Evaluations!$H$3:$H$10000,$A13,Evaluations!$S$3:$S$10000,1)/(COUNTIFS(Evaluations!$H$3:$H$10000,$A13,Evaluations!$S$3:$S$10000,1)+COUNTIFS(Evaluations!$H$3:$H$10000,$A13,Evaluations!$S$3:$S$10000,0)),2),""))</f>
        <v/>
      </c>
      <c r="J13" s="79" t="str">
        <f>IF($A13="","",IFERROR(ROUND(100*COUNTIFS(Evaluations!$H$3:$H$10000,$A13,Evaluations!$T$3:$T$10000,1)/(COUNTIFS(Evaluations!$H$3:$H$10000,$A13,Evaluations!$T$3:$T$10000,1)+COUNTIFS(Evaluations!$H$3:$H$10000,$A13,Evaluations!$T$3:$T$10000,0)),2),""))</f>
        <v/>
      </c>
      <c r="K13" s="79" t="str">
        <f>IF($A13="","",COUNTIFS(Evaluations!$H$3:$H$10000,$A13,Evaluations!$M$3:$M$10000,"عدم پاسخ"))</f>
        <v/>
      </c>
      <c r="L13" s="79" t="str">
        <f>IF($A13="","",COUNTIFS(Evaluations!$H$3:$H$10000,$A13,Evaluations!$O$3:$O$10000,"رعایت نشده"))</f>
        <v/>
      </c>
    </row>
    <row r="14">
      <c r="A14" s="79"/>
      <c r="B14" s="79" t="str">
        <f>IF($A14="","",COUNTIFS(Evaluations!$H$3:$H$10000,$A14,Evaluations!$U$3:$U$10000,"&gt;=0",Evaluations!$U$3:$U$10000,"&lt;=100"))</f>
        <v/>
      </c>
      <c r="C14" s="79" t="str">
        <f>IF($A14="","",COUNTIFS('Agent Report'!$B$4:$B$53,$A14,'Agent Report'!$C$4:$C$53,"&gt;0"))</f>
        <v/>
      </c>
      <c r="D14" s="79" t="str">
        <f>IF(OR($A14="",B14=0),"",ROUND(SUMIFS(Evaluations!$U$3:$U$10000,Evaluations!$H$3:$H$10000,$A14)/B14,2))</f>
        <v/>
      </c>
      <c r="E14" s="79" t="str">
        <f>IF($A14="","",COUNTIFS(Evaluations!$H$3:$H$10000,$A14,Evaluations!$M$3:$M$10000,"پاسخ داده شده"))</f>
        <v/>
      </c>
      <c r="F14" s="79" t="str">
        <f>IF($A14="","",IFERROR(COUNTIFS(Evaluations!$H$3:$H$10000,$A14,Evaluations!$O$3:$O$10000,"رعایت شده")/(COUNTIFS(Evaluations!$H$3:$H$10000,$A14,Evaluations!$O$3:$O$10000,"رعایت شده")+COUNTIFS(Evaluations!$H$3:$H$10000,$A14,Evaluations!$O$3:$O$10000,"رعایت نشده")),""))</f>
        <v/>
      </c>
      <c r="G14" s="79" t="str">
        <f>IF($A14="","",IFERROR(ROUND(100*COUNTIFS(Evaluations!$H$3:$H$10000,$A14,Evaluations!$Q$3:$Q$10000,1)/(COUNTIFS(Evaluations!$H$3:$H$10000,$A14,Evaluations!$Q$3:$Q$10000,1)+COUNTIFS(Evaluations!$H$3:$H$10000,$A14,Evaluations!$Q$3:$Q$10000,0)),2),""))</f>
        <v/>
      </c>
      <c r="H14" s="79" t="str">
        <f>IF($A14="","",IFERROR(ROUND(100*COUNTIFS(Evaluations!$H$3:$H$10000,$A14,Evaluations!$R$3:$R$10000,1)/(COUNTIFS(Evaluations!$H$3:$H$10000,$A14,Evaluations!$R$3:$R$10000,1)+COUNTIFS(Evaluations!$H$3:$H$10000,$A14,Evaluations!$R$3:$R$10000,0)),2),""))</f>
        <v/>
      </c>
      <c r="I14" s="79" t="str">
        <f>IF($A14="","",IFERROR(ROUND(100*COUNTIFS(Evaluations!$H$3:$H$10000,$A14,Evaluations!$S$3:$S$10000,1)/(COUNTIFS(Evaluations!$H$3:$H$10000,$A14,Evaluations!$S$3:$S$10000,1)+COUNTIFS(Evaluations!$H$3:$H$10000,$A14,Evaluations!$S$3:$S$10000,0)),2),""))</f>
        <v/>
      </c>
      <c r="J14" s="79" t="str">
        <f>IF($A14="","",IFERROR(ROUND(100*COUNTIFS(Evaluations!$H$3:$H$10000,$A14,Evaluations!$T$3:$T$10000,1)/(COUNTIFS(Evaluations!$H$3:$H$10000,$A14,Evaluations!$T$3:$T$10000,1)+COUNTIFS(Evaluations!$H$3:$H$10000,$A14,Evaluations!$T$3:$T$10000,0)),2),""))</f>
        <v/>
      </c>
      <c r="K14" s="79" t="str">
        <f>IF($A14="","",COUNTIFS(Evaluations!$H$3:$H$10000,$A14,Evaluations!$M$3:$M$10000,"عدم پاسخ"))</f>
        <v/>
      </c>
      <c r="L14" s="79" t="str">
        <f>IF($A14="","",COUNTIFS(Evaluations!$H$3:$H$10000,$A14,Evaluations!$O$3:$O$10000,"رعایت نشده"))</f>
        <v/>
      </c>
    </row>
    <row r="15">
      <c r="A15" s="79"/>
      <c r="B15" s="79" t="str">
        <f>IF($A15="","",COUNTIFS(Evaluations!$H$3:$H$10000,$A15,Evaluations!$U$3:$U$10000,"&gt;=0",Evaluations!$U$3:$U$10000,"&lt;=100"))</f>
        <v/>
      </c>
      <c r="C15" s="79" t="str">
        <f>IF($A15="","",COUNTIFS('Agent Report'!$B$4:$B$53,$A15,'Agent Report'!$C$4:$C$53,"&gt;0"))</f>
        <v/>
      </c>
      <c r="D15" s="79" t="str">
        <f>IF(OR($A15="",B15=0),"",ROUND(SUMIFS(Evaluations!$U$3:$U$10000,Evaluations!$H$3:$H$10000,$A15)/B15,2))</f>
        <v/>
      </c>
      <c r="E15" s="79" t="str">
        <f>IF($A15="","",COUNTIFS(Evaluations!$H$3:$H$10000,$A15,Evaluations!$M$3:$M$10000,"پاسخ داده شده"))</f>
        <v/>
      </c>
      <c r="F15" s="79" t="str">
        <f>IF($A15="","",IFERROR(COUNTIFS(Evaluations!$H$3:$H$10000,$A15,Evaluations!$O$3:$O$10000,"رعایت شده")/(COUNTIFS(Evaluations!$H$3:$H$10000,$A15,Evaluations!$O$3:$O$10000,"رعایت شده")+COUNTIFS(Evaluations!$H$3:$H$10000,$A15,Evaluations!$O$3:$O$10000,"رعایت نشده")),""))</f>
        <v/>
      </c>
      <c r="G15" s="79" t="str">
        <f>IF($A15="","",IFERROR(ROUND(100*COUNTIFS(Evaluations!$H$3:$H$10000,$A15,Evaluations!$Q$3:$Q$10000,1)/(COUNTIFS(Evaluations!$H$3:$H$10000,$A15,Evaluations!$Q$3:$Q$10000,1)+COUNTIFS(Evaluations!$H$3:$H$10000,$A15,Evaluations!$Q$3:$Q$10000,0)),2),""))</f>
        <v/>
      </c>
      <c r="H15" s="79" t="str">
        <f>IF($A15="","",IFERROR(ROUND(100*COUNTIFS(Evaluations!$H$3:$H$10000,$A15,Evaluations!$R$3:$R$10000,1)/(COUNTIFS(Evaluations!$H$3:$H$10000,$A15,Evaluations!$R$3:$R$10000,1)+COUNTIFS(Evaluations!$H$3:$H$10000,$A15,Evaluations!$R$3:$R$10000,0)),2),""))</f>
        <v/>
      </c>
      <c r="I15" s="79" t="str">
        <f>IF($A15="","",IFERROR(ROUND(100*COUNTIFS(Evaluations!$H$3:$H$10000,$A15,Evaluations!$S$3:$S$10000,1)/(COUNTIFS(Evaluations!$H$3:$H$10000,$A15,Evaluations!$S$3:$S$10000,1)+COUNTIFS(Evaluations!$H$3:$H$10000,$A15,Evaluations!$S$3:$S$10000,0)),2),""))</f>
        <v/>
      </c>
      <c r="J15" s="79" t="str">
        <f>IF($A15="","",IFERROR(ROUND(100*COUNTIFS(Evaluations!$H$3:$H$10000,$A15,Evaluations!$T$3:$T$10000,1)/(COUNTIFS(Evaluations!$H$3:$H$10000,$A15,Evaluations!$T$3:$T$10000,1)+COUNTIFS(Evaluations!$H$3:$H$10000,$A15,Evaluations!$T$3:$T$10000,0)),2),""))</f>
        <v/>
      </c>
      <c r="K15" s="79" t="str">
        <f>IF($A15="","",COUNTIFS(Evaluations!$H$3:$H$10000,$A15,Evaluations!$M$3:$M$10000,"عدم پاسخ"))</f>
        <v/>
      </c>
      <c r="L15" s="79" t="str">
        <f>IF($A15="","",COUNTIFS(Evaluations!$H$3:$H$10000,$A15,Evaluations!$O$3:$O$10000,"رعایت نشده"))</f>
        <v/>
      </c>
    </row>
    <row r="16">
      <c r="A16" s="79"/>
      <c r="B16" s="79" t="str">
        <f>IF($A16="","",COUNTIFS(Evaluations!$H$3:$H$10000,$A16,Evaluations!$U$3:$U$10000,"&gt;=0",Evaluations!$U$3:$U$10000,"&lt;=100"))</f>
        <v/>
      </c>
      <c r="C16" s="79" t="str">
        <f>IF($A16="","",COUNTIFS('Agent Report'!$B$4:$B$53,$A16,'Agent Report'!$C$4:$C$53,"&gt;0"))</f>
        <v/>
      </c>
      <c r="D16" s="79" t="str">
        <f>IF(OR($A16="",B16=0),"",ROUND(SUMIFS(Evaluations!$U$3:$U$10000,Evaluations!$H$3:$H$10000,$A16)/B16,2))</f>
        <v/>
      </c>
      <c r="E16" s="79" t="str">
        <f>IF($A16="","",COUNTIFS(Evaluations!$H$3:$H$10000,$A16,Evaluations!$M$3:$M$10000,"پاسخ داده شده"))</f>
        <v/>
      </c>
      <c r="F16" s="79" t="str">
        <f>IF($A16="","",IFERROR(COUNTIFS(Evaluations!$H$3:$H$10000,$A16,Evaluations!$O$3:$O$10000,"رعایت شده")/(COUNTIFS(Evaluations!$H$3:$H$10000,$A16,Evaluations!$O$3:$O$10000,"رعایت شده")+COUNTIFS(Evaluations!$H$3:$H$10000,$A16,Evaluations!$O$3:$O$10000,"رعایت نشده")),""))</f>
        <v/>
      </c>
      <c r="G16" s="79" t="str">
        <f>IF($A16="","",IFERROR(ROUND(100*COUNTIFS(Evaluations!$H$3:$H$10000,$A16,Evaluations!$Q$3:$Q$10000,1)/(COUNTIFS(Evaluations!$H$3:$H$10000,$A16,Evaluations!$Q$3:$Q$10000,1)+COUNTIFS(Evaluations!$H$3:$H$10000,$A16,Evaluations!$Q$3:$Q$10000,0)),2),""))</f>
        <v/>
      </c>
      <c r="H16" s="79" t="str">
        <f>IF($A16="","",IFERROR(ROUND(100*COUNTIFS(Evaluations!$H$3:$H$10000,$A16,Evaluations!$R$3:$R$10000,1)/(COUNTIFS(Evaluations!$H$3:$H$10000,$A16,Evaluations!$R$3:$R$10000,1)+COUNTIFS(Evaluations!$H$3:$H$10000,$A16,Evaluations!$R$3:$R$10000,0)),2),""))</f>
        <v/>
      </c>
      <c r="I16" s="79" t="str">
        <f>IF($A16="","",IFERROR(ROUND(100*COUNTIFS(Evaluations!$H$3:$H$10000,$A16,Evaluations!$S$3:$S$10000,1)/(COUNTIFS(Evaluations!$H$3:$H$10000,$A16,Evaluations!$S$3:$S$10000,1)+COUNTIFS(Evaluations!$H$3:$H$10000,$A16,Evaluations!$S$3:$S$10000,0)),2),""))</f>
        <v/>
      </c>
      <c r="J16" s="79" t="str">
        <f>IF($A16="","",IFERROR(ROUND(100*COUNTIFS(Evaluations!$H$3:$H$10000,$A16,Evaluations!$T$3:$T$10000,1)/(COUNTIFS(Evaluations!$H$3:$H$10000,$A16,Evaluations!$T$3:$T$10000,1)+COUNTIFS(Evaluations!$H$3:$H$10000,$A16,Evaluations!$T$3:$T$10000,0)),2),""))</f>
        <v/>
      </c>
      <c r="K16" s="79" t="str">
        <f>IF($A16="","",COUNTIFS(Evaluations!$H$3:$H$10000,$A16,Evaluations!$M$3:$M$10000,"عدم پاسخ"))</f>
        <v/>
      </c>
      <c r="L16" s="79" t="str">
        <f>IF($A16="","",COUNTIFS(Evaluations!$H$3:$H$10000,$A16,Evaluations!$O$3:$O$10000,"رعایت نشده"))</f>
        <v/>
      </c>
    </row>
    <row r="17">
      <c r="A17" s="79"/>
      <c r="B17" s="79" t="str">
        <f>IF($A17="","",COUNTIFS(Evaluations!$H$3:$H$10000,$A17,Evaluations!$U$3:$U$10000,"&gt;=0",Evaluations!$U$3:$U$10000,"&lt;=100"))</f>
        <v/>
      </c>
      <c r="C17" s="79" t="str">
        <f>IF($A17="","",COUNTIFS('Agent Report'!$B$4:$B$53,$A17,'Agent Report'!$C$4:$C$53,"&gt;0"))</f>
        <v/>
      </c>
      <c r="D17" s="79" t="str">
        <f>IF(OR($A17="",B17=0),"",ROUND(SUMIFS(Evaluations!$U$3:$U$10000,Evaluations!$H$3:$H$10000,$A17)/B17,2))</f>
        <v/>
      </c>
      <c r="E17" s="79" t="str">
        <f>IF($A17="","",COUNTIFS(Evaluations!$H$3:$H$10000,$A17,Evaluations!$M$3:$M$10000,"پاسخ داده شده"))</f>
        <v/>
      </c>
      <c r="F17" s="79" t="str">
        <f>IF($A17="","",IFERROR(COUNTIFS(Evaluations!$H$3:$H$10000,$A17,Evaluations!$O$3:$O$10000,"رعایت شده")/(COUNTIFS(Evaluations!$H$3:$H$10000,$A17,Evaluations!$O$3:$O$10000,"رعایت شده")+COUNTIFS(Evaluations!$H$3:$H$10000,$A17,Evaluations!$O$3:$O$10000,"رعایت نشده")),""))</f>
        <v/>
      </c>
      <c r="G17" s="79" t="str">
        <f>IF($A17="","",IFERROR(ROUND(100*COUNTIFS(Evaluations!$H$3:$H$10000,$A17,Evaluations!$Q$3:$Q$10000,1)/(COUNTIFS(Evaluations!$H$3:$H$10000,$A17,Evaluations!$Q$3:$Q$10000,1)+COUNTIFS(Evaluations!$H$3:$H$10000,$A17,Evaluations!$Q$3:$Q$10000,0)),2),""))</f>
        <v/>
      </c>
      <c r="H17" s="79" t="str">
        <f>IF($A17="","",IFERROR(ROUND(100*COUNTIFS(Evaluations!$H$3:$H$10000,$A17,Evaluations!$R$3:$R$10000,1)/(COUNTIFS(Evaluations!$H$3:$H$10000,$A17,Evaluations!$R$3:$R$10000,1)+COUNTIFS(Evaluations!$H$3:$H$10000,$A17,Evaluations!$R$3:$R$10000,0)),2),""))</f>
        <v/>
      </c>
      <c r="I17" s="79" t="str">
        <f>IF($A17="","",IFERROR(ROUND(100*COUNTIFS(Evaluations!$H$3:$H$10000,$A17,Evaluations!$S$3:$S$10000,1)/(COUNTIFS(Evaluations!$H$3:$H$10000,$A17,Evaluations!$S$3:$S$10000,1)+COUNTIFS(Evaluations!$H$3:$H$10000,$A17,Evaluations!$S$3:$S$10000,0)),2),""))</f>
        <v/>
      </c>
      <c r="J17" s="79" t="str">
        <f>IF($A17="","",IFERROR(ROUND(100*COUNTIFS(Evaluations!$H$3:$H$10000,$A17,Evaluations!$T$3:$T$10000,1)/(COUNTIFS(Evaluations!$H$3:$H$10000,$A17,Evaluations!$T$3:$T$10000,1)+COUNTIFS(Evaluations!$H$3:$H$10000,$A17,Evaluations!$T$3:$T$10000,0)),2),""))</f>
        <v/>
      </c>
      <c r="K17" s="79" t="str">
        <f>IF($A17="","",COUNTIFS(Evaluations!$H$3:$H$10000,$A17,Evaluations!$M$3:$M$10000,"عدم پاسخ"))</f>
        <v/>
      </c>
      <c r="L17" s="79" t="str">
        <f>IF($A17="","",COUNTIFS(Evaluations!$H$3:$H$10000,$A17,Evaluations!$O$3:$O$10000,"رعایت نشده"))</f>
        <v/>
      </c>
    </row>
    <row r="18">
      <c r="A18" s="79"/>
      <c r="B18" s="79" t="str">
        <f>IF($A18="","",COUNTIFS(Evaluations!$H$3:$H$10000,$A18,Evaluations!$U$3:$U$10000,"&gt;=0",Evaluations!$U$3:$U$10000,"&lt;=100"))</f>
        <v/>
      </c>
      <c r="C18" s="79" t="str">
        <f>IF($A18="","",COUNTIFS('Agent Report'!$B$4:$B$53,$A18,'Agent Report'!$C$4:$C$53,"&gt;0"))</f>
        <v/>
      </c>
      <c r="D18" s="79" t="str">
        <f>IF(OR($A18="",B18=0),"",ROUND(SUMIFS(Evaluations!$U$3:$U$10000,Evaluations!$H$3:$H$10000,$A18)/B18,2))</f>
        <v/>
      </c>
      <c r="E18" s="79" t="str">
        <f>IF($A18="","",COUNTIFS(Evaluations!$H$3:$H$10000,$A18,Evaluations!$M$3:$M$10000,"پاسخ داده شده"))</f>
        <v/>
      </c>
      <c r="F18" s="79" t="str">
        <f>IF($A18="","",IFERROR(COUNTIFS(Evaluations!$H$3:$H$10000,$A18,Evaluations!$O$3:$O$10000,"رعایت شده")/(COUNTIFS(Evaluations!$H$3:$H$10000,$A18,Evaluations!$O$3:$O$10000,"رعایت شده")+COUNTIFS(Evaluations!$H$3:$H$10000,$A18,Evaluations!$O$3:$O$10000,"رعایت نشده")),""))</f>
        <v/>
      </c>
      <c r="G18" s="79" t="str">
        <f>IF($A18="","",IFERROR(ROUND(100*COUNTIFS(Evaluations!$H$3:$H$10000,$A18,Evaluations!$Q$3:$Q$10000,1)/(COUNTIFS(Evaluations!$H$3:$H$10000,$A18,Evaluations!$Q$3:$Q$10000,1)+COUNTIFS(Evaluations!$H$3:$H$10000,$A18,Evaluations!$Q$3:$Q$10000,0)),2),""))</f>
        <v/>
      </c>
      <c r="H18" s="79" t="str">
        <f>IF($A18="","",IFERROR(ROUND(100*COUNTIFS(Evaluations!$H$3:$H$10000,$A18,Evaluations!$R$3:$R$10000,1)/(COUNTIFS(Evaluations!$H$3:$H$10000,$A18,Evaluations!$R$3:$R$10000,1)+COUNTIFS(Evaluations!$H$3:$H$10000,$A18,Evaluations!$R$3:$R$10000,0)),2),""))</f>
        <v/>
      </c>
      <c r="I18" s="79" t="str">
        <f>IF($A18="","",IFERROR(ROUND(100*COUNTIFS(Evaluations!$H$3:$H$10000,$A18,Evaluations!$S$3:$S$10000,1)/(COUNTIFS(Evaluations!$H$3:$H$10000,$A18,Evaluations!$S$3:$S$10000,1)+COUNTIFS(Evaluations!$H$3:$H$10000,$A18,Evaluations!$S$3:$S$10000,0)),2),""))</f>
        <v/>
      </c>
      <c r="J18" s="79" t="str">
        <f>IF($A18="","",IFERROR(ROUND(100*COUNTIFS(Evaluations!$H$3:$H$10000,$A18,Evaluations!$T$3:$T$10000,1)/(COUNTIFS(Evaluations!$H$3:$H$10000,$A18,Evaluations!$T$3:$T$10000,1)+COUNTIFS(Evaluations!$H$3:$H$10000,$A18,Evaluations!$T$3:$T$10000,0)),2),""))</f>
        <v/>
      </c>
      <c r="K18" s="79" t="str">
        <f>IF($A18="","",COUNTIFS(Evaluations!$H$3:$H$10000,$A18,Evaluations!$M$3:$M$10000,"عدم پاسخ"))</f>
        <v/>
      </c>
      <c r="L18" s="79" t="str">
        <f>IF($A18="","",COUNTIFS(Evaluations!$H$3:$H$10000,$A18,Evaluations!$O$3:$O$10000,"رعایت نشده"))</f>
        <v/>
      </c>
    </row>
    <row r="19">
      <c r="A19" s="79"/>
      <c r="B19" s="79" t="str">
        <f>IF($A19="","",COUNTIFS(Evaluations!$H$3:$H$10000,$A19,Evaluations!$U$3:$U$10000,"&gt;=0",Evaluations!$U$3:$U$10000,"&lt;=100"))</f>
        <v/>
      </c>
      <c r="C19" s="79" t="str">
        <f>IF($A19="","",COUNTIFS('Agent Report'!$B$4:$B$53,$A19,'Agent Report'!$C$4:$C$53,"&gt;0"))</f>
        <v/>
      </c>
      <c r="D19" s="79" t="str">
        <f>IF(OR($A19="",B19=0),"",ROUND(SUMIFS(Evaluations!$U$3:$U$10000,Evaluations!$H$3:$H$10000,$A19)/B19,2))</f>
        <v/>
      </c>
      <c r="E19" s="79" t="str">
        <f>IF($A19="","",COUNTIFS(Evaluations!$H$3:$H$10000,$A19,Evaluations!$M$3:$M$10000,"پاسخ داده شده"))</f>
        <v/>
      </c>
      <c r="F19" s="79" t="str">
        <f>IF($A19="","",IFERROR(COUNTIFS(Evaluations!$H$3:$H$10000,$A19,Evaluations!$O$3:$O$10000,"رعایت شده")/(COUNTIFS(Evaluations!$H$3:$H$10000,$A19,Evaluations!$O$3:$O$10000,"رعایت شده")+COUNTIFS(Evaluations!$H$3:$H$10000,$A19,Evaluations!$O$3:$O$10000,"رعایت نشده")),""))</f>
        <v/>
      </c>
      <c r="G19" s="79" t="str">
        <f>IF($A19="","",IFERROR(ROUND(100*COUNTIFS(Evaluations!$H$3:$H$10000,$A19,Evaluations!$Q$3:$Q$10000,1)/(COUNTIFS(Evaluations!$H$3:$H$10000,$A19,Evaluations!$Q$3:$Q$10000,1)+COUNTIFS(Evaluations!$H$3:$H$10000,$A19,Evaluations!$Q$3:$Q$10000,0)),2),""))</f>
        <v/>
      </c>
      <c r="H19" s="79" t="str">
        <f>IF($A19="","",IFERROR(ROUND(100*COUNTIFS(Evaluations!$H$3:$H$10000,$A19,Evaluations!$R$3:$R$10000,1)/(COUNTIFS(Evaluations!$H$3:$H$10000,$A19,Evaluations!$R$3:$R$10000,1)+COUNTIFS(Evaluations!$H$3:$H$10000,$A19,Evaluations!$R$3:$R$10000,0)),2),""))</f>
        <v/>
      </c>
      <c r="I19" s="79" t="str">
        <f>IF($A19="","",IFERROR(ROUND(100*COUNTIFS(Evaluations!$H$3:$H$10000,$A19,Evaluations!$S$3:$S$10000,1)/(COUNTIFS(Evaluations!$H$3:$H$10000,$A19,Evaluations!$S$3:$S$10000,1)+COUNTIFS(Evaluations!$H$3:$H$10000,$A19,Evaluations!$S$3:$S$10000,0)),2),""))</f>
        <v/>
      </c>
      <c r="J19" s="79" t="str">
        <f>IF($A19="","",IFERROR(ROUND(100*COUNTIFS(Evaluations!$H$3:$H$10000,$A19,Evaluations!$T$3:$T$10000,1)/(COUNTIFS(Evaluations!$H$3:$H$10000,$A19,Evaluations!$T$3:$T$10000,1)+COUNTIFS(Evaluations!$H$3:$H$10000,$A19,Evaluations!$T$3:$T$10000,0)),2),""))</f>
        <v/>
      </c>
      <c r="K19" s="79" t="str">
        <f>IF($A19="","",COUNTIFS(Evaluations!$H$3:$H$10000,$A19,Evaluations!$M$3:$M$10000,"عدم پاسخ"))</f>
        <v/>
      </c>
      <c r="L19" s="79" t="str">
        <f>IF($A19="","",COUNTIFS(Evaluations!$H$3:$H$10000,$A19,Evaluations!$O$3:$O$10000,"رعایت نشده"))</f>
        <v/>
      </c>
    </row>
    <row r="20">
      <c r="A20" s="79"/>
      <c r="B20" s="79" t="str">
        <f>IF($A20="","",COUNTIFS(Evaluations!$H$3:$H$10000,$A20,Evaluations!$U$3:$U$10000,"&gt;=0",Evaluations!$U$3:$U$10000,"&lt;=100"))</f>
        <v/>
      </c>
      <c r="C20" s="79" t="str">
        <f>IF($A20="","",COUNTIFS('Agent Report'!$B$4:$B$53,$A20,'Agent Report'!$C$4:$C$53,"&gt;0"))</f>
        <v/>
      </c>
      <c r="D20" s="79" t="str">
        <f>IF(OR($A20="",B20=0),"",ROUND(SUMIFS(Evaluations!$U$3:$U$10000,Evaluations!$H$3:$H$10000,$A20)/B20,2))</f>
        <v/>
      </c>
      <c r="E20" s="79" t="str">
        <f>IF($A20="","",COUNTIFS(Evaluations!$H$3:$H$10000,$A20,Evaluations!$M$3:$M$10000,"پاسخ داده شده"))</f>
        <v/>
      </c>
      <c r="F20" s="79" t="str">
        <f>IF($A20="","",IFERROR(COUNTIFS(Evaluations!$H$3:$H$10000,$A20,Evaluations!$O$3:$O$10000,"رعایت شده")/(COUNTIFS(Evaluations!$H$3:$H$10000,$A20,Evaluations!$O$3:$O$10000,"رعایت شده")+COUNTIFS(Evaluations!$H$3:$H$10000,$A20,Evaluations!$O$3:$O$10000,"رعایت نشده")),""))</f>
        <v/>
      </c>
      <c r="G20" s="79" t="str">
        <f>IF($A20="","",IFERROR(ROUND(100*COUNTIFS(Evaluations!$H$3:$H$10000,$A20,Evaluations!$Q$3:$Q$10000,1)/(COUNTIFS(Evaluations!$H$3:$H$10000,$A20,Evaluations!$Q$3:$Q$10000,1)+COUNTIFS(Evaluations!$H$3:$H$10000,$A20,Evaluations!$Q$3:$Q$10000,0)),2),""))</f>
        <v/>
      </c>
      <c r="H20" s="79" t="str">
        <f>IF($A20="","",IFERROR(ROUND(100*COUNTIFS(Evaluations!$H$3:$H$10000,$A20,Evaluations!$R$3:$R$10000,1)/(COUNTIFS(Evaluations!$H$3:$H$10000,$A20,Evaluations!$R$3:$R$10000,1)+COUNTIFS(Evaluations!$H$3:$H$10000,$A20,Evaluations!$R$3:$R$10000,0)),2),""))</f>
        <v/>
      </c>
      <c r="I20" s="79" t="str">
        <f>IF($A20="","",IFERROR(ROUND(100*COUNTIFS(Evaluations!$H$3:$H$10000,$A20,Evaluations!$S$3:$S$10000,1)/(COUNTIFS(Evaluations!$H$3:$H$10000,$A20,Evaluations!$S$3:$S$10000,1)+COUNTIFS(Evaluations!$H$3:$H$10000,$A20,Evaluations!$S$3:$S$10000,0)),2),""))</f>
        <v/>
      </c>
      <c r="J20" s="79" t="str">
        <f>IF($A20="","",IFERROR(ROUND(100*COUNTIFS(Evaluations!$H$3:$H$10000,$A20,Evaluations!$T$3:$T$10000,1)/(COUNTIFS(Evaluations!$H$3:$H$10000,$A20,Evaluations!$T$3:$T$10000,1)+COUNTIFS(Evaluations!$H$3:$H$10000,$A20,Evaluations!$T$3:$T$10000,0)),2),""))</f>
        <v/>
      </c>
      <c r="K20" s="79" t="str">
        <f>IF($A20="","",COUNTIFS(Evaluations!$H$3:$H$10000,$A20,Evaluations!$M$3:$M$10000,"عدم پاسخ"))</f>
        <v/>
      </c>
      <c r="L20" s="79" t="str">
        <f>IF($A20="","",COUNTIFS(Evaluations!$H$3:$H$10000,$A20,Evaluations!$O$3:$O$10000,"رعایت نشده"))</f>
        <v/>
      </c>
    </row>
    <row r="21">
      <c r="A21" s="79"/>
      <c r="B21" s="79" t="str">
        <f>IF($A21="","",COUNTIFS(Evaluations!$H$3:$H$10000,$A21,Evaluations!$U$3:$U$10000,"&gt;=0",Evaluations!$U$3:$U$10000,"&lt;=100"))</f>
        <v/>
      </c>
      <c r="C21" s="79" t="str">
        <f>IF($A21="","",COUNTIFS('Agent Report'!$B$4:$B$53,$A21,'Agent Report'!$C$4:$C$53,"&gt;0"))</f>
        <v/>
      </c>
      <c r="D21" s="79" t="str">
        <f>IF(OR($A21="",B21=0),"",ROUND(SUMIFS(Evaluations!$U$3:$U$10000,Evaluations!$H$3:$H$10000,$A21)/B21,2))</f>
        <v/>
      </c>
      <c r="E21" s="79" t="str">
        <f>IF($A21="","",COUNTIFS(Evaluations!$H$3:$H$10000,$A21,Evaluations!$M$3:$M$10000,"پاسخ داده شده"))</f>
        <v/>
      </c>
      <c r="F21" s="79" t="str">
        <f>IF($A21="","",IFERROR(COUNTIFS(Evaluations!$H$3:$H$10000,$A21,Evaluations!$O$3:$O$10000,"رعایت شده")/(COUNTIFS(Evaluations!$H$3:$H$10000,$A21,Evaluations!$O$3:$O$10000,"رعایت شده")+COUNTIFS(Evaluations!$H$3:$H$10000,$A21,Evaluations!$O$3:$O$10000,"رعایت نشده")),""))</f>
        <v/>
      </c>
      <c r="G21" s="79" t="str">
        <f>IF($A21="","",IFERROR(ROUND(100*COUNTIFS(Evaluations!$H$3:$H$10000,$A21,Evaluations!$Q$3:$Q$10000,1)/(COUNTIFS(Evaluations!$H$3:$H$10000,$A21,Evaluations!$Q$3:$Q$10000,1)+COUNTIFS(Evaluations!$H$3:$H$10000,$A21,Evaluations!$Q$3:$Q$10000,0)),2),""))</f>
        <v/>
      </c>
      <c r="H21" s="79" t="str">
        <f>IF($A21="","",IFERROR(ROUND(100*COUNTIFS(Evaluations!$H$3:$H$10000,$A21,Evaluations!$R$3:$R$10000,1)/(COUNTIFS(Evaluations!$H$3:$H$10000,$A21,Evaluations!$R$3:$R$10000,1)+COUNTIFS(Evaluations!$H$3:$H$10000,$A21,Evaluations!$R$3:$R$10000,0)),2),""))</f>
        <v/>
      </c>
      <c r="I21" s="79" t="str">
        <f>IF($A21="","",IFERROR(ROUND(100*COUNTIFS(Evaluations!$H$3:$H$10000,$A21,Evaluations!$S$3:$S$10000,1)/(COUNTIFS(Evaluations!$H$3:$H$10000,$A21,Evaluations!$S$3:$S$10000,1)+COUNTIFS(Evaluations!$H$3:$H$10000,$A21,Evaluations!$S$3:$S$10000,0)),2),""))</f>
        <v/>
      </c>
      <c r="J21" s="79" t="str">
        <f>IF($A21="","",IFERROR(ROUND(100*COUNTIFS(Evaluations!$H$3:$H$10000,$A21,Evaluations!$T$3:$T$10000,1)/(COUNTIFS(Evaluations!$H$3:$H$10000,$A21,Evaluations!$T$3:$T$10000,1)+COUNTIFS(Evaluations!$H$3:$H$10000,$A21,Evaluations!$T$3:$T$10000,0)),2),""))</f>
        <v/>
      </c>
      <c r="K21" s="79" t="str">
        <f>IF($A21="","",COUNTIFS(Evaluations!$H$3:$H$10000,$A21,Evaluations!$M$3:$M$10000,"عدم پاسخ"))</f>
        <v/>
      </c>
      <c r="L21" s="79" t="str">
        <f>IF($A21="","",COUNTIFS(Evaluations!$H$3:$H$10000,$A21,Evaluations!$O$3:$O$10000,"رعایت نشده"))</f>
        <v/>
      </c>
    </row>
    <row r="22">
      <c r="A22" s="79"/>
      <c r="B22" s="79" t="str">
        <f>IF($A22="","",COUNTIFS(Evaluations!$H$3:$H$10000,$A22,Evaluations!$U$3:$U$10000,"&gt;=0",Evaluations!$U$3:$U$10000,"&lt;=100"))</f>
        <v/>
      </c>
      <c r="C22" s="79" t="str">
        <f>IF($A22="","",COUNTIFS('Agent Report'!$B$4:$B$53,$A22,'Agent Report'!$C$4:$C$53,"&gt;0"))</f>
        <v/>
      </c>
      <c r="D22" s="79" t="str">
        <f>IF(OR($A22="",B22=0),"",ROUND(SUMIFS(Evaluations!$U$3:$U$10000,Evaluations!$H$3:$H$10000,$A22)/B22,2))</f>
        <v/>
      </c>
      <c r="E22" s="79" t="str">
        <f>IF($A22="","",COUNTIFS(Evaluations!$H$3:$H$10000,$A22,Evaluations!$M$3:$M$10000,"پاسخ داده شده"))</f>
        <v/>
      </c>
      <c r="F22" s="79" t="str">
        <f>IF($A22="","",IFERROR(COUNTIFS(Evaluations!$H$3:$H$10000,$A22,Evaluations!$O$3:$O$10000,"رعایت شده")/(COUNTIFS(Evaluations!$H$3:$H$10000,$A22,Evaluations!$O$3:$O$10000,"رعایت شده")+COUNTIFS(Evaluations!$H$3:$H$10000,$A22,Evaluations!$O$3:$O$10000,"رعایت نشده")),""))</f>
        <v/>
      </c>
      <c r="G22" s="79" t="str">
        <f>IF($A22="","",IFERROR(ROUND(100*COUNTIFS(Evaluations!$H$3:$H$10000,$A22,Evaluations!$Q$3:$Q$10000,1)/(COUNTIFS(Evaluations!$H$3:$H$10000,$A22,Evaluations!$Q$3:$Q$10000,1)+COUNTIFS(Evaluations!$H$3:$H$10000,$A22,Evaluations!$Q$3:$Q$10000,0)),2),""))</f>
        <v/>
      </c>
      <c r="H22" s="79" t="str">
        <f>IF($A22="","",IFERROR(ROUND(100*COUNTIFS(Evaluations!$H$3:$H$10000,$A22,Evaluations!$R$3:$R$10000,1)/(COUNTIFS(Evaluations!$H$3:$H$10000,$A22,Evaluations!$R$3:$R$10000,1)+COUNTIFS(Evaluations!$H$3:$H$10000,$A22,Evaluations!$R$3:$R$10000,0)),2),""))</f>
        <v/>
      </c>
      <c r="I22" s="79" t="str">
        <f>IF($A22="","",IFERROR(ROUND(100*COUNTIFS(Evaluations!$H$3:$H$10000,$A22,Evaluations!$S$3:$S$10000,1)/(COUNTIFS(Evaluations!$H$3:$H$10000,$A22,Evaluations!$S$3:$S$10000,1)+COUNTIFS(Evaluations!$H$3:$H$10000,$A22,Evaluations!$S$3:$S$10000,0)),2),""))</f>
        <v/>
      </c>
      <c r="J22" s="79" t="str">
        <f>IF($A22="","",IFERROR(ROUND(100*COUNTIFS(Evaluations!$H$3:$H$10000,$A22,Evaluations!$T$3:$T$10000,1)/(COUNTIFS(Evaluations!$H$3:$H$10000,$A22,Evaluations!$T$3:$T$10000,1)+COUNTIFS(Evaluations!$H$3:$H$10000,$A22,Evaluations!$T$3:$T$10000,0)),2),""))</f>
        <v/>
      </c>
      <c r="K22" s="79" t="str">
        <f>IF($A22="","",COUNTIFS(Evaluations!$H$3:$H$10000,$A22,Evaluations!$M$3:$M$10000,"عدم پاسخ"))</f>
        <v/>
      </c>
      <c r="L22" s="79" t="str">
        <f>IF($A22="","",COUNTIFS(Evaluations!$H$3:$H$10000,$A22,Evaluations!$O$3:$O$10000,"رعایت نشده"))</f>
        <v/>
      </c>
    </row>
    <row r="23">
      <c r="A23" s="79"/>
      <c r="B23" s="79" t="str">
        <f>IF($A23="","",COUNTIFS(Evaluations!$H$3:$H$10000,$A23,Evaluations!$U$3:$U$10000,"&gt;=0",Evaluations!$U$3:$U$10000,"&lt;=100"))</f>
        <v/>
      </c>
      <c r="C23" s="79" t="str">
        <f>IF($A23="","",COUNTIFS('Agent Report'!$B$4:$B$53,$A23,'Agent Report'!$C$4:$C$53,"&gt;0"))</f>
        <v/>
      </c>
      <c r="D23" s="79" t="str">
        <f>IF(OR($A23="",B23=0),"",ROUND(SUMIFS(Evaluations!$U$3:$U$10000,Evaluations!$H$3:$H$10000,$A23)/B23,2))</f>
        <v/>
      </c>
      <c r="E23" s="79" t="str">
        <f>IF($A23="","",COUNTIFS(Evaluations!$H$3:$H$10000,$A23,Evaluations!$M$3:$M$10000,"پاسخ داده شده"))</f>
        <v/>
      </c>
      <c r="F23" s="79" t="str">
        <f>IF($A23="","",IFERROR(COUNTIFS(Evaluations!$H$3:$H$10000,$A23,Evaluations!$O$3:$O$10000,"رعایت شده")/(COUNTIFS(Evaluations!$H$3:$H$10000,$A23,Evaluations!$O$3:$O$10000,"رعایت شده")+COUNTIFS(Evaluations!$H$3:$H$10000,$A23,Evaluations!$O$3:$O$10000,"رعایت نشده")),""))</f>
        <v/>
      </c>
      <c r="G23" s="79" t="str">
        <f>IF($A23="","",IFERROR(ROUND(100*COUNTIFS(Evaluations!$H$3:$H$10000,$A23,Evaluations!$Q$3:$Q$10000,1)/(COUNTIFS(Evaluations!$H$3:$H$10000,$A23,Evaluations!$Q$3:$Q$10000,1)+COUNTIFS(Evaluations!$H$3:$H$10000,$A23,Evaluations!$Q$3:$Q$10000,0)),2),""))</f>
        <v/>
      </c>
      <c r="H23" s="79" t="str">
        <f>IF($A23="","",IFERROR(ROUND(100*COUNTIFS(Evaluations!$H$3:$H$10000,$A23,Evaluations!$R$3:$R$10000,1)/(COUNTIFS(Evaluations!$H$3:$H$10000,$A23,Evaluations!$R$3:$R$10000,1)+COUNTIFS(Evaluations!$H$3:$H$10000,$A23,Evaluations!$R$3:$R$10000,0)),2),""))</f>
        <v/>
      </c>
      <c r="I23" s="79" t="str">
        <f>IF($A23="","",IFERROR(ROUND(100*COUNTIFS(Evaluations!$H$3:$H$10000,$A23,Evaluations!$S$3:$S$10000,1)/(COUNTIFS(Evaluations!$H$3:$H$10000,$A23,Evaluations!$S$3:$S$10000,1)+COUNTIFS(Evaluations!$H$3:$H$10000,$A23,Evaluations!$S$3:$S$10000,0)),2),""))</f>
        <v/>
      </c>
      <c r="J23" s="79" t="str">
        <f>IF($A23="","",IFERROR(ROUND(100*COUNTIFS(Evaluations!$H$3:$H$10000,$A23,Evaluations!$T$3:$T$10000,1)/(COUNTIFS(Evaluations!$H$3:$H$10000,$A23,Evaluations!$T$3:$T$10000,1)+COUNTIFS(Evaluations!$H$3:$H$10000,$A23,Evaluations!$T$3:$T$10000,0)),2),""))</f>
        <v/>
      </c>
      <c r="K23" s="79" t="str">
        <f>IF($A23="","",COUNTIFS(Evaluations!$H$3:$H$10000,$A23,Evaluations!$M$3:$M$10000,"عدم پاسخ"))</f>
        <v/>
      </c>
      <c r="L23" s="79" t="str">
        <f>IF($A23="","",COUNTIFS(Evaluations!$H$3:$H$10000,$A23,Evaluations!$O$3:$O$10000,"رعایت نشده"))</f>
        <v/>
      </c>
    </row>
    <row r="24">
      <c r="A24" s="79"/>
      <c r="B24" s="79" t="str">
        <f>IF($A24="","",COUNTIFS(Evaluations!$H$3:$H$10000,$A24,Evaluations!$U$3:$U$10000,"&gt;=0",Evaluations!$U$3:$U$10000,"&lt;=100"))</f>
        <v/>
      </c>
      <c r="C24" s="79" t="str">
        <f>IF($A24="","",COUNTIFS('Agent Report'!$B$4:$B$53,$A24,'Agent Report'!$C$4:$C$53,"&gt;0"))</f>
        <v/>
      </c>
      <c r="D24" s="79" t="str">
        <f>IF(OR($A24="",B24=0),"",ROUND(SUMIFS(Evaluations!$U$3:$U$10000,Evaluations!$H$3:$H$10000,$A24)/B24,2))</f>
        <v/>
      </c>
      <c r="E24" s="79" t="str">
        <f>IF($A24="","",COUNTIFS(Evaluations!$H$3:$H$10000,$A24,Evaluations!$M$3:$M$10000,"پاسخ داده شده"))</f>
        <v/>
      </c>
      <c r="F24" s="79" t="str">
        <f>IF($A24="","",IFERROR(COUNTIFS(Evaluations!$H$3:$H$10000,$A24,Evaluations!$O$3:$O$10000,"رعایت شده")/(COUNTIFS(Evaluations!$H$3:$H$10000,$A24,Evaluations!$O$3:$O$10000,"رعایت شده")+COUNTIFS(Evaluations!$H$3:$H$10000,$A24,Evaluations!$O$3:$O$10000,"رعایت نشده")),""))</f>
        <v/>
      </c>
      <c r="G24" s="79" t="str">
        <f>IF($A24="","",IFERROR(ROUND(100*COUNTIFS(Evaluations!$H$3:$H$10000,$A24,Evaluations!$Q$3:$Q$10000,1)/(COUNTIFS(Evaluations!$H$3:$H$10000,$A24,Evaluations!$Q$3:$Q$10000,1)+COUNTIFS(Evaluations!$H$3:$H$10000,$A24,Evaluations!$Q$3:$Q$10000,0)),2),""))</f>
        <v/>
      </c>
      <c r="H24" s="79" t="str">
        <f>IF($A24="","",IFERROR(ROUND(100*COUNTIFS(Evaluations!$H$3:$H$10000,$A24,Evaluations!$R$3:$R$10000,1)/(COUNTIFS(Evaluations!$H$3:$H$10000,$A24,Evaluations!$R$3:$R$10000,1)+COUNTIFS(Evaluations!$H$3:$H$10000,$A24,Evaluations!$R$3:$R$10000,0)),2),""))</f>
        <v/>
      </c>
      <c r="I24" s="79" t="str">
        <f>IF($A24="","",IFERROR(ROUND(100*COUNTIFS(Evaluations!$H$3:$H$10000,$A24,Evaluations!$S$3:$S$10000,1)/(COUNTIFS(Evaluations!$H$3:$H$10000,$A24,Evaluations!$S$3:$S$10000,1)+COUNTIFS(Evaluations!$H$3:$H$10000,$A24,Evaluations!$S$3:$S$10000,0)),2),""))</f>
        <v/>
      </c>
      <c r="J24" s="79" t="str">
        <f>IF($A24="","",IFERROR(ROUND(100*COUNTIFS(Evaluations!$H$3:$H$10000,$A24,Evaluations!$T$3:$T$10000,1)/(COUNTIFS(Evaluations!$H$3:$H$10000,$A24,Evaluations!$T$3:$T$10000,1)+COUNTIFS(Evaluations!$H$3:$H$10000,$A24,Evaluations!$T$3:$T$10000,0)),2),""))</f>
        <v/>
      </c>
      <c r="K24" s="79" t="str">
        <f>IF($A24="","",COUNTIFS(Evaluations!$H$3:$H$10000,$A24,Evaluations!$M$3:$M$10000,"عدم پاسخ"))</f>
        <v/>
      </c>
      <c r="L24" s="79" t="str">
        <f>IF($A24="","",COUNTIFS(Evaluations!$H$3:$H$10000,$A24,Evaluations!$O$3:$O$10000,"رعایت نشده"))</f>
        <v/>
      </c>
    </row>
    <row r="25">
      <c r="A25" s="79"/>
      <c r="B25" s="79" t="str">
        <f>IF($A25="","",COUNTIFS(Evaluations!$H$3:$H$10000,$A25,Evaluations!$U$3:$U$10000,"&gt;=0",Evaluations!$U$3:$U$10000,"&lt;=100"))</f>
        <v/>
      </c>
      <c r="C25" s="79" t="str">
        <f>IF($A25="","",COUNTIFS('Agent Report'!$B$4:$B$53,$A25,'Agent Report'!$C$4:$C$53,"&gt;0"))</f>
        <v/>
      </c>
      <c r="D25" s="79" t="str">
        <f>IF(OR($A25="",B25=0),"",ROUND(SUMIFS(Evaluations!$U$3:$U$10000,Evaluations!$H$3:$H$10000,$A25)/B25,2))</f>
        <v/>
      </c>
      <c r="E25" s="79" t="str">
        <f>IF($A25="","",COUNTIFS(Evaluations!$H$3:$H$10000,$A25,Evaluations!$M$3:$M$10000,"پاسخ داده شده"))</f>
        <v/>
      </c>
      <c r="F25" s="79" t="str">
        <f>IF($A25="","",IFERROR(COUNTIFS(Evaluations!$H$3:$H$10000,$A25,Evaluations!$O$3:$O$10000,"رعایت شده")/(COUNTIFS(Evaluations!$H$3:$H$10000,$A25,Evaluations!$O$3:$O$10000,"رعایت شده")+COUNTIFS(Evaluations!$H$3:$H$10000,$A25,Evaluations!$O$3:$O$10000,"رعایت نشده")),""))</f>
        <v/>
      </c>
      <c r="G25" s="79" t="str">
        <f>IF($A25="","",IFERROR(ROUND(100*COUNTIFS(Evaluations!$H$3:$H$10000,$A25,Evaluations!$Q$3:$Q$10000,1)/(COUNTIFS(Evaluations!$H$3:$H$10000,$A25,Evaluations!$Q$3:$Q$10000,1)+COUNTIFS(Evaluations!$H$3:$H$10000,$A25,Evaluations!$Q$3:$Q$10000,0)),2),""))</f>
        <v/>
      </c>
      <c r="H25" s="79" t="str">
        <f>IF($A25="","",IFERROR(ROUND(100*COUNTIFS(Evaluations!$H$3:$H$10000,$A25,Evaluations!$R$3:$R$10000,1)/(COUNTIFS(Evaluations!$H$3:$H$10000,$A25,Evaluations!$R$3:$R$10000,1)+COUNTIFS(Evaluations!$H$3:$H$10000,$A25,Evaluations!$R$3:$R$10000,0)),2),""))</f>
        <v/>
      </c>
      <c r="I25" s="79" t="str">
        <f>IF($A25="","",IFERROR(ROUND(100*COUNTIFS(Evaluations!$H$3:$H$10000,$A25,Evaluations!$S$3:$S$10000,1)/(COUNTIFS(Evaluations!$H$3:$H$10000,$A25,Evaluations!$S$3:$S$10000,1)+COUNTIFS(Evaluations!$H$3:$H$10000,$A25,Evaluations!$S$3:$S$10000,0)),2),""))</f>
        <v/>
      </c>
      <c r="J25" s="79" t="str">
        <f>IF($A25="","",IFERROR(ROUND(100*COUNTIFS(Evaluations!$H$3:$H$10000,$A25,Evaluations!$T$3:$T$10000,1)/(COUNTIFS(Evaluations!$H$3:$H$10000,$A25,Evaluations!$T$3:$T$10000,1)+COUNTIFS(Evaluations!$H$3:$H$10000,$A25,Evaluations!$T$3:$T$10000,0)),2),""))</f>
        <v/>
      </c>
      <c r="K25" s="79" t="str">
        <f>IF($A25="","",COUNTIFS(Evaluations!$H$3:$H$10000,$A25,Evaluations!$M$3:$M$10000,"عدم پاسخ"))</f>
        <v/>
      </c>
      <c r="L25" s="79" t="str">
        <f>IF($A25="","",COUNTIFS(Evaluations!$H$3:$H$10000,$A25,Evaluations!$O$3:$O$10000,"رعایت نشده"))</f>
        <v/>
      </c>
    </row>
    <row r="26">
      <c r="A26" s="79"/>
      <c r="B26" s="79" t="str">
        <f>IF($A26="","",COUNTIFS(Evaluations!$H$3:$H$10000,$A26,Evaluations!$U$3:$U$10000,"&gt;=0",Evaluations!$U$3:$U$10000,"&lt;=100"))</f>
        <v/>
      </c>
      <c r="C26" s="79" t="str">
        <f>IF($A26="","",COUNTIFS('Agent Report'!$B$4:$B$53,$A26,'Agent Report'!$C$4:$C$53,"&gt;0"))</f>
        <v/>
      </c>
      <c r="D26" s="79" t="str">
        <f>IF(OR($A26="",B26=0),"",ROUND(SUMIFS(Evaluations!$U$3:$U$10000,Evaluations!$H$3:$H$10000,$A26)/B26,2))</f>
        <v/>
      </c>
      <c r="E26" s="79" t="str">
        <f>IF($A26="","",COUNTIFS(Evaluations!$H$3:$H$10000,$A26,Evaluations!$M$3:$M$10000,"پاسخ داده شده"))</f>
        <v/>
      </c>
      <c r="F26" s="79" t="str">
        <f>IF($A26="","",IFERROR(COUNTIFS(Evaluations!$H$3:$H$10000,$A26,Evaluations!$O$3:$O$10000,"رعایت شده")/(COUNTIFS(Evaluations!$H$3:$H$10000,$A26,Evaluations!$O$3:$O$10000,"رعایت شده")+COUNTIFS(Evaluations!$H$3:$H$10000,$A26,Evaluations!$O$3:$O$10000,"رعایت نشده")),""))</f>
        <v/>
      </c>
      <c r="G26" s="79" t="str">
        <f>IF($A26="","",IFERROR(ROUND(100*COUNTIFS(Evaluations!$H$3:$H$10000,$A26,Evaluations!$Q$3:$Q$10000,1)/(COUNTIFS(Evaluations!$H$3:$H$10000,$A26,Evaluations!$Q$3:$Q$10000,1)+COUNTIFS(Evaluations!$H$3:$H$10000,$A26,Evaluations!$Q$3:$Q$10000,0)),2),""))</f>
        <v/>
      </c>
      <c r="H26" s="79" t="str">
        <f>IF($A26="","",IFERROR(ROUND(100*COUNTIFS(Evaluations!$H$3:$H$10000,$A26,Evaluations!$R$3:$R$10000,1)/(COUNTIFS(Evaluations!$H$3:$H$10000,$A26,Evaluations!$R$3:$R$10000,1)+COUNTIFS(Evaluations!$H$3:$H$10000,$A26,Evaluations!$R$3:$R$10000,0)),2),""))</f>
        <v/>
      </c>
      <c r="I26" s="79" t="str">
        <f>IF($A26="","",IFERROR(ROUND(100*COUNTIFS(Evaluations!$H$3:$H$10000,$A26,Evaluations!$S$3:$S$10000,1)/(COUNTIFS(Evaluations!$H$3:$H$10000,$A26,Evaluations!$S$3:$S$10000,1)+COUNTIFS(Evaluations!$H$3:$H$10000,$A26,Evaluations!$S$3:$S$10000,0)),2),""))</f>
        <v/>
      </c>
      <c r="J26" s="79" t="str">
        <f>IF($A26="","",IFERROR(ROUND(100*COUNTIFS(Evaluations!$H$3:$H$10000,$A26,Evaluations!$T$3:$T$10000,1)/(COUNTIFS(Evaluations!$H$3:$H$10000,$A26,Evaluations!$T$3:$T$10000,1)+COUNTIFS(Evaluations!$H$3:$H$10000,$A26,Evaluations!$T$3:$T$10000,0)),2),""))</f>
        <v/>
      </c>
      <c r="K26" s="79" t="str">
        <f>IF($A26="","",COUNTIFS(Evaluations!$H$3:$H$10000,$A26,Evaluations!$M$3:$M$10000,"عدم پاسخ"))</f>
        <v/>
      </c>
      <c r="L26" s="79" t="str">
        <f>IF($A26="","",COUNTIFS(Evaluations!$H$3:$H$10000,$A26,Evaluations!$O$3:$O$10000,"رعایت نشده"))</f>
        <v/>
      </c>
    </row>
    <row r="27">
      <c r="A27" s="79"/>
      <c r="B27" s="79" t="str">
        <f>IF($A27="","",COUNTIFS(Evaluations!$H$3:$H$10000,$A27,Evaluations!$U$3:$U$10000,"&gt;=0",Evaluations!$U$3:$U$10000,"&lt;=100"))</f>
        <v/>
      </c>
      <c r="C27" s="79" t="str">
        <f>IF($A27="","",COUNTIFS('Agent Report'!$B$4:$B$53,$A27,'Agent Report'!$C$4:$C$53,"&gt;0"))</f>
        <v/>
      </c>
      <c r="D27" s="79" t="str">
        <f>IF(OR($A27="",B27=0),"",ROUND(SUMIFS(Evaluations!$U$3:$U$10000,Evaluations!$H$3:$H$10000,$A27)/B27,2))</f>
        <v/>
      </c>
      <c r="E27" s="79" t="str">
        <f>IF($A27="","",COUNTIFS(Evaluations!$H$3:$H$10000,$A27,Evaluations!$M$3:$M$10000,"پاسخ داده شده"))</f>
        <v/>
      </c>
      <c r="F27" s="79" t="str">
        <f>IF($A27="","",IFERROR(COUNTIFS(Evaluations!$H$3:$H$10000,$A27,Evaluations!$O$3:$O$10000,"رعایت شده")/(COUNTIFS(Evaluations!$H$3:$H$10000,$A27,Evaluations!$O$3:$O$10000,"رعایت شده")+COUNTIFS(Evaluations!$H$3:$H$10000,$A27,Evaluations!$O$3:$O$10000,"رعایت نشده")),""))</f>
        <v/>
      </c>
      <c r="G27" s="79" t="str">
        <f>IF($A27="","",IFERROR(ROUND(100*COUNTIFS(Evaluations!$H$3:$H$10000,$A27,Evaluations!$Q$3:$Q$10000,1)/(COUNTIFS(Evaluations!$H$3:$H$10000,$A27,Evaluations!$Q$3:$Q$10000,1)+COUNTIFS(Evaluations!$H$3:$H$10000,$A27,Evaluations!$Q$3:$Q$10000,0)),2),""))</f>
        <v/>
      </c>
      <c r="H27" s="79" t="str">
        <f>IF($A27="","",IFERROR(ROUND(100*COUNTIFS(Evaluations!$H$3:$H$10000,$A27,Evaluations!$R$3:$R$10000,1)/(COUNTIFS(Evaluations!$H$3:$H$10000,$A27,Evaluations!$R$3:$R$10000,1)+COUNTIFS(Evaluations!$H$3:$H$10000,$A27,Evaluations!$R$3:$R$10000,0)),2),""))</f>
        <v/>
      </c>
      <c r="I27" s="79" t="str">
        <f>IF($A27="","",IFERROR(ROUND(100*COUNTIFS(Evaluations!$H$3:$H$10000,$A27,Evaluations!$S$3:$S$10000,1)/(COUNTIFS(Evaluations!$H$3:$H$10000,$A27,Evaluations!$S$3:$S$10000,1)+COUNTIFS(Evaluations!$H$3:$H$10000,$A27,Evaluations!$S$3:$S$10000,0)),2),""))</f>
        <v/>
      </c>
      <c r="J27" s="79" t="str">
        <f>IF($A27="","",IFERROR(ROUND(100*COUNTIFS(Evaluations!$H$3:$H$10000,$A27,Evaluations!$T$3:$T$10000,1)/(COUNTIFS(Evaluations!$H$3:$H$10000,$A27,Evaluations!$T$3:$T$10000,1)+COUNTIFS(Evaluations!$H$3:$H$10000,$A27,Evaluations!$T$3:$T$10000,0)),2),""))</f>
        <v/>
      </c>
      <c r="K27" s="79" t="str">
        <f>IF($A27="","",COUNTIFS(Evaluations!$H$3:$H$10000,$A27,Evaluations!$M$3:$M$10000,"عدم پاسخ"))</f>
        <v/>
      </c>
      <c r="L27" s="79" t="str">
        <f>IF($A27="","",COUNTIFS(Evaluations!$H$3:$H$10000,$A27,Evaluations!$O$3:$O$10000,"رعایت نشده"))</f>
        <v/>
      </c>
    </row>
    <row r="28">
      <c r="A28" s="79"/>
      <c r="B28" s="79" t="str">
        <f>IF($A28="","",COUNTIFS(Evaluations!$H$3:$H$10000,$A28,Evaluations!$U$3:$U$10000,"&gt;=0",Evaluations!$U$3:$U$10000,"&lt;=100"))</f>
        <v/>
      </c>
      <c r="C28" s="79" t="str">
        <f>IF($A28="","",COUNTIFS('Agent Report'!$B$4:$B$53,$A28,'Agent Report'!$C$4:$C$53,"&gt;0"))</f>
        <v/>
      </c>
      <c r="D28" s="79" t="str">
        <f>IF(OR($A28="",B28=0),"",ROUND(SUMIFS(Evaluations!$U$3:$U$10000,Evaluations!$H$3:$H$10000,$A28)/B28,2))</f>
        <v/>
      </c>
      <c r="E28" s="79" t="str">
        <f>IF($A28="","",COUNTIFS(Evaluations!$H$3:$H$10000,$A28,Evaluations!$M$3:$M$10000,"پاسخ داده شده"))</f>
        <v/>
      </c>
      <c r="F28" s="79" t="str">
        <f>IF($A28="","",IFERROR(COUNTIFS(Evaluations!$H$3:$H$10000,$A28,Evaluations!$O$3:$O$10000,"رعایت شده")/(COUNTIFS(Evaluations!$H$3:$H$10000,$A28,Evaluations!$O$3:$O$10000,"رعایت شده")+COUNTIFS(Evaluations!$H$3:$H$10000,$A28,Evaluations!$O$3:$O$10000,"رعایت نشده")),""))</f>
        <v/>
      </c>
      <c r="G28" s="79" t="str">
        <f>IF($A28="","",IFERROR(ROUND(100*COUNTIFS(Evaluations!$H$3:$H$10000,$A28,Evaluations!$Q$3:$Q$10000,1)/(COUNTIFS(Evaluations!$H$3:$H$10000,$A28,Evaluations!$Q$3:$Q$10000,1)+COUNTIFS(Evaluations!$H$3:$H$10000,$A28,Evaluations!$Q$3:$Q$10000,0)),2),""))</f>
        <v/>
      </c>
      <c r="H28" s="79" t="str">
        <f>IF($A28="","",IFERROR(ROUND(100*COUNTIFS(Evaluations!$H$3:$H$10000,$A28,Evaluations!$R$3:$R$10000,1)/(COUNTIFS(Evaluations!$H$3:$H$10000,$A28,Evaluations!$R$3:$R$10000,1)+COUNTIFS(Evaluations!$H$3:$H$10000,$A28,Evaluations!$R$3:$R$10000,0)),2),""))</f>
        <v/>
      </c>
      <c r="I28" s="79" t="str">
        <f>IF($A28="","",IFERROR(ROUND(100*COUNTIFS(Evaluations!$H$3:$H$10000,$A28,Evaluations!$S$3:$S$10000,1)/(COUNTIFS(Evaluations!$H$3:$H$10000,$A28,Evaluations!$S$3:$S$10000,1)+COUNTIFS(Evaluations!$H$3:$H$10000,$A28,Evaluations!$S$3:$S$10000,0)),2),""))</f>
        <v/>
      </c>
      <c r="J28" s="79" t="str">
        <f>IF($A28="","",IFERROR(ROUND(100*COUNTIFS(Evaluations!$H$3:$H$10000,$A28,Evaluations!$T$3:$T$10000,1)/(COUNTIFS(Evaluations!$H$3:$H$10000,$A28,Evaluations!$T$3:$T$10000,1)+COUNTIFS(Evaluations!$H$3:$H$10000,$A28,Evaluations!$T$3:$T$10000,0)),2),""))</f>
        <v/>
      </c>
      <c r="K28" s="79" t="str">
        <f>IF($A28="","",COUNTIFS(Evaluations!$H$3:$H$10000,$A28,Evaluations!$M$3:$M$10000,"عدم پاسخ"))</f>
        <v/>
      </c>
      <c r="L28" s="79" t="str">
        <f>IF($A28="","",COUNTIFS(Evaluations!$H$3:$H$10000,$A28,Evaluations!$O$3:$O$10000,"رعایت نشده"))</f>
        <v/>
      </c>
    </row>
    <row r="29">
      <c r="A29" s="79"/>
      <c r="B29" s="79" t="str">
        <f>IF($A29="","",COUNTIFS(Evaluations!$H$3:$H$10000,$A29,Evaluations!$U$3:$U$10000,"&gt;=0",Evaluations!$U$3:$U$10000,"&lt;=100"))</f>
        <v/>
      </c>
      <c r="C29" s="79" t="str">
        <f>IF($A29="","",COUNTIFS('Agent Report'!$B$4:$B$53,$A29,'Agent Report'!$C$4:$C$53,"&gt;0"))</f>
        <v/>
      </c>
      <c r="D29" s="79" t="str">
        <f>IF(OR($A29="",B29=0),"",ROUND(SUMIFS(Evaluations!$U$3:$U$10000,Evaluations!$H$3:$H$10000,$A29)/B29,2))</f>
        <v/>
      </c>
      <c r="E29" s="79" t="str">
        <f>IF($A29="","",COUNTIFS(Evaluations!$H$3:$H$10000,$A29,Evaluations!$M$3:$M$10000,"پاسخ داده شده"))</f>
        <v/>
      </c>
      <c r="F29" s="79" t="str">
        <f>IF($A29="","",IFERROR(COUNTIFS(Evaluations!$H$3:$H$10000,$A29,Evaluations!$O$3:$O$10000,"رعایت شده")/(COUNTIFS(Evaluations!$H$3:$H$10000,$A29,Evaluations!$O$3:$O$10000,"رعایت شده")+COUNTIFS(Evaluations!$H$3:$H$10000,$A29,Evaluations!$O$3:$O$10000,"رعایت نشده")),""))</f>
        <v/>
      </c>
      <c r="G29" s="79" t="str">
        <f>IF($A29="","",IFERROR(ROUND(100*COUNTIFS(Evaluations!$H$3:$H$10000,$A29,Evaluations!$Q$3:$Q$10000,1)/(COUNTIFS(Evaluations!$H$3:$H$10000,$A29,Evaluations!$Q$3:$Q$10000,1)+COUNTIFS(Evaluations!$H$3:$H$10000,$A29,Evaluations!$Q$3:$Q$10000,0)),2),""))</f>
        <v/>
      </c>
      <c r="H29" s="79" t="str">
        <f>IF($A29="","",IFERROR(ROUND(100*COUNTIFS(Evaluations!$H$3:$H$10000,$A29,Evaluations!$R$3:$R$10000,1)/(COUNTIFS(Evaluations!$H$3:$H$10000,$A29,Evaluations!$R$3:$R$10000,1)+COUNTIFS(Evaluations!$H$3:$H$10000,$A29,Evaluations!$R$3:$R$10000,0)),2),""))</f>
        <v/>
      </c>
      <c r="I29" s="79" t="str">
        <f>IF($A29="","",IFERROR(ROUND(100*COUNTIFS(Evaluations!$H$3:$H$10000,$A29,Evaluations!$S$3:$S$10000,1)/(COUNTIFS(Evaluations!$H$3:$H$10000,$A29,Evaluations!$S$3:$S$10000,1)+COUNTIFS(Evaluations!$H$3:$H$10000,$A29,Evaluations!$S$3:$S$10000,0)),2),""))</f>
        <v/>
      </c>
      <c r="J29" s="79" t="str">
        <f>IF($A29="","",IFERROR(ROUND(100*COUNTIFS(Evaluations!$H$3:$H$10000,$A29,Evaluations!$T$3:$T$10000,1)/(COUNTIFS(Evaluations!$H$3:$H$10000,$A29,Evaluations!$T$3:$T$10000,1)+COUNTIFS(Evaluations!$H$3:$H$10000,$A29,Evaluations!$T$3:$T$10000,0)),2),""))</f>
        <v/>
      </c>
      <c r="K29" s="79" t="str">
        <f>IF($A29="","",COUNTIFS(Evaluations!$H$3:$H$10000,$A29,Evaluations!$M$3:$M$10000,"عدم پاسخ"))</f>
        <v/>
      </c>
      <c r="L29" s="79" t="str">
        <f>IF($A29="","",COUNTIFS(Evaluations!$H$3:$H$10000,$A29,Evaluations!$O$3:$O$10000,"رعایت نشده"))</f>
        <v/>
      </c>
    </row>
    <row r="30">
      <c r="A30" s="79"/>
      <c r="B30" s="79" t="str">
        <f>IF($A30="","",COUNTIFS(Evaluations!$H$3:$H$10000,$A30,Evaluations!$U$3:$U$10000,"&gt;=0",Evaluations!$U$3:$U$10000,"&lt;=100"))</f>
        <v/>
      </c>
      <c r="C30" s="79" t="str">
        <f>IF($A30="","",COUNTIFS('Agent Report'!$B$4:$B$53,$A30,'Agent Report'!$C$4:$C$53,"&gt;0"))</f>
        <v/>
      </c>
      <c r="D30" s="79" t="str">
        <f>IF(OR($A30="",B30=0),"",ROUND(SUMIFS(Evaluations!$U$3:$U$10000,Evaluations!$H$3:$H$10000,$A30)/B30,2))</f>
        <v/>
      </c>
      <c r="E30" s="79" t="str">
        <f>IF($A30="","",COUNTIFS(Evaluations!$H$3:$H$10000,$A30,Evaluations!$M$3:$M$10000,"پاسخ داده شده"))</f>
        <v/>
      </c>
      <c r="F30" s="79" t="str">
        <f>IF($A30="","",IFERROR(COUNTIFS(Evaluations!$H$3:$H$10000,$A30,Evaluations!$O$3:$O$10000,"رعایت شده")/(COUNTIFS(Evaluations!$H$3:$H$10000,$A30,Evaluations!$O$3:$O$10000,"رعایت شده")+COUNTIFS(Evaluations!$H$3:$H$10000,$A30,Evaluations!$O$3:$O$10000,"رعایت نشده")),""))</f>
        <v/>
      </c>
      <c r="G30" s="79" t="str">
        <f>IF($A30="","",IFERROR(ROUND(100*COUNTIFS(Evaluations!$H$3:$H$10000,$A30,Evaluations!$Q$3:$Q$10000,1)/(COUNTIFS(Evaluations!$H$3:$H$10000,$A30,Evaluations!$Q$3:$Q$10000,1)+COUNTIFS(Evaluations!$H$3:$H$10000,$A30,Evaluations!$Q$3:$Q$10000,0)),2),""))</f>
        <v/>
      </c>
      <c r="H30" s="79" t="str">
        <f>IF($A30="","",IFERROR(ROUND(100*COUNTIFS(Evaluations!$H$3:$H$10000,$A30,Evaluations!$R$3:$R$10000,1)/(COUNTIFS(Evaluations!$H$3:$H$10000,$A30,Evaluations!$R$3:$R$10000,1)+COUNTIFS(Evaluations!$H$3:$H$10000,$A30,Evaluations!$R$3:$R$10000,0)),2),""))</f>
        <v/>
      </c>
      <c r="I30" s="79" t="str">
        <f>IF($A30="","",IFERROR(ROUND(100*COUNTIFS(Evaluations!$H$3:$H$10000,$A30,Evaluations!$S$3:$S$10000,1)/(COUNTIFS(Evaluations!$H$3:$H$10000,$A30,Evaluations!$S$3:$S$10000,1)+COUNTIFS(Evaluations!$H$3:$H$10000,$A30,Evaluations!$S$3:$S$10000,0)),2),""))</f>
        <v/>
      </c>
      <c r="J30" s="79" t="str">
        <f>IF($A30="","",IFERROR(ROUND(100*COUNTIFS(Evaluations!$H$3:$H$10000,$A30,Evaluations!$T$3:$T$10000,1)/(COUNTIFS(Evaluations!$H$3:$H$10000,$A30,Evaluations!$T$3:$T$10000,1)+COUNTIFS(Evaluations!$H$3:$H$10000,$A30,Evaluations!$T$3:$T$10000,0)),2),""))</f>
        <v/>
      </c>
      <c r="K30" s="79" t="str">
        <f>IF($A30="","",COUNTIFS(Evaluations!$H$3:$H$10000,$A30,Evaluations!$M$3:$M$10000,"عدم پاسخ"))</f>
        <v/>
      </c>
      <c r="L30" s="79" t="str">
        <f>IF($A30="","",COUNTIFS(Evaluations!$H$3:$H$10000,$A30,Evaluations!$O$3:$O$10000,"رعایت نشده"))</f>
        <v/>
      </c>
    </row>
    <row r="31">
      <c r="A31" s="79"/>
      <c r="B31" s="79" t="str">
        <f>IF($A31="","",COUNTIFS(Evaluations!$H$3:$H$10000,$A31,Evaluations!$U$3:$U$10000,"&gt;=0",Evaluations!$U$3:$U$10000,"&lt;=100"))</f>
        <v/>
      </c>
      <c r="C31" s="79" t="str">
        <f>IF($A31="","",COUNTIFS('Agent Report'!$B$4:$B$53,$A31,'Agent Report'!$C$4:$C$53,"&gt;0"))</f>
        <v/>
      </c>
      <c r="D31" s="79" t="str">
        <f>IF(OR($A31="",B31=0),"",ROUND(SUMIFS(Evaluations!$U$3:$U$10000,Evaluations!$H$3:$H$10000,$A31)/B31,2))</f>
        <v/>
      </c>
      <c r="E31" s="79" t="str">
        <f>IF($A31="","",COUNTIFS(Evaluations!$H$3:$H$10000,$A31,Evaluations!$M$3:$M$10000,"پاسخ داده شده"))</f>
        <v/>
      </c>
      <c r="F31" s="79" t="str">
        <f>IF($A31="","",IFERROR(COUNTIFS(Evaluations!$H$3:$H$10000,$A31,Evaluations!$O$3:$O$10000,"رعایت شده")/(COUNTIFS(Evaluations!$H$3:$H$10000,$A31,Evaluations!$O$3:$O$10000,"رعایت شده")+COUNTIFS(Evaluations!$H$3:$H$10000,$A31,Evaluations!$O$3:$O$10000,"رعایت نشده")),""))</f>
        <v/>
      </c>
      <c r="G31" s="79" t="str">
        <f>IF($A31="","",IFERROR(ROUND(100*COUNTIFS(Evaluations!$H$3:$H$10000,$A31,Evaluations!$Q$3:$Q$10000,1)/(COUNTIFS(Evaluations!$H$3:$H$10000,$A31,Evaluations!$Q$3:$Q$10000,1)+COUNTIFS(Evaluations!$H$3:$H$10000,$A31,Evaluations!$Q$3:$Q$10000,0)),2),""))</f>
        <v/>
      </c>
      <c r="H31" s="79" t="str">
        <f>IF($A31="","",IFERROR(ROUND(100*COUNTIFS(Evaluations!$H$3:$H$10000,$A31,Evaluations!$R$3:$R$10000,1)/(COUNTIFS(Evaluations!$H$3:$H$10000,$A31,Evaluations!$R$3:$R$10000,1)+COUNTIFS(Evaluations!$H$3:$H$10000,$A31,Evaluations!$R$3:$R$10000,0)),2),""))</f>
        <v/>
      </c>
      <c r="I31" s="79" t="str">
        <f>IF($A31="","",IFERROR(ROUND(100*COUNTIFS(Evaluations!$H$3:$H$10000,$A31,Evaluations!$S$3:$S$10000,1)/(COUNTIFS(Evaluations!$H$3:$H$10000,$A31,Evaluations!$S$3:$S$10000,1)+COUNTIFS(Evaluations!$H$3:$H$10000,$A31,Evaluations!$S$3:$S$10000,0)),2),""))</f>
        <v/>
      </c>
      <c r="J31" s="79" t="str">
        <f>IF($A31="","",IFERROR(ROUND(100*COUNTIFS(Evaluations!$H$3:$H$10000,$A31,Evaluations!$T$3:$T$10000,1)/(COUNTIFS(Evaluations!$H$3:$H$10000,$A31,Evaluations!$T$3:$T$10000,1)+COUNTIFS(Evaluations!$H$3:$H$10000,$A31,Evaluations!$T$3:$T$10000,0)),2),""))</f>
        <v/>
      </c>
      <c r="K31" s="79" t="str">
        <f>IF($A31="","",COUNTIFS(Evaluations!$H$3:$H$10000,$A31,Evaluations!$M$3:$M$10000,"عدم پاسخ"))</f>
        <v/>
      </c>
      <c r="L31" s="79" t="str">
        <f>IF($A31="","",COUNTIFS(Evaluations!$H$3:$H$10000,$A31,Evaluations!$O$3:$O$10000,"رعایت نشده"))</f>
        <v/>
      </c>
    </row>
    <row r="32">
      <c r="A32" s="79"/>
      <c r="B32" s="79" t="str">
        <f>IF($A32="","",COUNTIFS(Evaluations!$H$3:$H$10000,$A32,Evaluations!$U$3:$U$10000,"&gt;=0",Evaluations!$U$3:$U$10000,"&lt;=100"))</f>
        <v/>
      </c>
      <c r="C32" s="79" t="str">
        <f>IF($A32="","",COUNTIFS('Agent Report'!$B$4:$B$53,$A32,'Agent Report'!$C$4:$C$53,"&gt;0"))</f>
        <v/>
      </c>
      <c r="D32" s="79" t="str">
        <f>IF(OR($A32="",B32=0),"",ROUND(SUMIFS(Evaluations!$U$3:$U$10000,Evaluations!$H$3:$H$10000,$A32)/B32,2))</f>
        <v/>
      </c>
      <c r="E32" s="79" t="str">
        <f>IF($A32="","",COUNTIFS(Evaluations!$H$3:$H$10000,$A32,Evaluations!$M$3:$M$10000,"پاسخ داده شده"))</f>
        <v/>
      </c>
      <c r="F32" s="79" t="str">
        <f>IF($A32="","",IFERROR(COUNTIFS(Evaluations!$H$3:$H$10000,$A32,Evaluations!$O$3:$O$10000,"رعایت شده")/(COUNTIFS(Evaluations!$H$3:$H$10000,$A32,Evaluations!$O$3:$O$10000,"رعایت شده")+COUNTIFS(Evaluations!$H$3:$H$10000,$A32,Evaluations!$O$3:$O$10000,"رعایت نشده")),""))</f>
        <v/>
      </c>
      <c r="G32" s="79" t="str">
        <f>IF($A32="","",IFERROR(ROUND(100*COUNTIFS(Evaluations!$H$3:$H$10000,$A32,Evaluations!$Q$3:$Q$10000,1)/(COUNTIFS(Evaluations!$H$3:$H$10000,$A32,Evaluations!$Q$3:$Q$10000,1)+COUNTIFS(Evaluations!$H$3:$H$10000,$A32,Evaluations!$Q$3:$Q$10000,0)),2),""))</f>
        <v/>
      </c>
      <c r="H32" s="79" t="str">
        <f>IF($A32="","",IFERROR(ROUND(100*COUNTIFS(Evaluations!$H$3:$H$10000,$A32,Evaluations!$R$3:$R$10000,1)/(COUNTIFS(Evaluations!$H$3:$H$10000,$A32,Evaluations!$R$3:$R$10000,1)+COUNTIFS(Evaluations!$H$3:$H$10000,$A32,Evaluations!$R$3:$R$10000,0)),2),""))</f>
        <v/>
      </c>
      <c r="I32" s="79" t="str">
        <f>IF($A32="","",IFERROR(ROUND(100*COUNTIFS(Evaluations!$H$3:$H$10000,$A32,Evaluations!$S$3:$S$10000,1)/(COUNTIFS(Evaluations!$H$3:$H$10000,$A32,Evaluations!$S$3:$S$10000,1)+COUNTIFS(Evaluations!$H$3:$H$10000,$A32,Evaluations!$S$3:$S$10000,0)),2),""))</f>
        <v/>
      </c>
      <c r="J32" s="79" t="str">
        <f>IF($A32="","",IFERROR(ROUND(100*COUNTIFS(Evaluations!$H$3:$H$10000,$A32,Evaluations!$T$3:$T$10000,1)/(COUNTIFS(Evaluations!$H$3:$H$10000,$A32,Evaluations!$T$3:$T$10000,1)+COUNTIFS(Evaluations!$H$3:$H$10000,$A32,Evaluations!$T$3:$T$10000,0)),2),""))</f>
        <v/>
      </c>
      <c r="K32" s="79" t="str">
        <f>IF($A32="","",COUNTIFS(Evaluations!$H$3:$H$10000,$A32,Evaluations!$M$3:$M$10000,"عدم پاسخ"))</f>
        <v/>
      </c>
      <c r="L32" s="79" t="str">
        <f>IF($A32="","",COUNTIFS(Evaluations!$H$3:$H$10000,$A32,Evaluations!$O$3:$O$10000,"رعایت نشده"))</f>
        <v/>
      </c>
    </row>
    <row r="33">
      <c r="A33" s="79"/>
      <c r="B33" s="79" t="str">
        <f>IF($A33="","",COUNTIFS(Evaluations!$H$3:$H$10000,$A33,Evaluations!$U$3:$U$10000,"&gt;=0",Evaluations!$U$3:$U$10000,"&lt;=100"))</f>
        <v/>
      </c>
      <c r="C33" s="79" t="str">
        <f>IF($A33="","",COUNTIFS('Agent Report'!$B$4:$B$53,$A33,'Agent Report'!$C$4:$C$53,"&gt;0"))</f>
        <v/>
      </c>
      <c r="D33" s="79" t="str">
        <f>IF(OR($A33="",B33=0),"",ROUND(SUMIFS(Evaluations!$U$3:$U$10000,Evaluations!$H$3:$H$10000,$A33)/B33,2))</f>
        <v/>
      </c>
      <c r="E33" s="79" t="str">
        <f>IF($A33="","",COUNTIFS(Evaluations!$H$3:$H$10000,$A33,Evaluations!$M$3:$M$10000,"پاسخ داده شده"))</f>
        <v/>
      </c>
      <c r="F33" s="79" t="str">
        <f>IF($A33="","",IFERROR(COUNTIFS(Evaluations!$H$3:$H$10000,$A33,Evaluations!$O$3:$O$10000,"رعایت شده")/(COUNTIFS(Evaluations!$H$3:$H$10000,$A33,Evaluations!$O$3:$O$10000,"رعایت شده")+COUNTIFS(Evaluations!$H$3:$H$10000,$A33,Evaluations!$O$3:$O$10000,"رعایت نشده")),""))</f>
        <v/>
      </c>
      <c r="G33" s="79" t="str">
        <f>IF($A33="","",IFERROR(ROUND(100*COUNTIFS(Evaluations!$H$3:$H$10000,$A33,Evaluations!$Q$3:$Q$10000,1)/(COUNTIFS(Evaluations!$H$3:$H$10000,$A33,Evaluations!$Q$3:$Q$10000,1)+COUNTIFS(Evaluations!$H$3:$H$10000,$A33,Evaluations!$Q$3:$Q$10000,0)),2),""))</f>
        <v/>
      </c>
      <c r="H33" s="79" t="str">
        <f>IF($A33="","",IFERROR(ROUND(100*COUNTIFS(Evaluations!$H$3:$H$10000,$A33,Evaluations!$R$3:$R$10000,1)/(COUNTIFS(Evaluations!$H$3:$H$10000,$A33,Evaluations!$R$3:$R$10000,1)+COUNTIFS(Evaluations!$H$3:$H$10000,$A33,Evaluations!$R$3:$R$10000,0)),2),""))</f>
        <v/>
      </c>
      <c r="I33" s="79" t="str">
        <f>IF($A33="","",IFERROR(ROUND(100*COUNTIFS(Evaluations!$H$3:$H$10000,$A33,Evaluations!$S$3:$S$10000,1)/(COUNTIFS(Evaluations!$H$3:$H$10000,$A33,Evaluations!$S$3:$S$10000,1)+COUNTIFS(Evaluations!$H$3:$H$10000,$A33,Evaluations!$S$3:$S$10000,0)),2),""))</f>
        <v/>
      </c>
      <c r="J33" s="79" t="str">
        <f>IF($A33="","",IFERROR(ROUND(100*COUNTIFS(Evaluations!$H$3:$H$10000,$A33,Evaluations!$T$3:$T$10000,1)/(COUNTIFS(Evaluations!$H$3:$H$10000,$A33,Evaluations!$T$3:$T$10000,1)+COUNTIFS(Evaluations!$H$3:$H$10000,$A33,Evaluations!$T$3:$T$10000,0)),2),""))</f>
        <v/>
      </c>
      <c r="K33" s="79" t="str">
        <f>IF($A33="","",COUNTIFS(Evaluations!$H$3:$H$10000,$A33,Evaluations!$M$3:$M$10000,"عدم پاسخ"))</f>
        <v/>
      </c>
      <c r="L33" s="79" t="str">
        <f>IF($A33="","",COUNTIFS(Evaluations!$H$3:$H$10000,$A33,Evaluations!$O$3:$O$10000,"رعایت نشده"))</f>
        <v/>
      </c>
    </row>
    <row r="34">
      <c r="A34" s="79"/>
      <c r="B34" s="79" t="str">
        <f>IF($A34="","",COUNTIFS(Evaluations!$H$3:$H$10000,$A34,Evaluations!$U$3:$U$10000,"&gt;=0",Evaluations!$U$3:$U$10000,"&lt;=100"))</f>
        <v/>
      </c>
      <c r="C34" s="79" t="str">
        <f>IF($A34="","",COUNTIFS('Agent Report'!$B$4:$B$53,$A34,'Agent Report'!$C$4:$C$53,"&gt;0"))</f>
        <v/>
      </c>
      <c r="D34" s="79" t="str">
        <f>IF(OR($A34="",B34=0),"",ROUND(SUMIFS(Evaluations!$U$3:$U$10000,Evaluations!$H$3:$H$10000,$A34)/B34,2))</f>
        <v/>
      </c>
      <c r="E34" s="79" t="str">
        <f>IF($A34="","",COUNTIFS(Evaluations!$H$3:$H$10000,$A34,Evaluations!$M$3:$M$10000,"پاسخ داده شده"))</f>
        <v/>
      </c>
      <c r="F34" s="79" t="str">
        <f>IF($A34="","",IFERROR(COUNTIFS(Evaluations!$H$3:$H$10000,$A34,Evaluations!$O$3:$O$10000,"رعایت شده")/(COUNTIFS(Evaluations!$H$3:$H$10000,$A34,Evaluations!$O$3:$O$10000,"رعایت شده")+COUNTIFS(Evaluations!$H$3:$H$10000,$A34,Evaluations!$O$3:$O$10000,"رعایت نشده")),""))</f>
        <v/>
      </c>
      <c r="G34" s="79" t="str">
        <f>IF($A34="","",IFERROR(ROUND(100*COUNTIFS(Evaluations!$H$3:$H$10000,$A34,Evaluations!$Q$3:$Q$10000,1)/(COUNTIFS(Evaluations!$H$3:$H$10000,$A34,Evaluations!$Q$3:$Q$10000,1)+COUNTIFS(Evaluations!$H$3:$H$10000,$A34,Evaluations!$Q$3:$Q$10000,0)),2),""))</f>
        <v/>
      </c>
      <c r="H34" s="79" t="str">
        <f>IF($A34="","",IFERROR(ROUND(100*COUNTIFS(Evaluations!$H$3:$H$10000,$A34,Evaluations!$R$3:$R$10000,1)/(COUNTIFS(Evaluations!$H$3:$H$10000,$A34,Evaluations!$R$3:$R$10000,1)+COUNTIFS(Evaluations!$H$3:$H$10000,$A34,Evaluations!$R$3:$R$10000,0)),2),""))</f>
        <v/>
      </c>
      <c r="I34" s="79" t="str">
        <f>IF($A34="","",IFERROR(ROUND(100*COUNTIFS(Evaluations!$H$3:$H$10000,$A34,Evaluations!$S$3:$S$10000,1)/(COUNTIFS(Evaluations!$H$3:$H$10000,$A34,Evaluations!$S$3:$S$10000,1)+COUNTIFS(Evaluations!$H$3:$H$10000,$A34,Evaluations!$S$3:$S$10000,0)),2),""))</f>
        <v/>
      </c>
      <c r="J34" s="79" t="str">
        <f>IF($A34="","",IFERROR(ROUND(100*COUNTIFS(Evaluations!$H$3:$H$10000,$A34,Evaluations!$T$3:$T$10000,1)/(COUNTIFS(Evaluations!$H$3:$H$10000,$A34,Evaluations!$T$3:$T$10000,1)+COUNTIFS(Evaluations!$H$3:$H$10000,$A34,Evaluations!$T$3:$T$10000,0)),2),""))</f>
        <v/>
      </c>
      <c r="K34" s="79" t="str">
        <f>IF($A34="","",COUNTIFS(Evaluations!$H$3:$H$10000,$A34,Evaluations!$M$3:$M$10000,"عدم پاسخ"))</f>
        <v/>
      </c>
      <c r="L34" s="79" t="str">
        <f>IF($A34="","",COUNTIFS(Evaluations!$H$3:$H$10000,$A34,Evaluations!$O$3:$O$10000,"رعایت نشده"))</f>
        <v/>
      </c>
    </row>
    <row r="35">
      <c r="A35" s="79"/>
      <c r="B35" s="79" t="str">
        <f>IF($A35="","",COUNTIFS(Evaluations!$H$3:$H$10000,$A35,Evaluations!$U$3:$U$10000,"&gt;=0",Evaluations!$U$3:$U$10000,"&lt;=100"))</f>
        <v/>
      </c>
      <c r="C35" s="79" t="str">
        <f>IF($A35="","",COUNTIFS('Agent Report'!$B$4:$B$53,$A35,'Agent Report'!$C$4:$C$53,"&gt;0"))</f>
        <v/>
      </c>
      <c r="D35" s="79" t="str">
        <f>IF(OR($A35="",B35=0),"",ROUND(SUMIFS(Evaluations!$U$3:$U$10000,Evaluations!$H$3:$H$10000,$A35)/B35,2))</f>
        <v/>
      </c>
      <c r="E35" s="79" t="str">
        <f>IF($A35="","",COUNTIFS(Evaluations!$H$3:$H$10000,$A35,Evaluations!$M$3:$M$10000,"پاسخ داده شده"))</f>
        <v/>
      </c>
      <c r="F35" s="79" t="str">
        <f>IF($A35="","",IFERROR(COUNTIFS(Evaluations!$H$3:$H$10000,$A35,Evaluations!$O$3:$O$10000,"رعایت شده")/(COUNTIFS(Evaluations!$H$3:$H$10000,$A35,Evaluations!$O$3:$O$10000,"رعایت شده")+COUNTIFS(Evaluations!$H$3:$H$10000,$A35,Evaluations!$O$3:$O$10000,"رعایت نشده")),""))</f>
        <v/>
      </c>
      <c r="G35" s="79" t="str">
        <f>IF($A35="","",IFERROR(ROUND(100*COUNTIFS(Evaluations!$H$3:$H$10000,$A35,Evaluations!$Q$3:$Q$10000,1)/(COUNTIFS(Evaluations!$H$3:$H$10000,$A35,Evaluations!$Q$3:$Q$10000,1)+COUNTIFS(Evaluations!$H$3:$H$10000,$A35,Evaluations!$Q$3:$Q$10000,0)),2),""))</f>
        <v/>
      </c>
      <c r="H35" s="79" t="str">
        <f>IF($A35="","",IFERROR(ROUND(100*COUNTIFS(Evaluations!$H$3:$H$10000,$A35,Evaluations!$R$3:$R$10000,1)/(COUNTIFS(Evaluations!$H$3:$H$10000,$A35,Evaluations!$R$3:$R$10000,1)+COUNTIFS(Evaluations!$H$3:$H$10000,$A35,Evaluations!$R$3:$R$10000,0)),2),""))</f>
        <v/>
      </c>
      <c r="I35" s="79" t="str">
        <f>IF($A35="","",IFERROR(ROUND(100*COUNTIFS(Evaluations!$H$3:$H$10000,$A35,Evaluations!$S$3:$S$10000,1)/(COUNTIFS(Evaluations!$H$3:$H$10000,$A35,Evaluations!$S$3:$S$10000,1)+COUNTIFS(Evaluations!$H$3:$H$10000,$A35,Evaluations!$S$3:$S$10000,0)),2),""))</f>
        <v/>
      </c>
      <c r="J35" s="79" t="str">
        <f>IF($A35="","",IFERROR(ROUND(100*COUNTIFS(Evaluations!$H$3:$H$10000,$A35,Evaluations!$T$3:$T$10000,1)/(COUNTIFS(Evaluations!$H$3:$H$10000,$A35,Evaluations!$T$3:$T$10000,1)+COUNTIFS(Evaluations!$H$3:$H$10000,$A35,Evaluations!$T$3:$T$10000,0)),2),""))</f>
        <v/>
      </c>
      <c r="K35" s="79" t="str">
        <f>IF($A35="","",COUNTIFS(Evaluations!$H$3:$H$10000,$A35,Evaluations!$M$3:$M$10000,"عدم پاسخ"))</f>
        <v/>
      </c>
      <c r="L35" s="79" t="str">
        <f>IF($A35="","",COUNTIFS(Evaluations!$H$3:$H$10000,$A35,Evaluations!$O$3:$O$10000,"رعایت نشده"))</f>
        <v/>
      </c>
    </row>
    <row r="36">
      <c r="A36" s="79"/>
      <c r="B36" s="79" t="str">
        <f>IF($A36="","",COUNTIFS(Evaluations!$H$3:$H$10000,$A36,Evaluations!$U$3:$U$10000,"&gt;=0",Evaluations!$U$3:$U$10000,"&lt;=100"))</f>
        <v/>
      </c>
      <c r="C36" s="79" t="str">
        <f>IF($A36="","",COUNTIFS('Agent Report'!$B$4:$B$53,$A36,'Agent Report'!$C$4:$C$53,"&gt;0"))</f>
        <v/>
      </c>
      <c r="D36" s="79" t="str">
        <f>IF(OR($A36="",B36=0),"",ROUND(SUMIFS(Evaluations!$U$3:$U$10000,Evaluations!$H$3:$H$10000,$A36)/B36,2))</f>
        <v/>
      </c>
      <c r="E36" s="79" t="str">
        <f>IF($A36="","",COUNTIFS(Evaluations!$H$3:$H$10000,$A36,Evaluations!$M$3:$M$10000,"پاسخ داده شده"))</f>
        <v/>
      </c>
      <c r="F36" s="79" t="str">
        <f>IF($A36="","",IFERROR(COUNTIFS(Evaluations!$H$3:$H$10000,$A36,Evaluations!$O$3:$O$10000,"رعایت شده")/(COUNTIFS(Evaluations!$H$3:$H$10000,$A36,Evaluations!$O$3:$O$10000,"رعایت شده")+COUNTIFS(Evaluations!$H$3:$H$10000,$A36,Evaluations!$O$3:$O$10000,"رعایت نشده")),""))</f>
        <v/>
      </c>
      <c r="G36" s="79" t="str">
        <f>IF($A36="","",IFERROR(ROUND(100*COUNTIFS(Evaluations!$H$3:$H$10000,$A36,Evaluations!$Q$3:$Q$10000,1)/(COUNTIFS(Evaluations!$H$3:$H$10000,$A36,Evaluations!$Q$3:$Q$10000,1)+COUNTIFS(Evaluations!$H$3:$H$10000,$A36,Evaluations!$Q$3:$Q$10000,0)),2),""))</f>
        <v/>
      </c>
      <c r="H36" s="79" t="str">
        <f>IF($A36="","",IFERROR(ROUND(100*COUNTIFS(Evaluations!$H$3:$H$10000,$A36,Evaluations!$R$3:$R$10000,1)/(COUNTIFS(Evaluations!$H$3:$H$10000,$A36,Evaluations!$R$3:$R$10000,1)+COUNTIFS(Evaluations!$H$3:$H$10000,$A36,Evaluations!$R$3:$R$10000,0)),2),""))</f>
        <v/>
      </c>
      <c r="I36" s="79" t="str">
        <f>IF($A36="","",IFERROR(ROUND(100*COUNTIFS(Evaluations!$H$3:$H$10000,$A36,Evaluations!$S$3:$S$10000,1)/(COUNTIFS(Evaluations!$H$3:$H$10000,$A36,Evaluations!$S$3:$S$10000,1)+COUNTIFS(Evaluations!$H$3:$H$10000,$A36,Evaluations!$S$3:$S$10000,0)),2),""))</f>
        <v/>
      </c>
      <c r="J36" s="79" t="str">
        <f>IF($A36="","",IFERROR(ROUND(100*COUNTIFS(Evaluations!$H$3:$H$10000,$A36,Evaluations!$T$3:$T$10000,1)/(COUNTIFS(Evaluations!$H$3:$H$10000,$A36,Evaluations!$T$3:$T$10000,1)+COUNTIFS(Evaluations!$H$3:$H$10000,$A36,Evaluations!$T$3:$T$10000,0)),2),""))</f>
        <v/>
      </c>
      <c r="K36" s="79" t="str">
        <f>IF($A36="","",COUNTIFS(Evaluations!$H$3:$H$10000,$A36,Evaluations!$M$3:$M$10000,"عدم پاسخ"))</f>
        <v/>
      </c>
      <c r="L36" s="79" t="str">
        <f>IF($A36="","",COUNTIFS(Evaluations!$H$3:$H$10000,$A36,Evaluations!$O$3:$O$10000,"رعایت نشده"))</f>
        <v/>
      </c>
    </row>
    <row r="37">
      <c r="A37" s="79"/>
      <c r="B37" s="79" t="str">
        <f>IF($A37="","",COUNTIFS(Evaluations!$H$3:$H$10000,$A37,Evaluations!$U$3:$U$10000,"&gt;=0",Evaluations!$U$3:$U$10000,"&lt;=100"))</f>
        <v/>
      </c>
      <c r="C37" s="79" t="str">
        <f>IF($A37="","",COUNTIFS('Agent Report'!$B$4:$B$53,$A37,'Agent Report'!$C$4:$C$53,"&gt;0"))</f>
        <v/>
      </c>
      <c r="D37" s="79" t="str">
        <f>IF(OR($A37="",B37=0),"",ROUND(SUMIFS(Evaluations!$U$3:$U$10000,Evaluations!$H$3:$H$10000,$A37)/B37,2))</f>
        <v/>
      </c>
      <c r="E37" s="79" t="str">
        <f>IF($A37="","",COUNTIFS(Evaluations!$H$3:$H$10000,$A37,Evaluations!$M$3:$M$10000,"پاسخ داده شده"))</f>
        <v/>
      </c>
      <c r="F37" s="79" t="str">
        <f>IF($A37="","",IFERROR(COUNTIFS(Evaluations!$H$3:$H$10000,$A37,Evaluations!$O$3:$O$10000,"رعایت شده")/(COUNTIFS(Evaluations!$H$3:$H$10000,$A37,Evaluations!$O$3:$O$10000,"رعایت شده")+COUNTIFS(Evaluations!$H$3:$H$10000,$A37,Evaluations!$O$3:$O$10000,"رعایت نشده")),""))</f>
        <v/>
      </c>
      <c r="G37" s="79" t="str">
        <f>IF($A37="","",IFERROR(ROUND(100*COUNTIFS(Evaluations!$H$3:$H$10000,$A37,Evaluations!$Q$3:$Q$10000,1)/(COUNTIFS(Evaluations!$H$3:$H$10000,$A37,Evaluations!$Q$3:$Q$10000,1)+COUNTIFS(Evaluations!$H$3:$H$10000,$A37,Evaluations!$Q$3:$Q$10000,0)),2),""))</f>
        <v/>
      </c>
      <c r="H37" s="79" t="str">
        <f>IF($A37="","",IFERROR(ROUND(100*COUNTIFS(Evaluations!$H$3:$H$10000,$A37,Evaluations!$R$3:$R$10000,1)/(COUNTIFS(Evaluations!$H$3:$H$10000,$A37,Evaluations!$R$3:$R$10000,1)+COUNTIFS(Evaluations!$H$3:$H$10000,$A37,Evaluations!$R$3:$R$10000,0)),2),""))</f>
        <v/>
      </c>
      <c r="I37" s="79" t="str">
        <f>IF($A37="","",IFERROR(ROUND(100*COUNTIFS(Evaluations!$H$3:$H$10000,$A37,Evaluations!$S$3:$S$10000,1)/(COUNTIFS(Evaluations!$H$3:$H$10000,$A37,Evaluations!$S$3:$S$10000,1)+COUNTIFS(Evaluations!$H$3:$H$10000,$A37,Evaluations!$S$3:$S$10000,0)),2),""))</f>
        <v/>
      </c>
      <c r="J37" s="79" t="str">
        <f>IF($A37="","",IFERROR(ROUND(100*COUNTIFS(Evaluations!$H$3:$H$10000,$A37,Evaluations!$T$3:$T$10000,1)/(COUNTIFS(Evaluations!$H$3:$H$10000,$A37,Evaluations!$T$3:$T$10000,1)+COUNTIFS(Evaluations!$H$3:$H$10000,$A37,Evaluations!$T$3:$T$10000,0)),2),""))</f>
        <v/>
      </c>
      <c r="K37" s="79" t="str">
        <f>IF($A37="","",COUNTIFS(Evaluations!$H$3:$H$10000,$A37,Evaluations!$M$3:$M$10000,"عدم پاسخ"))</f>
        <v/>
      </c>
      <c r="L37" s="79" t="str">
        <f>IF($A37="","",COUNTIFS(Evaluations!$H$3:$H$10000,$A37,Evaluations!$O$3:$O$10000,"رعایت نشده"))</f>
        <v/>
      </c>
    </row>
    <row r="38">
      <c r="A38" s="79"/>
      <c r="B38" s="79" t="str">
        <f>IF($A38="","",COUNTIFS(Evaluations!$H$3:$H$10000,$A38,Evaluations!$U$3:$U$10000,"&gt;=0",Evaluations!$U$3:$U$10000,"&lt;=100"))</f>
        <v/>
      </c>
      <c r="C38" s="79" t="str">
        <f>IF($A38="","",COUNTIFS('Agent Report'!$B$4:$B$53,$A38,'Agent Report'!$C$4:$C$53,"&gt;0"))</f>
        <v/>
      </c>
      <c r="D38" s="79" t="str">
        <f>IF(OR($A38="",B38=0),"",ROUND(SUMIFS(Evaluations!$U$3:$U$10000,Evaluations!$H$3:$H$10000,$A38)/B38,2))</f>
        <v/>
      </c>
      <c r="E38" s="79" t="str">
        <f>IF($A38="","",COUNTIFS(Evaluations!$H$3:$H$10000,$A38,Evaluations!$M$3:$M$10000,"پاسخ داده شده"))</f>
        <v/>
      </c>
      <c r="F38" s="79" t="str">
        <f>IF($A38="","",IFERROR(COUNTIFS(Evaluations!$H$3:$H$10000,$A38,Evaluations!$O$3:$O$10000,"رعایت شده")/(COUNTIFS(Evaluations!$H$3:$H$10000,$A38,Evaluations!$O$3:$O$10000,"رعایت شده")+COUNTIFS(Evaluations!$H$3:$H$10000,$A38,Evaluations!$O$3:$O$10000,"رعایت نشده")),""))</f>
        <v/>
      </c>
      <c r="G38" s="79" t="str">
        <f>IF($A38="","",IFERROR(ROUND(100*COUNTIFS(Evaluations!$H$3:$H$10000,$A38,Evaluations!$Q$3:$Q$10000,1)/(COUNTIFS(Evaluations!$H$3:$H$10000,$A38,Evaluations!$Q$3:$Q$10000,1)+COUNTIFS(Evaluations!$H$3:$H$10000,$A38,Evaluations!$Q$3:$Q$10000,0)),2),""))</f>
        <v/>
      </c>
      <c r="H38" s="79" t="str">
        <f>IF($A38="","",IFERROR(ROUND(100*COUNTIFS(Evaluations!$H$3:$H$10000,$A38,Evaluations!$R$3:$R$10000,1)/(COUNTIFS(Evaluations!$H$3:$H$10000,$A38,Evaluations!$R$3:$R$10000,1)+COUNTIFS(Evaluations!$H$3:$H$10000,$A38,Evaluations!$R$3:$R$10000,0)),2),""))</f>
        <v/>
      </c>
      <c r="I38" s="79" t="str">
        <f>IF($A38="","",IFERROR(ROUND(100*COUNTIFS(Evaluations!$H$3:$H$10000,$A38,Evaluations!$S$3:$S$10000,1)/(COUNTIFS(Evaluations!$H$3:$H$10000,$A38,Evaluations!$S$3:$S$10000,1)+COUNTIFS(Evaluations!$H$3:$H$10000,$A38,Evaluations!$S$3:$S$10000,0)),2),""))</f>
        <v/>
      </c>
      <c r="J38" s="79" t="str">
        <f>IF($A38="","",IFERROR(ROUND(100*COUNTIFS(Evaluations!$H$3:$H$10000,$A38,Evaluations!$T$3:$T$10000,1)/(COUNTIFS(Evaluations!$H$3:$H$10000,$A38,Evaluations!$T$3:$T$10000,1)+COUNTIFS(Evaluations!$H$3:$H$10000,$A38,Evaluations!$T$3:$T$10000,0)),2),""))</f>
        <v/>
      </c>
      <c r="K38" s="79" t="str">
        <f>IF($A38="","",COUNTIFS(Evaluations!$H$3:$H$10000,$A38,Evaluations!$M$3:$M$10000,"عدم پاسخ"))</f>
        <v/>
      </c>
      <c r="L38" s="79" t="str">
        <f>IF($A38="","",COUNTIFS(Evaluations!$H$3:$H$10000,$A38,Evaluations!$O$3:$O$10000,"رعایت نشده"))</f>
        <v/>
      </c>
    </row>
    <row r="39">
      <c r="A39" s="79"/>
      <c r="B39" s="79" t="str">
        <f>IF($A39="","",COUNTIFS(Evaluations!$H$3:$H$10000,$A39,Evaluations!$U$3:$U$10000,"&gt;=0",Evaluations!$U$3:$U$10000,"&lt;=100"))</f>
        <v/>
      </c>
      <c r="C39" s="79" t="str">
        <f>IF($A39="","",COUNTIFS('Agent Report'!$B$4:$B$53,$A39,'Agent Report'!$C$4:$C$53,"&gt;0"))</f>
        <v/>
      </c>
      <c r="D39" s="79" t="str">
        <f>IF(OR($A39="",B39=0),"",ROUND(SUMIFS(Evaluations!$U$3:$U$10000,Evaluations!$H$3:$H$10000,$A39)/B39,2))</f>
        <v/>
      </c>
      <c r="E39" s="79" t="str">
        <f>IF($A39="","",COUNTIFS(Evaluations!$H$3:$H$10000,$A39,Evaluations!$M$3:$M$10000,"پاسخ داده شده"))</f>
        <v/>
      </c>
      <c r="F39" s="79" t="str">
        <f>IF($A39="","",IFERROR(COUNTIFS(Evaluations!$H$3:$H$10000,$A39,Evaluations!$O$3:$O$10000,"رعایت شده")/(COUNTIFS(Evaluations!$H$3:$H$10000,$A39,Evaluations!$O$3:$O$10000,"رعایت شده")+COUNTIFS(Evaluations!$H$3:$H$10000,$A39,Evaluations!$O$3:$O$10000,"رعایت نشده")),""))</f>
        <v/>
      </c>
      <c r="G39" s="79" t="str">
        <f>IF($A39="","",IFERROR(ROUND(100*COUNTIFS(Evaluations!$H$3:$H$10000,$A39,Evaluations!$Q$3:$Q$10000,1)/(COUNTIFS(Evaluations!$H$3:$H$10000,$A39,Evaluations!$Q$3:$Q$10000,1)+COUNTIFS(Evaluations!$H$3:$H$10000,$A39,Evaluations!$Q$3:$Q$10000,0)),2),""))</f>
        <v/>
      </c>
      <c r="H39" s="79" t="str">
        <f>IF($A39="","",IFERROR(ROUND(100*COUNTIFS(Evaluations!$H$3:$H$10000,$A39,Evaluations!$R$3:$R$10000,1)/(COUNTIFS(Evaluations!$H$3:$H$10000,$A39,Evaluations!$R$3:$R$10000,1)+COUNTIFS(Evaluations!$H$3:$H$10000,$A39,Evaluations!$R$3:$R$10000,0)),2),""))</f>
        <v/>
      </c>
      <c r="I39" s="79" t="str">
        <f>IF($A39="","",IFERROR(ROUND(100*COUNTIFS(Evaluations!$H$3:$H$10000,$A39,Evaluations!$S$3:$S$10000,1)/(COUNTIFS(Evaluations!$H$3:$H$10000,$A39,Evaluations!$S$3:$S$10000,1)+COUNTIFS(Evaluations!$H$3:$H$10000,$A39,Evaluations!$S$3:$S$10000,0)),2),""))</f>
        <v/>
      </c>
      <c r="J39" s="79" t="str">
        <f>IF($A39="","",IFERROR(ROUND(100*COUNTIFS(Evaluations!$H$3:$H$10000,$A39,Evaluations!$T$3:$T$10000,1)/(COUNTIFS(Evaluations!$H$3:$H$10000,$A39,Evaluations!$T$3:$T$10000,1)+COUNTIFS(Evaluations!$H$3:$H$10000,$A39,Evaluations!$T$3:$T$10000,0)),2),""))</f>
        <v/>
      </c>
      <c r="K39" s="79" t="str">
        <f>IF($A39="","",COUNTIFS(Evaluations!$H$3:$H$10000,$A39,Evaluations!$M$3:$M$10000,"عدم پاسخ"))</f>
        <v/>
      </c>
      <c r="L39" s="79" t="str">
        <f>IF($A39="","",COUNTIFS(Evaluations!$H$3:$H$10000,$A39,Evaluations!$O$3:$O$10000,"رعایت نشده"))</f>
        <v/>
      </c>
    </row>
    <row r="40">
      <c r="A40" s="79"/>
      <c r="B40" s="79" t="str">
        <f>IF($A40="","",COUNTIFS(Evaluations!$H$3:$H$10000,$A40,Evaluations!$U$3:$U$10000,"&gt;=0",Evaluations!$U$3:$U$10000,"&lt;=100"))</f>
        <v/>
      </c>
      <c r="C40" s="79" t="str">
        <f>IF($A40="","",COUNTIFS('Agent Report'!$B$4:$B$53,$A40,'Agent Report'!$C$4:$C$53,"&gt;0"))</f>
        <v/>
      </c>
      <c r="D40" s="79" t="str">
        <f>IF(OR($A40="",B40=0),"",ROUND(SUMIFS(Evaluations!$U$3:$U$10000,Evaluations!$H$3:$H$10000,$A40)/B40,2))</f>
        <v/>
      </c>
      <c r="E40" s="79" t="str">
        <f>IF($A40="","",COUNTIFS(Evaluations!$H$3:$H$10000,$A40,Evaluations!$M$3:$M$10000,"پاسخ داده شده"))</f>
        <v/>
      </c>
      <c r="F40" s="79" t="str">
        <f>IF($A40="","",IFERROR(COUNTIFS(Evaluations!$H$3:$H$10000,$A40,Evaluations!$O$3:$O$10000,"رعایت شده")/(COUNTIFS(Evaluations!$H$3:$H$10000,$A40,Evaluations!$O$3:$O$10000,"رعایت شده")+COUNTIFS(Evaluations!$H$3:$H$10000,$A40,Evaluations!$O$3:$O$10000,"رعایت نشده")),""))</f>
        <v/>
      </c>
      <c r="G40" s="79" t="str">
        <f>IF($A40="","",IFERROR(ROUND(100*COUNTIFS(Evaluations!$H$3:$H$10000,$A40,Evaluations!$Q$3:$Q$10000,1)/(COUNTIFS(Evaluations!$H$3:$H$10000,$A40,Evaluations!$Q$3:$Q$10000,1)+COUNTIFS(Evaluations!$H$3:$H$10000,$A40,Evaluations!$Q$3:$Q$10000,0)),2),""))</f>
        <v/>
      </c>
      <c r="H40" s="79" t="str">
        <f>IF($A40="","",IFERROR(ROUND(100*COUNTIFS(Evaluations!$H$3:$H$10000,$A40,Evaluations!$R$3:$R$10000,1)/(COUNTIFS(Evaluations!$H$3:$H$10000,$A40,Evaluations!$R$3:$R$10000,1)+COUNTIFS(Evaluations!$H$3:$H$10000,$A40,Evaluations!$R$3:$R$10000,0)),2),""))</f>
        <v/>
      </c>
      <c r="I40" s="79" t="str">
        <f>IF($A40="","",IFERROR(ROUND(100*COUNTIFS(Evaluations!$H$3:$H$10000,$A40,Evaluations!$S$3:$S$10000,1)/(COUNTIFS(Evaluations!$H$3:$H$10000,$A40,Evaluations!$S$3:$S$10000,1)+COUNTIFS(Evaluations!$H$3:$H$10000,$A40,Evaluations!$S$3:$S$10000,0)),2),""))</f>
        <v/>
      </c>
      <c r="J40" s="79" t="str">
        <f>IF($A40="","",IFERROR(ROUND(100*COUNTIFS(Evaluations!$H$3:$H$10000,$A40,Evaluations!$T$3:$T$10000,1)/(COUNTIFS(Evaluations!$H$3:$H$10000,$A40,Evaluations!$T$3:$T$10000,1)+COUNTIFS(Evaluations!$H$3:$H$10000,$A40,Evaluations!$T$3:$T$10000,0)),2),""))</f>
        <v/>
      </c>
      <c r="K40" s="79" t="str">
        <f>IF($A40="","",COUNTIFS(Evaluations!$H$3:$H$10000,$A40,Evaluations!$M$3:$M$10000,"عدم پاسخ"))</f>
        <v/>
      </c>
      <c r="L40" s="79" t="str">
        <f>IF($A40="","",COUNTIFS(Evaluations!$H$3:$H$10000,$A40,Evaluations!$O$3:$O$10000,"رعایت نشده"))</f>
        <v/>
      </c>
    </row>
    <row r="41">
      <c r="A41" s="79"/>
      <c r="B41" s="79" t="str">
        <f>IF($A41="","",COUNTIFS(Evaluations!$H$3:$H$10000,$A41,Evaluations!$U$3:$U$10000,"&gt;=0",Evaluations!$U$3:$U$10000,"&lt;=100"))</f>
        <v/>
      </c>
      <c r="C41" s="79" t="str">
        <f>IF($A41="","",COUNTIFS('Agent Report'!$B$4:$B$53,$A41,'Agent Report'!$C$4:$C$53,"&gt;0"))</f>
        <v/>
      </c>
      <c r="D41" s="79" t="str">
        <f>IF(OR($A41="",B41=0),"",ROUND(SUMIFS(Evaluations!$U$3:$U$10000,Evaluations!$H$3:$H$10000,$A41)/B41,2))</f>
        <v/>
      </c>
      <c r="E41" s="79" t="str">
        <f>IF($A41="","",COUNTIFS(Evaluations!$H$3:$H$10000,$A41,Evaluations!$M$3:$M$10000,"پاسخ داده شده"))</f>
        <v/>
      </c>
      <c r="F41" s="79" t="str">
        <f>IF($A41="","",IFERROR(COUNTIFS(Evaluations!$H$3:$H$10000,$A41,Evaluations!$O$3:$O$10000,"رعایت شده")/(COUNTIFS(Evaluations!$H$3:$H$10000,$A41,Evaluations!$O$3:$O$10000,"رعایت شده")+COUNTIFS(Evaluations!$H$3:$H$10000,$A41,Evaluations!$O$3:$O$10000,"رعایت نشده")),""))</f>
        <v/>
      </c>
      <c r="G41" s="79" t="str">
        <f>IF($A41="","",IFERROR(ROUND(100*COUNTIFS(Evaluations!$H$3:$H$10000,$A41,Evaluations!$Q$3:$Q$10000,1)/(COUNTIFS(Evaluations!$H$3:$H$10000,$A41,Evaluations!$Q$3:$Q$10000,1)+COUNTIFS(Evaluations!$H$3:$H$10000,$A41,Evaluations!$Q$3:$Q$10000,0)),2),""))</f>
        <v/>
      </c>
      <c r="H41" s="79" t="str">
        <f>IF($A41="","",IFERROR(ROUND(100*COUNTIFS(Evaluations!$H$3:$H$10000,$A41,Evaluations!$R$3:$R$10000,1)/(COUNTIFS(Evaluations!$H$3:$H$10000,$A41,Evaluations!$R$3:$R$10000,1)+COUNTIFS(Evaluations!$H$3:$H$10000,$A41,Evaluations!$R$3:$R$10000,0)),2),""))</f>
        <v/>
      </c>
      <c r="I41" s="79" t="str">
        <f>IF($A41="","",IFERROR(ROUND(100*COUNTIFS(Evaluations!$H$3:$H$10000,$A41,Evaluations!$S$3:$S$10000,1)/(COUNTIFS(Evaluations!$H$3:$H$10000,$A41,Evaluations!$S$3:$S$10000,1)+COUNTIFS(Evaluations!$H$3:$H$10000,$A41,Evaluations!$S$3:$S$10000,0)),2),""))</f>
        <v/>
      </c>
      <c r="J41" s="79" t="str">
        <f>IF($A41="","",IFERROR(ROUND(100*COUNTIFS(Evaluations!$H$3:$H$10000,$A41,Evaluations!$T$3:$T$10000,1)/(COUNTIFS(Evaluations!$H$3:$H$10000,$A41,Evaluations!$T$3:$T$10000,1)+COUNTIFS(Evaluations!$H$3:$H$10000,$A41,Evaluations!$T$3:$T$10000,0)),2),""))</f>
        <v/>
      </c>
      <c r="K41" s="79" t="str">
        <f>IF($A41="","",COUNTIFS(Evaluations!$H$3:$H$10000,$A41,Evaluations!$M$3:$M$10000,"عدم پاسخ"))</f>
        <v/>
      </c>
      <c r="L41" s="79" t="str">
        <f>IF($A41="","",COUNTIFS(Evaluations!$H$3:$H$10000,$A41,Evaluations!$O$3:$O$10000,"رعایت نشده"))</f>
        <v/>
      </c>
    </row>
    <row r="42">
      <c r="A42" s="79"/>
      <c r="B42" s="79" t="str">
        <f>IF($A42="","",COUNTIFS(Evaluations!$H$3:$H$10000,$A42,Evaluations!$U$3:$U$10000,"&gt;=0",Evaluations!$U$3:$U$10000,"&lt;=100"))</f>
        <v/>
      </c>
      <c r="C42" s="79" t="str">
        <f>IF($A42="","",COUNTIFS('Agent Report'!$B$4:$B$53,$A42,'Agent Report'!$C$4:$C$53,"&gt;0"))</f>
        <v/>
      </c>
      <c r="D42" s="79" t="str">
        <f>IF(OR($A42="",B42=0),"",ROUND(SUMIFS(Evaluations!$U$3:$U$10000,Evaluations!$H$3:$H$10000,$A42)/B42,2))</f>
        <v/>
      </c>
      <c r="E42" s="79" t="str">
        <f>IF($A42="","",COUNTIFS(Evaluations!$H$3:$H$10000,$A42,Evaluations!$M$3:$M$10000,"پاسخ داده شده"))</f>
        <v/>
      </c>
      <c r="F42" s="79" t="str">
        <f>IF($A42="","",IFERROR(COUNTIFS(Evaluations!$H$3:$H$10000,$A42,Evaluations!$O$3:$O$10000,"رعایت شده")/(COUNTIFS(Evaluations!$H$3:$H$10000,$A42,Evaluations!$O$3:$O$10000,"رعایت شده")+COUNTIFS(Evaluations!$H$3:$H$10000,$A42,Evaluations!$O$3:$O$10000,"رعایت نشده")),""))</f>
        <v/>
      </c>
      <c r="G42" s="79" t="str">
        <f>IF($A42="","",IFERROR(ROUND(100*COUNTIFS(Evaluations!$H$3:$H$10000,$A42,Evaluations!$Q$3:$Q$10000,1)/(COUNTIFS(Evaluations!$H$3:$H$10000,$A42,Evaluations!$Q$3:$Q$10000,1)+COUNTIFS(Evaluations!$H$3:$H$10000,$A42,Evaluations!$Q$3:$Q$10000,0)),2),""))</f>
        <v/>
      </c>
      <c r="H42" s="79" t="str">
        <f>IF($A42="","",IFERROR(ROUND(100*COUNTIFS(Evaluations!$H$3:$H$10000,$A42,Evaluations!$R$3:$R$10000,1)/(COUNTIFS(Evaluations!$H$3:$H$10000,$A42,Evaluations!$R$3:$R$10000,1)+COUNTIFS(Evaluations!$H$3:$H$10000,$A42,Evaluations!$R$3:$R$10000,0)),2),""))</f>
        <v/>
      </c>
      <c r="I42" s="79" t="str">
        <f>IF($A42="","",IFERROR(ROUND(100*COUNTIFS(Evaluations!$H$3:$H$10000,$A42,Evaluations!$S$3:$S$10000,1)/(COUNTIFS(Evaluations!$H$3:$H$10000,$A42,Evaluations!$S$3:$S$10000,1)+COUNTIFS(Evaluations!$H$3:$H$10000,$A42,Evaluations!$S$3:$S$10000,0)),2),""))</f>
        <v/>
      </c>
      <c r="J42" s="79" t="str">
        <f>IF($A42="","",IFERROR(ROUND(100*COUNTIFS(Evaluations!$H$3:$H$10000,$A42,Evaluations!$T$3:$T$10000,1)/(COUNTIFS(Evaluations!$H$3:$H$10000,$A42,Evaluations!$T$3:$T$10000,1)+COUNTIFS(Evaluations!$H$3:$H$10000,$A42,Evaluations!$T$3:$T$10000,0)),2),""))</f>
        <v/>
      </c>
      <c r="K42" s="79" t="str">
        <f>IF($A42="","",COUNTIFS(Evaluations!$H$3:$H$10000,$A42,Evaluations!$M$3:$M$10000,"عدم پاسخ"))</f>
        <v/>
      </c>
      <c r="L42" s="79" t="str">
        <f>IF($A42="","",COUNTIFS(Evaluations!$H$3:$H$10000,$A42,Evaluations!$O$3:$O$10000,"رعایت نشده"))</f>
        <v/>
      </c>
    </row>
    <row r="43">
      <c r="A43" s="79"/>
      <c r="B43" s="79" t="str">
        <f>IF($A43="","",COUNTIFS(Evaluations!$H$3:$H$10000,$A43,Evaluations!$U$3:$U$10000,"&gt;=0",Evaluations!$U$3:$U$10000,"&lt;=100"))</f>
        <v/>
      </c>
      <c r="C43" s="79" t="str">
        <f>IF($A43="","",COUNTIFS('Agent Report'!$B$4:$B$53,$A43,'Agent Report'!$C$4:$C$53,"&gt;0"))</f>
        <v/>
      </c>
      <c r="D43" s="79" t="str">
        <f>IF(OR($A43="",B43=0),"",ROUND(SUMIFS(Evaluations!$U$3:$U$10000,Evaluations!$H$3:$H$10000,$A43)/B43,2))</f>
        <v/>
      </c>
      <c r="E43" s="79" t="str">
        <f>IF($A43="","",COUNTIFS(Evaluations!$H$3:$H$10000,$A43,Evaluations!$M$3:$M$10000,"پاسخ داده شده"))</f>
        <v/>
      </c>
      <c r="F43" s="79" t="str">
        <f>IF($A43="","",IFERROR(COUNTIFS(Evaluations!$H$3:$H$10000,$A43,Evaluations!$O$3:$O$10000,"رعایت شده")/(COUNTIFS(Evaluations!$H$3:$H$10000,$A43,Evaluations!$O$3:$O$10000,"رعایت شده")+COUNTIFS(Evaluations!$H$3:$H$10000,$A43,Evaluations!$O$3:$O$10000,"رعایت نشده")),""))</f>
        <v/>
      </c>
      <c r="G43" s="79" t="str">
        <f>IF($A43="","",IFERROR(ROUND(100*COUNTIFS(Evaluations!$H$3:$H$10000,$A43,Evaluations!$Q$3:$Q$10000,1)/(COUNTIFS(Evaluations!$H$3:$H$10000,$A43,Evaluations!$Q$3:$Q$10000,1)+COUNTIFS(Evaluations!$H$3:$H$10000,$A43,Evaluations!$Q$3:$Q$10000,0)),2),""))</f>
        <v/>
      </c>
      <c r="H43" s="79" t="str">
        <f>IF($A43="","",IFERROR(ROUND(100*COUNTIFS(Evaluations!$H$3:$H$10000,$A43,Evaluations!$R$3:$R$10000,1)/(COUNTIFS(Evaluations!$H$3:$H$10000,$A43,Evaluations!$R$3:$R$10000,1)+COUNTIFS(Evaluations!$H$3:$H$10000,$A43,Evaluations!$R$3:$R$10000,0)),2),""))</f>
        <v/>
      </c>
      <c r="I43" s="79" t="str">
        <f>IF($A43="","",IFERROR(ROUND(100*COUNTIFS(Evaluations!$H$3:$H$10000,$A43,Evaluations!$S$3:$S$10000,1)/(COUNTIFS(Evaluations!$H$3:$H$10000,$A43,Evaluations!$S$3:$S$10000,1)+COUNTIFS(Evaluations!$H$3:$H$10000,$A43,Evaluations!$S$3:$S$10000,0)),2),""))</f>
        <v/>
      </c>
      <c r="J43" s="79" t="str">
        <f>IF($A43="","",IFERROR(ROUND(100*COUNTIFS(Evaluations!$H$3:$H$10000,$A43,Evaluations!$T$3:$T$10000,1)/(COUNTIFS(Evaluations!$H$3:$H$10000,$A43,Evaluations!$T$3:$T$10000,1)+COUNTIFS(Evaluations!$H$3:$H$10000,$A43,Evaluations!$T$3:$T$10000,0)),2),""))</f>
        <v/>
      </c>
      <c r="K43" s="79" t="str">
        <f>IF($A43="","",COUNTIFS(Evaluations!$H$3:$H$10000,$A43,Evaluations!$M$3:$M$10000,"عدم پاسخ"))</f>
        <v/>
      </c>
      <c r="L43" s="79" t="str">
        <f>IF($A43="","",COUNTIFS(Evaluations!$H$3:$H$10000,$A43,Evaluations!$O$3:$O$10000,"رعایت نشده"))</f>
        <v/>
      </c>
    </row>
    <row r="44">
      <c r="A44" s="79"/>
      <c r="B44" s="79" t="str">
        <f>IF($A44="","",COUNTIFS(Evaluations!$H$3:$H$10000,$A44,Evaluations!$U$3:$U$10000,"&gt;=0",Evaluations!$U$3:$U$10000,"&lt;=100"))</f>
        <v/>
      </c>
      <c r="C44" s="79" t="str">
        <f>IF($A44="","",COUNTIFS('Agent Report'!$B$4:$B$53,$A44,'Agent Report'!$C$4:$C$53,"&gt;0"))</f>
        <v/>
      </c>
      <c r="D44" s="79" t="str">
        <f>IF(OR($A44="",B44=0),"",ROUND(SUMIFS(Evaluations!$U$3:$U$10000,Evaluations!$H$3:$H$10000,$A44)/B44,2))</f>
        <v/>
      </c>
      <c r="E44" s="79" t="str">
        <f>IF($A44="","",COUNTIFS(Evaluations!$H$3:$H$10000,$A44,Evaluations!$M$3:$M$10000,"پاسخ داده شده"))</f>
        <v/>
      </c>
      <c r="F44" s="79" t="str">
        <f>IF($A44="","",IFERROR(COUNTIFS(Evaluations!$H$3:$H$10000,$A44,Evaluations!$O$3:$O$10000,"رعایت شده")/(COUNTIFS(Evaluations!$H$3:$H$10000,$A44,Evaluations!$O$3:$O$10000,"رعایت شده")+COUNTIFS(Evaluations!$H$3:$H$10000,$A44,Evaluations!$O$3:$O$10000,"رعایت نشده")),""))</f>
        <v/>
      </c>
      <c r="G44" s="79" t="str">
        <f>IF($A44="","",IFERROR(ROUND(100*COUNTIFS(Evaluations!$H$3:$H$10000,$A44,Evaluations!$Q$3:$Q$10000,1)/(COUNTIFS(Evaluations!$H$3:$H$10000,$A44,Evaluations!$Q$3:$Q$10000,1)+COUNTIFS(Evaluations!$H$3:$H$10000,$A44,Evaluations!$Q$3:$Q$10000,0)),2),""))</f>
        <v/>
      </c>
      <c r="H44" s="79" t="str">
        <f>IF($A44="","",IFERROR(ROUND(100*COUNTIFS(Evaluations!$H$3:$H$10000,$A44,Evaluations!$R$3:$R$10000,1)/(COUNTIFS(Evaluations!$H$3:$H$10000,$A44,Evaluations!$R$3:$R$10000,1)+COUNTIFS(Evaluations!$H$3:$H$10000,$A44,Evaluations!$R$3:$R$10000,0)),2),""))</f>
        <v/>
      </c>
      <c r="I44" s="79" t="str">
        <f>IF($A44="","",IFERROR(ROUND(100*COUNTIFS(Evaluations!$H$3:$H$10000,$A44,Evaluations!$S$3:$S$10000,1)/(COUNTIFS(Evaluations!$H$3:$H$10000,$A44,Evaluations!$S$3:$S$10000,1)+COUNTIFS(Evaluations!$H$3:$H$10000,$A44,Evaluations!$S$3:$S$10000,0)),2),""))</f>
        <v/>
      </c>
      <c r="J44" s="79" t="str">
        <f>IF($A44="","",IFERROR(ROUND(100*COUNTIFS(Evaluations!$H$3:$H$10000,$A44,Evaluations!$T$3:$T$10000,1)/(COUNTIFS(Evaluations!$H$3:$H$10000,$A44,Evaluations!$T$3:$T$10000,1)+COUNTIFS(Evaluations!$H$3:$H$10000,$A44,Evaluations!$T$3:$T$10000,0)),2),""))</f>
        <v/>
      </c>
      <c r="K44" s="79" t="str">
        <f>IF($A44="","",COUNTIFS(Evaluations!$H$3:$H$10000,$A44,Evaluations!$M$3:$M$10000,"عدم پاسخ"))</f>
        <v/>
      </c>
      <c r="L44" s="79" t="str">
        <f>IF($A44="","",COUNTIFS(Evaluations!$H$3:$H$10000,$A44,Evaluations!$O$3:$O$10000,"رعایت نشده"))</f>
        <v/>
      </c>
    </row>
    <row r="45">
      <c r="A45" s="79"/>
      <c r="B45" s="79" t="str">
        <f>IF($A45="","",COUNTIFS(Evaluations!$H$3:$H$10000,$A45,Evaluations!$U$3:$U$10000,"&gt;=0",Evaluations!$U$3:$U$10000,"&lt;=100"))</f>
        <v/>
      </c>
      <c r="C45" s="79" t="str">
        <f>IF($A45="","",COUNTIFS('Agent Report'!$B$4:$B$53,$A45,'Agent Report'!$C$4:$C$53,"&gt;0"))</f>
        <v/>
      </c>
      <c r="D45" s="79" t="str">
        <f>IF(OR($A45="",B45=0),"",ROUND(SUMIFS(Evaluations!$U$3:$U$10000,Evaluations!$H$3:$H$10000,$A45)/B45,2))</f>
        <v/>
      </c>
      <c r="E45" s="79" t="str">
        <f>IF($A45="","",COUNTIFS(Evaluations!$H$3:$H$10000,$A45,Evaluations!$M$3:$M$10000,"پاسخ داده شده"))</f>
        <v/>
      </c>
      <c r="F45" s="79" t="str">
        <f>IF($A45="","",IFERROR(COUNTIFS(Evaluations!$H$3:$H$10000,$A45,Evaluations!$O$3:$O$10000,"رعایت شده")/(COUNTIFS(Evaluations!$H$3:$H$10000,$A45,Evaluations!$O$3:$O$10000,"رعایت شده")+COUNTIFS(Evaluations!$H$3:$H$10000,$A45,Evaluations!$O$3:$O$10000,"رعایت نشده")),""))</f>
        <v/>
      </c>
      <c r="G45" s="79" t="str">
        <f>IF($A45="","",IFERROR(ROUND(100*COUNTIFS(Evaluations!$H$3:$H$10000,$A45,Evaluations!$Q$3:$Q$10000,1)/(COUNTIFS(Evaluations!$H$3:$H$10000,$A45,Evaluations!$Q$3:$Q$10000,1)+COUNTIFS(Evaluations!$H$3:$H$10000,$A45,Evaluations!$Q$3:$Q$10000,0)),2),""))</f>
        <v/>
      </c>
      <c r="H45" s="79" t="str">
        <f>IF($A45="","",IFERROR(ROUND(100*COUNTIFS(Evaluations!$H$3:$H$10000,$A45,Evaluations!$R$3:$R$10000,1)/(COUNTIFS(Evaluations!$H$3:$H$10000,$A45,Evaluations!$R$3:$R$10000,1)+COUNTIFS(Evaluations!$H$3:$H$10000,$A45,Evaluations!$R$3:$R$10000,0)),2),""))</f>
        <v/>
      </c>
      <c r="I45" s="79" t="str">
        <f>IF($A45="","",IFERROR(ROUND(100*COUNTIFS(Evaluations!$H$3:$H$10000,$A45,Evaluations!$S$3:$S$10000,1)/(COUNTIFS(Evaluations!$H$3:$H$10000,$A45,Evaluations!$S$3:$S$10000,1)+COUNTIFS(Evaluations!$H$3:$H$10000,$A45,Evaluations!$S$3:$S$10000,0)),2),""))</f>
        <v/>
      </c>
      <c r="J45" s="79" t="str">
        <f>IF($A45="","",IFERROR(ROUND(100*COUNTIFS(Evaluations!$H$3:$H$10000,$A45,Evaluations!$T$3:$T$10000,1)/(COUNTIFS(Evaluations!$H$3:$H$10000,$A45,Evaluations!$T$3:$T$10000,1)+COUNTIFS(Evaluations!$H$3:$H$10000,$A45,Evaluations!$T$3:$T$10000,0)),2),""))</f>
        <v/>
      </c>
      <c r="K45" s="79" t="str">
        <f>IF($A45="","",COUNTIFS(Evaluations!$H$3:$H$10000,$A45,Evaluations!$M$3:$M$10000,"عدم پاسخ"))</f>
        <v/>
      </c>
      <c r="L45" s="79" t="str">
        <f>IF($A45="","",COUNTIFS(Evaluations!$H$3:$H$10000,$A45,Evaluations!$O$3:$O$10000,"رعایت نشده"))</f>
        <v/>
      </c>
    </row>
    <row r="46">
      <c r="A46" s="79"/>
      <c r="B46" s="79" t="str">
        <f>IF($A46="","",COUNTIFS(Evaluations!$H$3:$H$10000,$A46,Evaluations!$U$3:$U$10000,"&gt;=0",Evaluations!$U$3:$U$10000,"&lt;=100"))</f>
        <v/>
      </c>
      <c r="C46" s="79" t="str">
        <f>IF($A46="","",COUNTIFS('Agent Report'!$B$4:$B$53,$A46,'Agent Report'!$C$4:$C$53,"&gt;0"))</f>
        <v/>
      </c>
      <c r="D46" s="79" t="str">
        <f>IF(OR($A46="",B46=0),"",ROUND(SUMIFS(Evaluations!$U$3:$U$10000,Evaluations!$H$3:$H$10000,$A46)/B46,2))</f>
        <v/>
      </c>
      <c r="E46" s="79" t="str">
        <f>IF($A46="","",COUNTIFS(Evaluations!$H$3:$H$10000,$A46,Evaluations!$M$3:$M$10000,"پاسخ داده شده"))</f>
        <v/>
      </c>
      <c r="F46" s="79" t="str">
        <f>IF($A46="","",IFERROR(COUNTIFS(Evaluations!$H$3:$H$10000,$A46,Evaluations!$O$3:$O$10000,"رعایت شده")/(COUNTIFS(Evaluations!$H$3:$H$10000,$A46,Evaluations!$O$3:$O$10000,"رعایت شده")+COUNTIFS(Evaluations!$H$3:$H$10000,$A46,Evaluations!$O$3:$O$10000,"رعایت نشده")),""))</f>
        <v/>
      </c>
      <c r="G46" s="79" t="str">
        <f>IF($A46="","",IFERROR(ROUND(100*COUNTIFS(Evaluations!$H$3:$H$10000,$A46,Evaluations!$Q$3:$Q$10000,1)/(COUNTIFS(Evaluations!$H$3:$H$10000,$A46,Evaluations!$Q$3:$Q$10000,1)+COUNTIFS(Evaluations!$H$3:$H$10000,$A46,Evaluations!$Q$3:$Q$10000,0)),2),""))</f>
        <v/>
      </c>
      <c r="H46" s="79" t="str">
        <f>IF($A46="","",IFERROR(ROUND(100*COUNTIFS(Evaluations!$H$3:$H$10000,$A46,Evaluations!$R$3:$R$10000,1)/(COUNTIFS(Evaluations!$H$3:$H$10000,$A46,Evaluations!$R$3:$R$10000,1)+COUNTIFS(Evaluations!$H$3:$H$10000,$A46,Evaluations!$R$3:$R$10000,0)),2),""))</f>
        <v/>
      </c>
      <c r="I46" s="79" t="str">
        <f>IF($A46="","",IFERROR(ROUND(100*COUNTIFS(Evaluations!$H$3:$H$10000,$A46,Evaluations!$S$3:$S$10000,1)/(COUNTIFS(Evaluations!$H$3:$H$10000,$A46,Evaluations!$S$3:$S$10000,1)+COUNTIFS(Evaluations!$H$3:$H$10000,$A46,Evaluations!$S$3:$S$10000,0)),2),""))</f>
        <v/>
      </c>
      <c r="J46" s="79" t="str">
        <f>IF($A46="","",IFERROR(ROUND(100*COUNTIFS(Evaluations!$H$3:$H$10000,$A46,Evaluations!$T$3:$T$10000,1)/(COUNTIFS(Evaluations!$H$3:$H$10000,$A46,Evaluations!$T$3:$T$10000,1)+COUNTIFS(Evaluations!$H$3:$H$10000,$A46,Evaluations!$T$3:$T$10000,0)),2),""))</f>
        <v/>
      </c>
      <c r="K46" s="79" t="str">
        <f>IF($A46="","",COUNTIFS(Evaluations!$H$3:$H$10000,$A46,Evaluations!$M$3:$M$10000,"عدم پاسخ"))</f>
        <v/>
      </c>
      <c r="L46" s="79" t="str">
        <f>IF($A46="","",COUNTIFS(Evaluations!$H$3:$H$10000,$A46,Evaluations!$O$3:$O$10000,"رعایت نشده"))</f>
        <v/>
      </c>
    </row>
    <row r="47">
      <c r="A47" s="79"/>
      <c r="B47" s="79" t="str">
        <f>IF($A47="","",COUNTIFS(Evaluations!$H$3:$H$10000,$A47,Evaluations!$U$3:$U$10000,"&gt;=0",Evaluations!$U$3:$U$10000,"&lt;=100"))</f>
        <v/>
      </c>
      <c r="C47" s="79" t="str">
        <f>IF($A47="","",COUNTIFS('Agent Report'!$B$4:$B$53,$A47,'Agent Report'!$C$4:$C$53,"&gt;0"))</f>
        <v/>
      </c>
      <c r="D47" s="79" t="str">
        <f>IF(OR($A47="",B47=0),"",ROUND(SUMIFS(Evaluations!$U$3:$U$10000,Evaluations!$H$3:$H$10000,$A47)/B47,2))</f>
        <v/>
      </c>
      <c r="E47" s="79" t="str">
        <f>IF($A47="","",COUNTIFS(Evaluations!$H$3:$H$10000,$A47,Evaluations!$M$3:$M$10000,"پاسخ داده شده"))</f>
        <v/>
      </c>
      <c r="F47" s="79" t="str">
        <f>IF($A47="","",IFERROR(COUNTIFS(Evaluations!$H$3:$H$10000,$A47,Evaluations!$O$3:$O$10000,"رعایت شده")/(COUNTIFS(Evaluations!$H$3:$H$10000,$A47,Evaluations!$O$3:$O$10000,"رعایت شده")+COUNTIFS(Evaluations!$H$3:$H$10000,$A47,Evaluations!$O$3:$O$10000,"رعایت نشده")),""))</f>
        <v/>
      </c>
      <c r="G47" s="79" t="str">
        <f>IF($A47="","",IFERROR(ROUND(100*COUNTIFS(Evaluations!$H$3:$H$10000,$A47,Evaluations!$Q$3:$Q$10000,1)/(COUNTIFS(Evaluations!$H$3:$H$10000,$A47,Evaluations!$Q$3:$Q$10000,1)+COUNTIFS(Evaluations!$H$3:$H$10000,$A47,Evaluations!$Q$3:$Q$10000,0)),2),""))</f>
        <v/>
      </c>
      <c r="H47" s="79" t="str">
        <f>IF($A47="","",IFERROR(ROUND(100*COUNTIFS(Evaluations!$H$3:$H$10000,$A47,Evaluations!$R$3:$R$10000,1)/(COUNTIFS(Evaluations!$H$3:$H$10000,$A47,Evaluations!$R$3:$R$10000,1)+COUNTIFS(Evaluations!$H$3:$H$10000,$A47,Evaluations!$R$3:$R$10000,0)),2),""))</f>
        <v/>
      </c>
      <c r="I47" s="79" t="str">
        <f>IF($A47="","",IFERROR(ROUND(100*COUNTIFS(Evaluations!$H$3:$H$10000,$A47,Evaluations!$S$3:$S$10000,1)/(COUNTIFS(Evaluations!$H$3:$H$10000,$A47,Evaluations!$S$3:$S$10000,1)+COUNTIFS(Evaluations!$H$3:$H$10000,$A47,Evaluations!$S$3:$S$10000,0)),2),""))</f>
        <v/>
      </c>
      <c r="J47" s="79" t="str">
        <f>IF($A47="","",IFERROR(ROUND(100*COUNTIFS(Evaluations!$H$3:$H$10000,$A47,Evaluations!$T$3:$T$10000,1)/(COUNTIFS(Evaluations!$H$3:$H$10000,$A47,Evaluations!$T$3:$T$10000,1)+COUNTIFS(Evaluations!$H$3:$H$10000,$A47,Evaluations!$T$3:$T$10000,0)),2),""))</f>
        <v/>
      </c>
      <c r="K47" s="79" t="str">
        <f>IF($A47="","",COUNTIFS(Evaluations!$H$3:$H$10000,$A47,Evaluations!$M$3:$M$10000,"عدم پاسخ"))</f>
        <v/>
      </c>
      <c r="L47" s="79" t="str">
        <f>IF($A47="","",COUNTIFS(Evaluations!$H$3:$H$10000,$A47,Evaluations!$O$3:$O$10000,"رعایت نشده"))</f>
        <v/>
      </c>
    </row>
    <row r="48">
      <c r="A48" s="79"/>
      <c r="B48" s="79" t="str">
        <f>IF($A48="","",COUNTIFS(Evaluations!$H$3:$H$10000,$A48,Evaluations!$U$3:$U$10000,"&gt;=0",Evaluations!$U$3:$U$10000,"&lt;=100"))</f>
        <v/>
      </c>
      <c r="C48" s="79" t="str">
        <f>IF($A48="","",COUNTIFS('Agent Report'!$B$4:$B$53,$A48,'Agent Report'!$C$4:$C$53,"&gt;0"))</f>
        <v/>
      </c>
      <c r="D48" s="79" t="str">
        <f>IF(OR($A48="",B48=0),"",ROUND(SUMIFS(Evaluations!$U$3:$U$10000,Evaluations!$H$3:$H$10000,$A48)/B48,2))</f>
        <v/>
      </c>
      <c r="E48" s="79" t="str">
        <f>IF($A48="","",COUNTIFS(Evaluations!$H$3:$H$10000,$A48,Evaluations!$M$3:$M$10000,"پاسخ داده شده"))</f>
        <v/>
      </c>
      <c r="F48" s="79" t="str">
        <f>IF($A48="","",IFERROR(COUNTIFS(Evaluations!$H$3:$H$10000,$A48,Evaluations!$O$3:$O$10000,"رعایت شده")/(COUNTIFS(Evaluations!$H$3:$H$10000,$A48,Evaluations!$O$3:$O$10000,"رعایت شده")+COUNTIFS(Evaluations!$H$3:$H$10000,$A48,Evaluations!$O$3:$O$10000,"رعایت نشده")),""))</f>
        <v/>
      </c>
      <c r="G48" s="79" t="str">
        <f>IF($A48="","",IFERROR(ROUND(100*COUNTIFS(Evaluations!$H$3:$H$10000,$A48,Evaluations!$Q$3:$Q$10000,1)/(COUNTIFS(Evaluations!$H$3:$H$10000,$A48,Evaluations!$Q$3:$Q$10000,1)+COUNTIFS(Evaluations!$H$3:$H$10000,$A48,Evaluations!$Q$3:$Q$10000,0)),2),""))</f>
        <v/>
      </c>
      <c r="H48" s="79" t="str">
        <f>IF($A48="","",IFERROR(ROUND(100*COUNTIFS(Evaluations!$H$3:$H$10000,$A48,Evaluations!$R$3:$R$10000,1)/(COUNTIFS(Evaluations!$H$3:$H$10000,$A48,Evaluations!$R$3:$R$10000,1)+COUNTIFS(Evaluations!$H$3:$H$10000,$A48,Evaluations!$R$3:$R$10000,0)),2),""))</f>
        <v/>
      </c>
      <c r="I48" s="79" t="str">
        <f>IF($A48="","",IFERROR(ROUND(100*COUNTIFS(Evaluations!$H$3:$H$10000,$A48,Evaluations!$S$3:$S$10000,1)/(COUNTIFS(Evaluations!$H$3:$H$10000,$A48,Evaluations!$S$3:$S$10000,1)+COUNTIFS(Evaluations!$H$3:$H$10000,$A48,Evaluations!$S$3:$S$10000,0)),2),""))</f>
        <v/>
      </c>
      <c r="J48" s="79" t="str">
        <f>IF($A48="","",IFERROR(ROUND(100*COUNTIFS(Evaluations!$H$3:$H$10000,$A48,Evaluations!$T$3:$T$10000,1)/(COUNTIFS(Evaluations!$H$3:$H$10000,$A48,Evaluations!$T$3:$T$10000,1)+COUNTIFS(Evaluations!$H$3:$H$10000,$A48,Evaluations!$T$3:$T$10000,0)),2),""))</f>
        <v/>
      </c>
      <c r="K48" s="79" t="str">
        <f>IF($A48="","",COUNTIFS(Evaluations!$H$3:$H$10000,$A48,Evaluations!$M$3:$M$10000,"عدم پاسخ"))</f>
        <v/>
      </c>
      <c r="L48" s="79" t="str">
        <f>IF($A48="","",COUNTIFS(Evaluations!$H$3:$H$10000,$A48,Evaluations!$O$3:$O$10000,"رعایت نشده"))</f>
        <v/>
      </c>
    </row>
    <row r="49">
      <c r="A49" s="79"/>
      <c r="B49" s="79" t="str">
        <f>IF($A49="","",COUNTIFS(Evaluations!$H$3:$H$10000,$A49,Evaluations!$U$3:$U$10000,"&gt;=0",Evaluations!$U$3:$U$10000,"&lt;=100"))</f>
        <v/>
      </c>
      <c r="C49" s="79" t="str">
        <f>IF($A49="","",COUNTIFS('Agent Report'!$B$4:$B$53,$A49,'Agent Report'!$C$4:$C$53,"&gt;0"))</f>
        <v/>
      </c>
      <c r="D49" s="79" t="str">
        <f>IF(OR($A49="",B49=0),"",ROUND(SUMIFS(Evaluations!$U$3:$U$10000,Evaluations!$H$3:$H$10000,$A49)/B49,2))</f>
        <v/>
      </c>
      <c r="E49" s="79" t="str">
        <f>IF($A49="","",COUNTIFS(Evaluations!$H$3:$H$10000,$A49,Evaluations!$M$3:$M$10000,"پاسخ داده شده"))</f>
        <v/>
      </c>
      <c r="F49" s="79" t="str">
        <f>IF($A49="","",IFERROR(COUNTIFS(Evaluations!$H$3:$H$10000,$A49,Evaluations!$O$3:$O$10000,"رعایت شده")/(COUNTIFS(Evaluations!$H$3:$H$10000,$A49,Evaluations!$O$3:$O$10000,"رعایت شده")+COUNTIFS(Evaluations!$H$3:$H$10000,$A49,Evaluations!$O$3:$O$10000,"رعایت نشده")),""))</f>
        <v/>
      </c>
      <c r="G49" s="79" t="str">
        <f>IF($A49="","",IFERROR(ROUND(100*COUNTIFS(Evaluations!$H$3:$H$10000,$A49,Evaluations!$Q$3:$Q$10000,1)/(COUNTIFS(Evaluations!$H$3:$H$10000,$A49,Evaluations!$Q$3:$Q$10000,1)+COUNTIFS(Evaluations!$H$3:$H$10000,$A49,Evaluations!$Q$3:$Q$10000,0)),2),""))</f>
        <v/>
      </c>
      <c r="H49" s="79" t="str">
        <f>IF($A49="","",IFERROR(ROUND(100*COUNTIFS(Evaluations!$H$3:$H$10000,$A49,Evaluations!$R$3:$R$10000,1)/(COUNTIFS(Evaluations!$H$3:$H$10000,$A49,Evaluations!$R$3:$R$10000,1)+COUNTIFS(Evaluations!$H$3:$H$10000,$A49,Evaluations!$R$3:$R$10000,0)),2),""))</f>
        <v/>
      </c>
      <c r="I49" s="79" t="str">
        <f>IF($A49="","",IFERROR(ROUND(100*COUNTIFS(Evaluations!$H$3:$H$10000,$A49,Evaluations!$S$3:$S$10000,1)/(COUNTIFS(Evaluations!$H$3:$H$10000,$A49,Evaluations!$S$3:$S$10000,1)+COUNTIFS(Evaluations!$H$3:$H$10000,$A49,Evaluations!$S$3:$S$10000,0)),2),""))</f>
        <v/>
      </c>
      <c r="J49" s="79" t="str">
        <f>IF($A49="","",IFERROR(ROUND(100*COUNTIFS(Evaluations!$H$3:$H$10000,$A49,Evaluations!$T$3:$T$10000,1)/(COUNTIFS(Evaluations!$H$3:$H$10000,$A49,Evaluations!$T$3:$T$10000,1)+COUNTIFS(Evaluations!$H$3:$H$10000,$A49,Evaluations!$T$3:$T$10000,0)),2),""))</f>
        <v/>
      </c>
      <c r="K49" s="79" t="str">
        <f>IF($A49="","",COUNTIFS(Evaluations!$H$3:$H$10000,$A49,Evaluations!$M$3:$M$10000,"عدم پاسخ"))</f>
        <v/>
      </c>
      <c r="L49" s="79" t="str">
        <f>IF($A49="","",COUNTIFS(Evaluations!$H$3:$H$10000,$A49,Evaluations!$O$3:$O$10000,"رعایت نشده"))</f>
        <v/>
      </c>
    </row>
    <row r="50">
      <c r="A50" s="79"/>
      <c r="B50" s="79" t="str">
        <f>IF($A50="","",COUNTIFS(Evaluations!$H$3:$H$10000,$A50,Evaluations!$U$3:$U$10000,"&gt;=0",Evaluations!$U$3:$U$10000,"&lt;=100"))</f>
        <v/>
      </c>
      <c r="C50" s="79" t="str">
        <f>IF($A50="","",COUNTIFS('Agent Report'!$B$4:$B$53,$A50,'Agent Report'!$C$4:$C$53,"&gt;0"))</f>
        <v/>
      </c>
      <c r="D50" s="79" t="str">
        <f>IF(OR($A50="",B50=0),"",ROUND(SUMIFS(Evaluations!$U$3:$U$10000,Evaluations!$H$3:$H$10000,$A50)/B50,2))</f>
        <v/>
      </c>
      <c r="E50" s="79" t="str">
        <f>IF($A50="","",COUNTIFS(Evaluations!$H$3:$H$10000,$A50,Evaluations!$M$3:$M$10000,"پاسخ داده شده"))</f>
        <v/>
      </c>
      <c r="F50" s="79" t="str">
        <f>IF($A50="","",IFERROR(COUNTIFS(Evaluations!$H$3:$H$10000,$A50,Evaluations!$O$3:$O$10000,"رعایت شده")/(COUNTIFS(Evaluations!$H$3:$H$10000,$A50,Evaluations!$O$3:$O$10000,"رعایت شده")+COUNTIFS(Evaluations!$H$3:$H$10000,$A50,Evaluations!$O$3:$O$10000,"رعایت نشده")),""))</f>
        <v/>
      </c>
      <c r="G50" s="79" t="str">
        <f>IF($A50="","",IFERROR(ROUND(100*COUNTIFS(Evaluations!$H$3:$H$10000,$A50,Evaluations!$Q$3:$Q$10000,1)/(COUNTIFS(Evaluations!$H$3:$H$10000,$A50,Evaluations!$Q$3:$Q$10000,1)+COUNTIFS(Evaluations!$H$3:$H$10000,$A50,Evaluations!$Q$3:$Q$10000,0)),2),""))</f>
        <v/>
      </c>
      <c r="H50" s="79" t="str">
        <f>IF($A50="","",IFERROR(ROUND(100*COUNTIFS(Evaluations!$H$3:$H$10000,$A50,Evaluations!$R$3:$R$10000,1)/(COUNTIFS(Evaluations!$H$3:$H$10000,$A50,Evaluations!$R$3:$R$10000,1)+COUNTIFS(Evaluations!$H$3:$H$10000,$A50,Evaluations!$R$3:$R$10000,0)),2),""))</f>
        <v/>
      </c>
      <c r="I50" s="79" t="str">
        <f>IF($A50="","",IFERROR(ROUND(100*COUNTIFS(Evaluations!$H$3:$H$10000,$A50,Evaluations!$S$3:$S$10000,1)/(COUNTIFS(Evaluations!$H$3:$H$10000,$A50,Evaluations!$S$3:$S$10000,1)+COUNTIFS(Evaluations!$H$3:$H$10000,$A50,Evaluations!$S$3:$S$10000,0)),2),""))</f>
        <v/>
      </c>
      <c r="J50" s="79" t="str">
        <f>IF($A50="","",IFERROR(ROUND(100*COUNTIFS(Evaluations!$H$3:$H$10000,$A50,Evaluations!$T$3:$T$10000,1)/(COUNTIFS(Evaluations!$H$3:$H$10000,$A50,Evaluations!$T$3:$T$10000,1)+COUNTIFS(Evaluations!$H$3:$H$10000,$A50,Evaluations!$T$3:$T$10000,0)),2),""))</f>
        <v/>
      </c>
      <c r="K50" s="79" t="str">
        <f>IF($A50="","",COUNTIFS(Evaluations!$H$3:$H$10000,$A50,Evaluations!$M$3:$M$10000,"عدم پاسخ"))</f>
        <v/>
      </c>
      <c r="L50" s="79" t="str">
        <f>IF($A50="","",COUNTIFS(Evaluations!$H$3:$H$10000,$A50,Evaluations!$O$3:$O$10000,"رعایت نشده"))</f>
        <v/>
      </c>
    </row>
    <row r="51">
      <c r="A51" s="79"/>
      <c r="B51" s="79" t="str">
        <f>IF($A51="","",COUNTIFS(Evaluations!$H$3:$H$10000,$A51,Evaluations!$U$3:$U$10000,"&gt;=0",Evaluations!$U$3:$U$10000,"&lt;=100"))</f>
        <v/>
      </c>
      <c r="C51" s="79" t="str">
        <f>IF($A51="","",COUNTIFS('Agent Report'!$B$4:$B$53,$A51,'Agent Report'!$C$4:$C$53,"&gt;0"))</f>
        <v/>
      </c>
      <c r="D51" s="79" t="str">
        <f>IF(OR($A51="",B51=0),"",ROUND(SUMIFS(Evaluations!$U$3:$U$10000,Evaluations!$H$3:$H$10000,$A51)/B51,2))</f>
        <v/>
      </c>
      <c r="E51" s="79" t="str">
        <f>IF($A51="","",COUNTIFS(Evaluations!$H$3:$H$10000,$A51,Evaluations!$M$3:$M$10000,"پاسخ داده شده"))</f>
        <v/>
      </c>
      <c r="F51" s="79" t="str">
        <f>IF($A51="","",IFERROR(COUNTIFS(Evaluations!$H$3:$H$10000,$A51,Evaluations!$O$3:$O$10000,"رعایت شده")/(COUNTIFS(Evaluations!$H$3:$H$10000,$A51,Evaluations!$O$3:$O$10000,"رعایت شده")+COUNTIFS(Evaluations!$H$3:$H$10000,$A51,Evaluations!$O$3:$O$10000,"رعایت نشده")),""))</f>
        <v/>
      </c>
      <c r="G51" s="79" t="str">
        <f>IF($A51="","",IFERROR(ROUND(100*COUNTIFS(Evaluations!$H$3:$H$10000,$A51,Evaluations!$Q$3:$Q$10000,1)/(COUNTIFS(Evaluations!$H$3:$H$10000,$A51,Evaluations!$Q$3:$Q$10000,1)+COUNTIFS(Evaluations!$H$3:$H$10000,$A51,Evaluations!$Q$3:$Q$10000,0)),2),""))</f>
        <v/>
      </c>
      <c r="H51" s="79" t="str">
        <f>IF($A51="","",IFERROR(ROUND(100*COUNTIFS(Evaluations!$H$3:$H$10000,$A51,Evaluations!$R$3:$R$10000,1)/(COUNTIFS(Evaluations!$H$3:$H$10000,$A51,Evaluations!$R$3:$R$10000,1)+COUNTIFS(Evaluations!$H$3:$H$10000,$A51,Evaluations!$R$3:$R$10000,0)),2),""))</f>
        <v/>
      </c>
      <c r="I51" s="79" t="str">
        <f>IF($A51="","",IFERROR(ROUND(100*COUNTIFS(Evaluations!$H$3:$H$10000,$A51,Evaluations!$S$3:$S$10000,1)/(COUNTIFS(Evaluations!$H$3:$H$10000,$A51,Evaluations!$S$3:$S$10000,1)+COUNTIFS(Evaluations!$H$3:$H$10000,$A51,Evaluations!$S$3:$S$10000,0)),2),""))</f>
        <v/>
      </c>
      <c r="J51" s="79" t="str">
        <f>IF($A51="","",IFERROR(ROUND(100*COUNTIFS(Evaluations!$H$3:$H$10000,$A51,Evaluations!$T$3:$T$10000,1)/(COUNTIFS(Evaluations!$H$3:$H$10000,$A51,Evaluations!$T$3:$T$10000,1)+COUNTIFS(Evaluations!$H$3:$H$10000,$A51,Evaluations!$T$3:$T$10000,0)),2),""))</f>
        <v/>
      </c>
      <c r="K51" s="79" t="str">
        <f>IF($A51="","",COUNTIFS(Evaluations!$H$3:$H$10000,$A51,Evaluations!$M$3:$M$10000,"عدم پاسخ"))</f>
        <v/>
      </c>
      <c r="L51" s="79" t="str">
        <f>IF($A51="","",COUNTIFS(Evaluations!$H$3:$H$10000,$A51,Evaluations!$O$3:$O$10000,"رعایت نشده"))</f>
        <v/>
      </c>
    </row>
    <row r="52">
      <c r="A52" s="79"/>
      <c r="B52" s="79" t="str">
        <f>IF($A52="","",COUNTIFS(Evaluations!$H$3:$H$10000,$A52,Evaluations!$U$3:$U$10000,"&gt;=0",Evaluations!$U$3:$U$10000,"&lt;=100"))</f>
        <v/>
      </c>
      <c r="C52" s="79" t="str">
        <f>IF($A52="","",COUNTIFS('Agent Report'!$B$4:$B$53,$A52,'Agent Report'!$C$4:$C$53,"&gt;0"))</f>
        <v/>
      </c>
      <c r="D52" s="79" t="str">
        <f>IF(OR($A52="",B52=0),"",ROUND(SUMIFS(Evaluations!$U$3:$U$10000,Evaluations!$H$3:$H$10000,$A52)/B52,2))</f>
        <v/>
      </c>
      <c r="E52" s="79" t="str">
        <f>IF($A52="","",COUNTIFS(Evaluations!$H$3:$H$10000,$A52,Evaluations!$M$3:$M$10000,"پاسخ داده شده"))</f>
        <v/>
      </c>
      <c r="F52" s="79" t="str">
        <f>IF($A52="","",IFERROR(COUNTIFS(Evaluations!$H$3:$H$10000,$A52,Evaluations!$O$3:$O$10000,"رعایت شده")/(COUNTIFS(Evaluations!$H$3:$H$10000,$A52,Evaluations!$O$3:$O$10000,"رعایت شده")+COUNTIFS(Evaluations!$H$3:$H$10000,$A52,Evaluations!$O$3:$O$10000,"رعایت نشده")),""))</f>
        <v/>
      </c>
      <c r="G52" s="79" t="str">
        <f>IF($A52="","",IFERROR(ROUND(100*COUNTIFS(Evaluations!$H$3:$H$10000,$A52,Evaluations!$Q$3:$Q$10000,1)/(COUNTIFS(Evaluations!$H$3:$H$10000,$A52,Evaluations!$Q$3:$Q$10000,1)+COUNTIFS(Evaluations!$H$3:$H$10000,$A52,Evaluations!$Q$3:$Q$10000,0)),2),""))</f>
        <v/>
      </c>
      <c r="H52" s="79" t="str">
        <f>IF($A52="","",IFERROR(ROUND(100*COUNTIFS(Evaluations!$H$3:$H$10000,$A52,Evaluations!$R$3:$R$10000,1)/(COUNTIFS(Evaluations!$H$3:$H$10000,$A52,Evaluations!$R$3:$R$10000,1)+COUNTIFS(Evaluations!$H$3:$H$10000,$A52,Evaluations!$R$3:$R$10000,0)),2),""))</f>
        <v/>
      </c>
      <c r="I52" s="79" t="str">
        <f>IF($A52="","",IFERROR(ROUND(100*COUNTIFS(Evaluations!$H$3:$H$10000,$A52,Evaluations!$S$3:$S$10000,1)/(COUNTIFS(Evaluations!$H$3:$H$10000,$A52,Evaluations!$S$3:$S$10000,1)+COUNTIFS(Evaluations!$H$3:$H$10000,$A52,Evaluations!$S$3:$S$10000,0)),2),""))</f>
        <v/>
      </c>
      <c r="J52" s="79" t="str">
        <f>IF($A52="","",IFERROR(ROUND(100*COUNTIFS(Evaluations!$H$3:$H$10000,$A52,Evaluations!$T$3:$T$10000,1)/(COUNTIFS(Evaluations!$H$3:$H$10000,$A52,Evaluations!$T$3:$T$10000,1)+COUNTIFS(Evaluations!$H$3:$H$10000,$A52,Evaluations!$T$3:$T$10000,0)),2),""))</f>
        <v/>
      </c>
      <c r="K52" s="79" t="str">
        <f>IF($A52="","",COUNTIFS(Evaluations!$H$3:$H$10000,$A52,Evaluations!$M$3:$M$10000,"عدم پاسخ"))</f>
        <v/>
      </c>
      <c r="L52" s="79" t="str">
        <f>IF($A52="","",COUNTIFS(Evaluations!$H$3:$H$10000,$A52,Evaluations!$O$3:$O$10000,"رعایت نشده"))</f>
        <v/>
      </c>
    </row>
    <row r="53">
      <c r="A53" s="79"/>
      <c r="B53" s="79" t="str">
        <f>IF($A53="","",COUNTIFS(Evaluations!$H$3:$H$10000,$A53,Evaluations!$U$3:$U$10000,"&gt;=0",Evaluations!$U$3:$U$10000,"&lt;=100"))</f>
        <v/>
      </c>
      <c r="C53" s="79" t="str">
        <f>IF($A53="","",COUNTIFS('Agent Report'!$B$4:$B$53,$A53,'Agent Report'!$C$4:$C$53,"&gt;0"))</f>
        <v/>
      </c>
      <c r="D53" s="79" t="str">
        <f>IF(OR($A53="",B53=0),"",ROUND(SUMIFS(Evaluations!$U$3:$U$10000,Evaluations!$H$3:$H$10000,$A53)/B53,2))</f>
        <v/>
      </c>
      <c r="E53" s="79" t="str">
        <f>IF($A53="","",COUNTIFS(Evaluations!$H$3:$H$10000,$A53,Evaluations!$M$3:$M$10000,"پاسخ داده شده"))</f>
        <v/>
      </c>
      <c r="F53" s="79" t="str">
        <f>IF($A53="","",IFERROR(COUNTIFS(Evaluations!$H$3:$H$10000,$A53,Evaluations!$O$3:$O$10000,"رعایت شده")/(COUNTIFS(Evaluations!$H$3:$H$10000,$A53,Evaluations!$O$3:$O$10000,"رعایت شده")+COUNTIFS(Evaluations!$H$3:$H$10000,$A53,Evaluations!$O$3:$O$10000,"رعایت نشده")),""))</f>
        <v/>
      </c>
      <c r="G53" s="79" t="str">
        <f>IF($A53="","",IFERROR(ROUND(100*COUNTIFS(Evaluations!$H$3:$H$10000,$A53,Evaluations!$Q$3:$Q$10000,1)/(COUNTIFS(Evaluations!$H$3:$H$10000,$A53,Evaluations!$Q$3:$Q$10000,1)+COUNTIFS(Evaluations!$H$3:$H$10000,$A53,Evaluations!$Q$3:$Q$10000,0)),2),""))</f>
        <v/>
      </c>
      <c r="H53" s="79" t="str">
        <f>IF($A53="","",IFERROR(ROUND(100*COUNTIFS(Evaluations!$H$3:$H$10000,$A53,Evaluations!$R$3:$R$10000,1)/(COUNTIFS(Evaluations!$H$3:$H$10000,$A53,Evaluations!$R$3:$R$10000,1)+COUNTIFS(Evaluations!$H$3:$H$10000,$A53,Evaluations!$R$3:$R$10000,0)),2),""))</f>
        <v/>
      </c>
      <c r="I53" s="79" t="str">
        <f>IF($A53="","",IFERROR(ROUND(100*COUNTIFS(Evaluations!$H$3:$H$10000,$A53,Evaluations!$S$3:$S$10000,1)/(COUNTIFS(Evaluations!$H$3:$H$10000,$A53,Evaluations!$S$3:$S$10000,1)+COUNTIFS(Evaluations!$H$3:$H$10000,$A53,Evaluations!$S$3:$S$10000,0)),2),""))</f>
        <v/>
      </c>
      <c r="J53" s="79" t="str">
        <f>IF($A53="","",IFERROR(ROUND(100*COUNTIFS(Evaluations!$H$3:$H$10000,$A53,Evaluations!$T$3:$T$10000,1)/(COUNTIFS(Evaluations!$H$3:$H$10000,$A53,Evaluations!$T$3:$T$10000,1)+COUNTIFS(Evaluations!$H$3:$H$10000,$A53,Evaluations!$T$3:$T$10000,0)),2),""))</f>
        <v/>
      </c>
      <c r="K53" s="79" t="str">
        <f>IF($A53="","",COUNTIFS(Evaluations!$H$3:$H$10000,$A53,Evaluations!$M$3:$M$10000,"عدم پاسخ"))</f>
        <v/>
      </c>
      <c r="L53" s="79" t="str">
        <f>IF($A53="","",COUNTIFS(Evaluations!$H$3:$H$10000,$A53,Evaluations!$O$3:$O$10000,"رعایت نشده"))</f>
        <v/>
      </c>
    </row>
    <row r="54">
      <c r="A54" s="79"/>
      <c r="B54" s="79" t="str">
        <f>IF($A54="","",COUNTIFS(Evaluations!$H$3:$H$10000,$A54,Evaluations!$U$3:$U$10000,"&gt;=0",Evaluations!$U$3:$U$10000,"&lt;=100"))</f>
        <v/>
      </c>
      <c r="C54" s="79" t="str">
        <f>IF($A54="","",COUNTIFS('Agent Report'!$B$4:$B$53,$A54,'Agent Report'!$C$4:$C$53,"&gt;0"))</f>
        <v/>
      </c>
      <c r="D54" s="79" t="str">
        <f>IF(OR($A54="",B54=0),"",ROUND(SUMIFS(Evaluations!$U$3:$U$10000,Evaluations!$H$3:$H$10000,$A54)/B54,2))</f>
        <v/>
      </c>
      <c r="E54" s="79" t="str">
        <f>IF($A54="","",COUNTIFS(Evaluations!$H$3:$H$10000,$A54,Evaluations!$M$3:$M$10000,"پاسخ داده شده"))</f>
        <v/>
      </c>
      <c r="F54" s="79" t="str">
        <f>IF($A54="","",IFERROR(COUNTIFS(Evaluations!$H$3:$H$10000,$A54,Evaluations!$O$3:$O$10000,"رعایت شده")/(COUNTIFS(Evaluations!$H$3:$H$10000,$A54,Evaluations!$O$3:$O$10000,"رعایت شده")+COUNTIFS(Evaluations!$H$3:$H$10000,$A54,Evaluations!$O$3:$O$10000,"رعایت نشده")),""))</f>
        <v/>
      </c>
      <c r="G54" s="79" t="str">
        <f>IF($A54="","",IFERROR(ROUND(100*COUNTIFS(Evaluations!$H$3:$H$10000,$A54,Evaluations!$Q$3:$Q$10000,1)/(COUNTIFS(Evaluations!$H$3:$H$10000,$A54,Evaluations!$Q$3:$Q$10000,1)+COUNTIFS(Evaluations!$H$3:$H$10000,$A54,Evaluations!$Q$3:$Q$10000,0)),2),""))</f>
        <v/>
      </c>
      <c r="H54" s="79" t="str">
        <f>IF($A54="","",IFERROR(ROUND(100*COUNTIFS(Evaluations!$H$3:$H$10000,$A54,Evaluations!$R$3:$R$10000,1)/(COUNTIFS(Evaluations!$H$3:$H$10000,$A54,Evaluations!$R$3:$R$10000,1)+COUNTIFS(Evaluations!$H$3:$H$10000,$A54,Evaluations!$R$3:$R$10000,0)),2),""))</f>
        <v/>
      </c>
      <c r="I54" s="79" t="str">
        <f>IF($A54="","",IFERROR(ROUND(100*COUNTIFS(Evaluations!$H$3:$H$10000,$A54,Evaluations!$S$3:$S$10000,1)/(COUNTIFS(Evaluations!$H$3:$H$10000,$A54,Evaluations!$S$3:$S$10000,1)+COUNTIFS(Evaluations!$H$3:$H$10000,$A54,Evaluations!$S$3:$S$10000,0)),2),""))</f>
        <v/>
      </c>
      <c r="J54" s="79" t="str">
        <f>IF($A54="","",IFERROR(ROUND(100*COUNTIFS(Evaluations!$H$3:$H$10000,$A54,Evaluations!$T$3:$T$10000,1)/(COUNTIFS(Evaluations!$H$3:$H$10000,$A54,Evaluations!$T$3:$T$10000,1)+COUNTIFS(Evaluations!$H$3:$H$10000,$A54,Evaluations!$T$3:$T$10000,0)),2),""))</f>
        <v/>
      </c>
      <c r="K54" s="79" t="str">
        <f>IF($A54="","",COUNTIFS(Evaluations!$H$3:$H$10000,$A54,Evaluations!$M$3:$M$10000,"عدم پاسخ"))</f>
        <v/>
      </c>
      <c r="L54" s="79" t="str">
        <f>IF($A54="","",COUNTIFS(Evaluations!$H$3:$H$10000,$A54,Evaluations!$O$3:$O$10000,"رعایت نشده"))</f>
        <v/>
      </c>
    </row>
    <row r="55">
      <c r="A55" s="79"/>
      <c r="B55" s="79" t="str">
        <f>IF($A55="","",COUNTIFS(Evaluations!$H$3:$H$10000,$A55,Evaluations!$U$3:$U$10000,"&gt;=0",Evaluations!$U$3:$U$10000,"&lt;=100"))</f>
        <v/>
      </c>
      <c r="C55" s="79" t="str">
        <f>IF($A55="","",COUNTIFS('Agent Report'!$B$4:$B$53,$A55,'Agent Report'!$C$4:$C$53,"&gt;0"))</f>
        <v/>
      </c>
      <c r="D55" s="79" t="str">
        <f>IF(OR($A55="",B55=0),"",ROUND(SUMIFS(Evaluations!$U$3:$U$10000,Evaluations!$H$3:$H$10000,$A55)/B55,2))</f>
        <v/>
      </c>
      <c r="E55" s="79" t="str">
        <f>IF($A55="","",COUNTIFS(Evaluations!$H$3:$H$10000,$A55,Evaluations!$M$3:$M$10000,"پاسخ داده شده"))</f>
        <v/>
      </c>
      <c r="F55" s="79" t="str">
        <f>IF($A55="","",IFERROR(COUNTIFS(Evaluations!$H$3:$H$10000,$A55,Evaluations!$O$3:$O$10000,"رعایت شده")/(COUNTIFS(Evaluations!$H$3:$H$10000,$A55,Evaluations!$O$3:$O$10000,"رعایت شده")+COUNTIFS(Evaluations!$H$3:$H$10000,$A55,Evaluations!$O$3:$O$10000,"رعایت نشده")),""))</f>
        <v/>
      </c>
      <c r="G55" s="79" t="str">
        <f>IF($A55="","",IFERROR(ROUND(100*COUNTIFS(Evaluations!$H$3:$H$10000,$A55,Evaluations!$Q$3:$Q$10000,1)/(COUNTIFS(Evaluations!$H$3:$H$10000,$A55,Evaluations!$Q$3:$Q$10000,1)+COUNTIFS(Evaluations!$H$3:$H$10000,$A55,Evaluations!$Q$3:$Q$10000,0)),2),""))</f>
        <v/>
      </c>
      <c r="H55" s="79" t="str">
        <f>IF($A55="","",IFERROR(ROUND(100*COUNTIFS(Evaluations!$H$3:$H$10000,$A55,Evaluations!$R$3:$R$10000,1)/(COUNTIFS(Evaluations!$H$3:$H$10000,$A55,Evaluations!$R$3:$R$10000,1)+COUNTIFS(Evaluations!$H$3:$H$10000,$A55,Evaluations!$R$3:$R$10000,0)),2),""))</f>
        <v/>
      </c>
      <c r="I55" s="79" t="str">
        <f>IF($A55="","",IFERROR(ROUND(100*COUNTIFS(Evaluations!$H$3:$H$10000,$A55,Evaluations!$S$3:$S$10000,1)/(COUNTIFS(Evaluations!$H$3:$H$10000,$A55,Evaluations!$S$3:$S$10000,1)+COUNTIFS(Evaluations!$H$3:$H$10000,$A55,Evaluations!$S$3:$S$10000,0)),2),""))</f>
        <v/>
      </c>
      <c r="J55" s="79" t="str">
        <f>IF($A55="","",IFERROR(ROUND(100*COUNTIFS(Evaluations!$H$3:$H$10000,$A55,Evaluations!$T$3:$T$10000,1)/(COUNTIFS(Evaluations!$H$3:$H$10000,$A55,Evaluations!$T$3:$T$10000,1)+COUNTIFS(Evaluations!$H$3:$H$10000,$A55,Evaluations!$T$3:$T$10000,0)),2),""))</f>
        <v/>
      </c>
      <c r="K55" s="79" t="str">
        <f>IF($A55="","",COUNTIFS(Evaluations!$H$3:$H$10000,$A55,Evaluations!$M$3:$M$10000,"عدم پاسخ"))</f>
        <v/>
      </c>
      <c r="L55" s="79" t="str">
        <f>IF($A55="","",COUNTIFS(Evaluations!$H$3:$H$10000,$A55,Evaluations!$O$3:$O$10000,"رعایت نشده"))</f>
        <v/>
      </c>
    </row>
    <row r="56">
      <c r="A56" s="79"/>
      <c r="B56" s="79" t="str">
        <f>IF($A56="","",COUNTIFS(Evaluations!$H$3:$H$10000,$A56,Evaluations!$U$3:$U$10000,"&gt;=0",Evaluations!$U$3:$U$10000,"&lt;=100"))</f>
        <v/>
      </c>
      <c r="C56" s="79" t="str">
        <f>IF($A56="","",COUNTIFS('Agent Report'!$B$4:$B$53,$A56,'Agent Report'!$C$4:$C$53,"&gt;0"))</f>
        <v/>
      </c>
      <c r="D56" s="79" t="str">
        <f>IF(OR($A56="",B56=0),"",ROUND(SUMIFS(Evaluations!$U$3:$U$10000,Evaluations!$H$3:$H$10000,$A56)/B56,2))</f>
        <v/>
      </c>
      <c r="E56" s="79" t="str">
        <f>IF($A56="","",COUNTIFS(Evaluations!$H$3:$H$10000,$A56,Evaluations!$M$3:$M$10000,"پاسخ داده شده"))</f>
        <v/>
      </c>
      <c r="F56" s="79" t="str">
        <f>IF($A56="","",IFERROR(COUNTIFS(Evaluations!$H$3:$H$10000,$A56,Evaluations!$O$3:$O$10000,"رعایت شده")/(COUNTIFS(Evaluations!$H$3:$H$10000,$A56,Evaluations!$O$3:$O$10000,"رعایت شده")+COUNTIFS(Evaluations!$H$3:$H$10000,$A56,Evaluations!$O$3:$O$10000,"رعایت نشده")),""))</f>
        <v/>
      </c>
      <c r="G56" s="79" t="str">
        <f>IF($A56="","",IFERROR(ROUND(100*COUNTIFS(Evaluations!$H$3:$H$10000,$A56,Evaluations!$Q$3:$Q$10000,1)/(COUNTIFS(Evaluations!$H$3:$H$10000,$A56,Evaluations!$Q$3:$Q$10000,1)+COUNTIFS(Evaluations!$H$3:$H$10000,$A56,Evaluations!$Q$3:$Q$10000,0)),2),""))</f>
        <v/>
      </c>
      <c r="H56" s="79" t="str">
        <f>IF($A56="","",IFERROR(ROUND(100*COUNTIFS(Evaluations!$H$3:$H$10000,$A56,Evaluations!$R$3:$R$10000,1)/(COUNTIFS(Evaluations!$H$3:$H$10000,$A56,Evaluations!$R$3:$R$10000,1)+COUNTIFS(Evaluations!$H$3:$H$10000,$A56,Evaluations!$R$3:$R$10000,0)),2),""))</f>
        <v/>
      </c>
      <c r="I56" s="79" t="str">
        <f>IF($A56="","",IFERROR(ROUND(100*COUNTIFS(Evaluations!$H$3:$H$10000,$A56,Evaluations!$S$3:$S$10000,1)/(COUNTIFS(Evaluations!$H$3:$H$10000,$A56,Evaluations!$S$3:$S$10000,1)+COUNTIFS(Evaluations!$H$3:$H$10000,$A56,Evaluations!$S$3:$S$10000,0)),2),""))</f>
        <v/>
      </c>
      <c r="J56" s="79" t="str">
        <f>IF($A56="","",IFERROR(ROUND(100*COUNTIFS(Evaluations!$H$3:$H$10000,$A56,Evaluations!$T$3:$T$10000,1)/(COUNTIFS(Evaluations!$H$3:$H$10000,$A56,Evaluations!$T$3:$T$10000,1)+COUNTIFS(Evaluations!$H$3:$H$10000,$A56,Evaluations!$T$3:$T$10000,0)),2),""))</f>
        <v/>
      </c>
      <c r="K56" s="79" t="str">
        <f>IF($A56="","",COUNTIFS(Evaluations!$H$3:$H$10000,$A56,Evaluations!$M$3:$M$10000,"عدم پاسخ"))</f>
        <v/>
      </c>
      <c r="L56" s="79" t="str">
        <f>IF($A56="","",COUNTIFS(Evaluations!$H$3:$H$10000,$A56,Evaluations!$O$3:$O$10000,"رعایت نشده"))</f>
        <v/>
      </c>
    </row>
    <row r="57">
      <c r="A57" s="79"/>
      <c r="B57" s="79" t="str">
        <f>IF($A57="","",COUNTIFS(Evaluations!$H$3:$H$10000,$A57,Evaluations!$U$3:$U$10000,"&gt;=0",Evaluations!$U$3:$U$10000,"&lt;=100"))</f>
        <v/>
      </c>
      <c r="C57" s="79" t="str">
        <f>IF($A57="","",COUNTIFS('Agent Report'!$B$4:$B$53,$A57,'Agent Report'!$C$4:$C$53,"&gt;0"))</f>
        <v/>
      </c>
      <c r="D57" s="79" t="str">
        <f>IF(OR($A57="",B57=0),"",ROUND(SUMIFS(Evaluations!$U$3:$U$10000,Evaluations!$H$3:$H$10000,$A57)/B57,2))</f>
        <v/>
      </c>
      <c r="E57" s="79" t="str">
        <f>IF($A57="","",COUNTIFS(Evaluations!$H$3:$H$10000,$A57,Evaluations!$M$3:$M$10000,"پاسخ داده شده"))</f>
        <v/>
      </c>
      <c r="F57" s="79" t="str">
        <f>IF($A57="","",IFERROR(COUNTIFS(Evaluations!$H$3:$H$10000,$A57,Evaluations!$O$3:$O$10000,"رعایت شده")/(COUNTIFS(Evaluations!$H$3:$H$10000,$A57,Evaluations!$O$3:$O$10000,"رعایت شده")+COUNTIFS(Evaluations!$H$3:$H$10000,$A57,Evaluations!$O$3:$O$10000,"رعایت نشده")),""))</f>
        <v/>
      </c>
      <c r="G57" s="79" t="str">
        <f>IF($A57="","",IFERROR(ROUND(100*COUNTIFS(Evaluations!$H$3:$H$10000,$A57,Evaluations!$Q$3:$Q$10000,1)/(COUNTIFS(Evaluations!$H$3:$H$10000,$A57,Evaluations!$Q$3:$Q$10000,1)+COUNTIFS(Evaluations!$H$3:$H$10000,$A57,Evaluations!$Q$3:$Q$10000,0)),2),""))</f>
        <v/>
      </c>
      <c r="H57" s="79" t="str">
        <f>IF($A57="","",IFERROR(ROUND(100*COUNTIFS(Evaluations!$H$3:$H$10000,$A57,Evaluations!$R$3:$R$10000,1)/(COUNTIFS(Evaluations!$H$3:$H$10000,$A57,Evaluations!$R$3:$R$10000,1)+COUNTIFS(Evaluations!$H$3:$H$10000,$A57,Evaluations!$R$3:$R$10000,0)),2),""))</f>
        <v/>
      </c>
      <c r="I57" s="79" t="str">
        <f>IF($A57="","",IFERROR(ROUND(100*COUNTIFS(Evaluations!$H$3:$H$10000,$A57,Evaluations!$S$3:$S$10000,1)/(COUNTIFS(Evaluations!$H$3:$H$10000,$A57,Evaluations!$S$3:$S$10000,1)+COUNTIFS(Evaluations!$H$3:$H$10000,$A57,Evaluations!$S$3:$S$10000,0)),2),""))</f>
        <v/>
      </c>
      <c r="J57" s="79" t="str">
        <f>IF($A57="","",IFERROR(ROUND(100*COUNTIFS(Evaluations!$H$3:$H$10000,$A57,Evaluations!$T$3:$T$10000,1)/(COUNTIFS(Evaluations!$H$3:$H$10000,$A57,Evaluations!$T$3:$T$10000,1)+COUNTIFS(Evaluations!$H$3:$H$10000,$A57,Evaluations!$T$3:$T$10000,0)),2),""))</f>
        <v/>
      </c>
      <c r="K57" s="79" t="str">
        <f>IF($A57="","",COUNTIFS(Evaluations!$H$3:$H$10000,$A57,Evaluations!$M$3:$M$10000,"عدم پاسخ"))</f>
        <v/>
      </c>
      <c r="L57" s="79" t="str">
        <f>IF($A57="","",COUNTIFS(Evaluations!$H$3:$H$10000,$A57,Evaluations!$O$3:$O$10000,"رعایت نشده"))</f>
        <v/>
      </c>
    </row>
    <row r="58">
      <c r="A58" s="79"/>
      <c r="B58" s="79" t="str">
        <f>IF($A58="","",COUNTIFS(Evaluations!$H$3:$H$10000,$A58,Evaluations!$U$3:$U$10000,"&gt;=0",Evaluations!$U$3:$U$10000,"&lt;=100"))</f>
        <v/>
      </c>
      <c r="C58" s="79" t="str">
        <f>IF($A58="","",COUNTIFS('Agent Report'!$B$4:$B$53,$A58,'Agent Report'!$C$4:$C$53,"&gt;0"))</f>
        <v/>
      </c>
      <c r="D58" s="79" t="str">
        <f>IF(OR($A58="",B58=0),"",ROUND(SUMIFS(Evaluations!$U$3:$U$10000,Evaluations!$H$3:$H$10000,$A58)/B58,2))</f>
        <v/>
      </c>
      <c r="E58" s="79" t="str">
        <f>IF($A58="","",COUNTIFS(Evaluations!$H$3:$H$10000,$A58,Evaluations!$M$3:$M$10000,"پاسخ داده شده"))</f>
        <v/>
      </c>
      <c r="F58" s="79" t="str">
        <f>IF($A58="","",IFERROR(COUNTIFS(Evaluations!$H$3:$H$10000,$A58,Evaluations!$O$3:$O$10000,"رعایت شده")/(COUNTIFS(Evaluations!$H$3:$H$10000,$A58,Evaluations!$O$3:$O$10000,"رعایت شده")+COUNTIFS(Evaluations!$H$3:$H$10000,$A58,Evaluations!$O$3:$O$10000,"رعایت نشده")),""))</f>
        <v/>
      </c>
      <c r="G58" s="79" t="str">
        <f>IF($A58="","",IFERROR(ROUND(100*COUNTIFS(Evaluations!$H$3:$H$10000,$A58,Evaluations!$Q$3:$Q$10000,1)/(COUNTIFS(Evaluations!$H$3:$H$10000,$A58,Evaluations!$Q$3:$Q$10000,1)+COUNTIFS(Evaluations!$H$3:$H$10000,$A58,Evaluations!$Q$3:$Q$10000,0)),2),""))</f>
        <v/>
      </c>
      <c r="H58" s="79" t="str">
        <f>IF($A58="","",IFERROR(ROUND(100*COUNTIFS(Evaluations!$H$3:$H$10000,$A58,Evaluations!$R$3:$R$10000,1)/(COUNTIFS(Evaluations!$H$3:$H$10000,$A58,Evaluations!$R$3:$R$10000,1)+COUNTIFS(Evaluations!$H$3:$H$10000,$A58,Evaluations!$R$3:$R$10000,0)),2),""))</f>
        <v/>
      </c>
      <c r="I58" s="79" t="str">
        <f>IF($A58="","",IFERROR(ROUND(100*COUNTIFS(Evaluations!$H$3:$H$10000,$A58,Evaluations!$S$3:$S$10000,1)/(COUNTIFS(Evaluations!$H$3:$H$10000,$A58,Evaluations!$S$3:$S$10000,1)+COUNTIFS(Evaluations!$H$3:$H$10000,$A58,Evaluations!$S$3:$S$10000,0)),2),""))</f>
        <v/>
      </c>
      <c r="J58" s="79" t="str">
        <f>IF($A58="","",IFERROR(ROUND(100*COUNTIFS(Evaluations!$H$3:$H$10000,$A58,Evaluations!$T$3:$T$10000,1)/(COUNTIFS(Evaluations!$H$3:$H$10000,$A58,Evaluations!$T$3:$T$10000,1)+COUNTIFS(Evaluations!$H$3:$H$10000,$A58,Evaluations!$T$3:$T$10000,0)),2),""))</f>
        <v/>
      </c>
      <c r="K58" s="79" t="str">
        <f>IF($A58="","",COUNTIFS(Evaluations!$H$3:$H$10000,$A58,Evaluations!$M$3:$M$10000,"عدم پاسخ"))</f>
        <v/>
      </c>
      <c r="L58" s="79" t="str">
        <f>IF($A58="","",COUNTIFS(Evaluations!$H$3:$H$10000,$A58,Evaluations!$O$3:$O$10000,"رعایت نشده"))</f>
        <v/>
      </c>
    </row>
    <row r="59">
      <c r="A59" s="79"/>
      <c r="B59" s="79" t="str">
        <f>IF($A59="","",COUNTIFS(Evaluations!$H$3:$H$10000,$A59,Evaluations!$U$3:$U$10000,"&gt;=0",Evaluations!$U$3:$U$10000,"&lt;=100"))</f>
        <v/>
      </c>
      <c r="C59" s="79" t="str">
        <f>IF($A59="","",COUNTIFS('Agent Report'!$B$4:$B$53,$A59,'Agent Report'!$C$4:$C$53,"&gt;0"))</f>
        <v/>
      </c>
      <c r="D59" s="79" t="str">
        <f>IF(OR($A59="",B59=0),"",ROUND(SUMIFS(Evaluations!$U$3:$U$10000,Evaluations!$H$3:$H$10000,$A59)/B59,2))</f>
        <v/>
      </c>
      <c r="E59" s="79" t="str">
        <f>IF($A59="","",COUNTIFS(Evaluations!$H$3:$H$10000,$A59,Evaluations!$M$3:$M$10000,"پاسخ داده شده"))</f>
        <v/>
      </c>
      <c r="F59" s="79" t="str">
        <f>IF($A59="","",IFERROR(COUNTIFS(Evaluations!$H$3:$H$10000,$A59,Evaluations!$O$3:$O$10000,"رعایت شده")/(COUNTIFS(Evaluations!$H$3:$H$10000,$A59,Evaluations!$O$3:$O$10000,"رعایت شده")+COUNTIFS(Evaluations!$H$3:$H$10000,$A59,Evaluations!$O$3:$O$10000,"رعایت نشده")),""))</f>
        <v/>
      </c>
      <c r="G59" s="79" t="str">
        <f>IF($A59="","",IFERROR(ROUND(100*COUNTIFS(Evaluations!$H$3:$H$10000,$A59,Evaluations!$Q$3:$Q$10000,1)/(COUNTIFS(Evaluations!$H$3:$H$10000,$A59,Evaluations!$Q$3:$Q$10000,1)+COUNTIFS(Evaluations!$H$3:$H$10000,$A59,Evaluations!$Q$3:$Q$10000,0)),2),""))</f>
        <v/>
      </c>
      <c r="H59" s="79" t="str">
        <f>IF($A59="","",IFERROR(ROUND(100*COUNTIFS(Evaluations!$H$3:$H$10000,$A59,Evaluations!$R$3:$R$10000,1)/(COUNTIFS(Evaluations!$H$3:$H$10000,$A59,Evaluations!$R$3:$R$10000,1)+COUNTIFS(Evaluations!$H$3:$H$10000,$A59,Evaluations!$R$3:$R$10000,0)),2),""))</f>
        <v/>
      </c>
      <c r="I59" s="79" t="str">
        <f>IF($A59="","",IFERROR(ROUND(100*COUNTIFS(Evaluations!$H$3:$H$10000,$A59,Evaluations!$S$3:$S$10000,1)/(COUNTIFS(Evaluations!$H$3:$H$10000,$A59,Evaluations!$S$3:$S$10000,1)+COUNTIFS(Evaluations!$H$3:$H$10000,$A59,Evaluations!$S$3:$S$10000,0)),2),""))</f>
        <v/>
      </c>
      <c r="J59" s="79" t="str">
        <f>IF($A59="","",IFERROR(ROUND(100*COUNTIFS(Evaluations!$H$3:$H$10000,$A59,Evaluations!$T$3:$T$10000,1)/(COUNTIFS(Evaluations!$H$3:$H$10000,$A59,Evaluations!$T$3:$T$10000,1)+COUNTIFS(Evaluations!$H$3:$H$10000,$A59,Evaluations!$T$3:$T$10000,0)),2),""))</f>
        <v/>
      </c>
      <c r="K59" s="79" t="str">
        <f>IF($A59="","",COUNTIFS(Evaluations!$H$3:$H$10000,$A59,Evaluations!$M$3:$M$10000,"عدم پاسخ"))</f>
        <v/>
      </c>
      <c r="L59" s="79" t="str">
        <f>IF($A59="","",COUNTIFS(Evaluations!$H$3:$H$10000,$A59,Evaluations!$O$3:$O$10000,"رعایت نشده"))</f>
        <v/>
      </c>
    </row>
    <row r="60">
      <c r="A60" s="79"/>
      <c r="B60" s="79" t="str">
        <f>IF($A60="","",COUNTIFS(Evaluations!$H$3:$H$10000,$A60,Evaluations!$U$3:$U$10000,"&gt;=0",Evaluations!$U$3:$U$10000,"&lt;=100"))</f>
        <v/>
      </c>
      <c r="C60" s="79" t="str">
        <f>IF($A60="","",COUNTIFS('Agent Report'!$B$4:$B$53,$A60,'Agent Report'!$C$4:$C$53,"&gt;0"))</f>
        <v/>
      </c>
      <c r="D60" s="79" t="str">
        <f>IF(OR($A60="",B60=0),"",ROUND(SUMIFS(Evaluations!$U$3:$U$10000,Evaluations!$H$3:$H$10000,$A60)/B60,2))</f>
        <v/>
      </c>
      <c r="E60" s="79" t="str">
        <f>IF($A60="","",COUNTIFS(Evaluations!$H$3:$H$10000,$A60,Evaluations!$M$3:$M$10000,"پاسخ داده شده"))</f>
        <v/>
      </c>
      <c r="F60" s="79" t="str">
        <f>IF($A60="","",IFERROR(COUNTIFS(Evaluations!$H$3:$H$10000,$A60,Evaluations!$O$3:$O$10000,"رعایت شده")/(COUNTIFS(Evaluations!$H$3:$H$10000,$A60,Evaluations!$O$3:$O$10000,"رعایت شده")+COUNTIFS(Evaluations!$H$3:$H$10000,$A60,Evaluations!$O$3:$O$10000,"رعایت نشده")),""))</f>
        <v/>
      </c>
      <c r="G60" s="79" t="str">
        <f>IF($A60="","",IFERROR(ROUND(100*COUNTIFS(Evaluations!$H$3:$H$10000,$A60,Evaluations!$Q$3:$Q$10000,1)/(COUNTIFS(Evaluations!$H$3:$H$10000,$A60,Evaluations!$Q$3:$Q$10000,1)+COUNTIFS(Evaluations!$H$3:$H$10000,$A60,Evaluations!$Q$3:$Q$10000,0)),2),""))</f>
        <v/>
      </c>
      <c r="H60" s="79" t="str">
        <f>IF($A60="","",IFERROR(ROUND(100*COUNTIFS(Evaluations!$H$3:$H$10000,$A60,Evaluations!$R$3:$R$10000,1)/(COUNTIFS(Evaluations!$H$3:$H$10000,$A60,Evaluations!$R$3:$R$10000,1)+COUNTIFS(Evaluations!$H$3:$H$10000,$A60,Evaluations!$R$3:$R$10000,0)),2),""))</f>
        <v/>
      </c>
      <c r="I60" s="79" t="str">
        <f>IF($A60="","",IFERROR(ROUND(100*COUNTIFS(Evaluations!$H$3:$H$10000,$A60,Evaluations!$S$3:$S$10000,1)/(COUNTIFS(Evaluations!$H$3:$H$10000,$A60,Evaluations!$S$3:$S$10000,1)+COUNTIFS(Evaluations!$H$3:$H$10000,$A60,Evaluations!$S$3:$S$10000,0)),2),""))</f>
        <v/>
      </c>
      <c r="J60" s="79" t="str">
        <f>IF($A60="","",IFERROR(ROUND(100*COUNTIFS(Evaluations!$H$3:$H$10000,$A60,Evaluations!$T$3:$T$10000,1)/(COUNTIFS(Evaluations!$H$3:$H$10000,$A60,Evaluations!$T$3:$T$10000,1)+COUNTIFS(Evaluations!$H$3:$H$10000,$A60,Evaluations!$T$3:$T$10000,0)),2),""))</f>
        <v/>
      </c>
      <c r="K60" s="79" t="str">
        <f>IF($A60="","",COUNTIFS(Evaluations!$H$3:$H$10000,$A60,Evaluations!$M$3:$M$10000,"عدم پاسخ"))</f>
        <v/>
      </c>
      <c r="L60" s="79" t="str">
        <f>IF($A60="","",COUNTIFS(Evaluations!$H$3:$H$10000,$A60,Evaluations!$O$3:$O$10000,"رعایت نشده"))</f>
        <v/>
      </c>
    </row>
    <row r="61">
      <c r="A61" s="79"/>
      <c r="B61" s="79" t="str">
        <f>IF($A61="","",COUNTIFS(Evaluations!$H$3:$H$10000,$A61,Evaluations!$U$3:$U$10000,"&gt;=0",Evaluations!$U$3:$U$10000,"&lt;=100"))</f>
        <v/>
      </c>
      <c r="C61" s="79" t="str">
        <f>IF($A61="","",COUNTIFS('Agent Report'!$B$4:$B$53,$A61,'Agent Report'!$C$4:$C$53,"&gt;0"))</f>
        <v/>
      </c>
      <c r="D61" s="79" t="str">
        <f>IF(OR($A61="",B61=0),"",ROUND(SUMIFS(Evaluations!$U$3:$U$10000,Evaluations!$H$3:$H$10000,$A61)/B61,2))</f>
        <v/>
      </c>
      <c r="E61" s="79" t="str">
        <f>IF($A61="","",COUNTIFS(Evaluations!$H$3:$H$10000,$A61,Evaluations!$M$3:$M$10000,"پاسخ داده شده"))</f>
        <v/>
      </c>
      <c r="F61" s="79" t="str">
        <f>IF($A61="","",IFERROR(COUNTIFS(Evaluations!$H$3:$H$10000,$A61,Evaluations!$O$3:$O$10000,"رعایت شده")/(COUNTIFS(Evaluations!$H$3:$H$10000,$A61,Evaluations!$O$3:$O$10000,"رعایت شده")+COUNTIFS(Evaluations!$H$3:$H$10000,$A61,Evaluations!$O$3:$O$10000,"رعایت نشده")),""))</f>
        <v/>
      </c>
      <c r="G61" s="79" t="str">
        <f>IF($A61="","",IFERROR(ROUND(100*COUNTIFS(Evaluations!$H$3:$H$10000,$A61,Evaluations!$Q$3:$Q$10000,1)/(COUNTIFS(Evaluations!$H$3:$H$10000,$A61,Evaluations!$Q$3:$Q$10000,1)+COUNTIFS(Evaluations!$H$3:$H$10000,$A61,Evaluations!$Q$3:$Q$10000,0)),2),""))</f>
        <v/>
      </c>
      <c r="H61" s="79" t="str">
        <f>IF($A61="","",IFERROR(ROUND(100*COUNTIFS(Evaluations!$H$3:$H$10000,$A61,Evaluations!$R$3:$R$10000,1)/(COUNTIFS(Evaluations!$H$3:$H$10000,$A61,Evaluations!$R$3:$R$10000,1)+COUNTIFS(Evaluations!$H$3:$H$10000,$A61,Evaluations!$R$3:$R$10000,0)),2),""))</f>
        <v/>
      </c>
      <c r="I61" s="79" t="str">
        <f>IF($A61="","",IFERROR(ROUND(100*COUNTIFS(Evaluations!$H$3:$H$10000,$A61,Evaluations!$S$3:$S$10000,1)/(COUNTIFS(Evaluations!$H$3:$H$10000,$A61,Evaluations!$S$3:$S$10000,1)+COUNTIFS(Evaluations!$H$3:$H$10000,$A61,Evaluations!$S$3:$S$10000,0)),2),""))</f>
        <v/>
      </c>
      <c r="J61" s="79" t="str">
        <f>IF($A61="","",IFERROR(ROUND(100*COUNTIFS(Evaluations!$H$3:$H$10000,$A61,Evaluations!$T$3:$T$10000,1)/(COUNTIFS(Evaluations!$H$3:$H$10000,$A61,Evaluations!$T$3:$T$10000,1)+COUNTIFS(Evaluations!$H$3:$H$10000,$A61,Evaluations!$T$3:$T$10000,0)),2),""))</f>
        <v/>
      </c>
      <c r="K61" s="79" t="str">
        <f>IF($A61="","",COUNTIFS(Evaluations!$H$3:$H$10000,$A61,Evaluations!$M$3:$M$10000,"عدم پاسخ"))</f>
        <v/>
      </c>
      <c r="L61" s="79" t="str">
        <f>IF($A61="","",COUNTIFS(Evaluations!$H$3:$H$10000,$A61,Evaluations!$O$3:$O$10000,"رعایت نشده"))</f>
        <v/>
      </c>
    </row>
    <row r="62">
      <c r="A62" s="79"/>
      <c r="B62" s="79" t="str">
        <f>IF($A62="","",COUNTIFS(Evaluations!$H$3:$H$10000,$A62,Evaluations!$U$3:$U$10000,"&gt;=0",Evaluations!$U$3:$U$10000,"&lt;=100"))</f>
        <v/>
      </c>
      <c r="C62" s="79" t="str">
        <f>IF($A62="","",COUNTIFS('Agent Report'!$B$4:$B$53,$A62,'Agent Report'!$C$4:$C$53,"&gt;0"))</f>
        <v/>
      </c>
      <c r="D62" s="79" t="str">
        <f>IF(OR($A62="",B62=0),"",ROUND(SUMIFS(Evaluations!$U$3:$U$10000,Evaluations!$H$3:$H$10000,$A62)/B62,2))</f>
        <v/>
      </c>
      <c r="E62" s="79" t="str">
        <f>IF($A62="","",COUNTIFS(Evaluations!$H$3:$H$10000,$A62,Evaluations!$M$3:$M$10000,"پاسخ داده شده"))</f>
        <v/>
      </c>
      <c r="F62" s="79" t="str">
        <f>IF($A62="","",IFERROR(COUNTIFS(Evaluations!$H$3:$H$10000,$A62,Evaluations!$O$3:$O$10000,"رعایت شده")/(COUNTIFS(Evaluations!$H$3:$H$10000,$A62,Evaluations!$O$3:$O$10000,"رعایت شده")+COUNTIFS(Evaluations!$H$3:$H$10000,$A62,Evaluations!$O$3:$O$10000,"رعایت نشده")),""))</f>
        <v/>
      </c>
      <c r="G62" s="79" t="str">
        <f>IF($A62="","",IFERROR(ROUND(100*COUNTIFS(Evaluations!$H$3:$H$10000,$A62,Evaluations!$Q$3:$Q$10000,1)/(COUNTIFS(Evaluations!$H$3:$H$10000,$A62,Evaluations!$Q$3:$Q$10000,1)+COUNTIFS(Evaluations!$H$3:$H$10000,$A62,Evaluations!$Q$3:$Q$10000,0)),2),""))</f>
        <v/>
      </c>
      <c r="H62" s="79" t="str">
        <f>IF($A62="","",IFERROR(ROUND(100*COUNTIFS(Evaluations!$H$3:$H$10000,$A62,Evaluations!$R$3:$R$10000,1)/(COUNTIFS(Evaluations!$H$3:$H$10000,$A62,Evaluations!$R$3:$R$10000,1)+COUNTIFS(Evaluations!$H$3:$H$10000,$A62,Evaluations!$R$3:$R$10000,0)),2),""))</f>
        <v/>
      </c>
      <c r="I62" s="79" t="str">
        <f>IF($A62="","",IFERROR(ROUND(100*COUNTIFS(Evaluations!$H$3:$H$10000,$A62,Evaluations!$S$3:$S$10000,1)/(COUNTIFS(Evaluations!$H$3:$H$10000,$A62,Evaluations!$S$3:$S$10000,1)+COUNTIFS(Evaluations!$H$3:$H$10000,$A62,Evaluations!$S$3:$S$10000,0)),2),""))</f>
        <v/>
      </c>
      <c r="J62" s="79" t="str">
        <f>IF($A62="","",IFERROR(ROUND(100*COUNTIFS(Evaluations!$H$3:$H$10000,$A62,Evaluations!$T$3:$T$10000,1)/(COUNTIFS(Evaluations!$H$3:$H$10000,$A62,Evaluations!$T$3:$T$10000,1)+COUNTIFS(Evaluations!$H$3:$H$10000,$A62,Evaluations!$T$3:$T$10000,0)),2),""))</f>
        <v/>
      </c>
      <c r="K62" s="79" t="str">
        <f>IF($A62="","",COUNTIFS(Evaluations!$H$3:$H$10000,$A62,Evaluations!$M$3:$M$10000,"عدم پاسخ"))</f>
        <v/>
      </c>
      <c r="L62" s="79" t="str">
        <f>IF($A62="","",COUNTIFS(Evaluations!$H$3:$H$10000,$A62,Evaluations!$O$3:$O$10000,"رعایت نشده"))</f>
        <v/>
      </c>
    </row>
    <row r="63">
      <c r="A63" s="79"/>
      <c r="B63" s="79" t="str">
        <f>IF($A63="","",COUNTIFS(Evaluations!$H$3:$H$10000,$A63,Evaluations!$U$3:$U$10000,"&gt;=0",Evaluations!$U$3:$U$10000,"&lt;=100"))</f>
        <v/>
      </c>
      <c r="C63" s="79" t="str">
        <f>IF($A63="","",COUNTIFS('Agent Report'!$B$4:$B$53,$A63,'Agent Report'!$C$4:$C$53,"&gt;0"))</f>
        <v/>
      </c>
      <c r="D63" s="79" t="str">
        <f>IF(OR($A63="",B63=0),"",ROUND(SUMIFS(Evaluations!$U$3:$U$10000,Evaluations!$H$3:$H$10000,$A63)/B63,2))</f>
        <v/>
      </c>
      <c r="E63" s="79" t="str">
        <f>IF($A63="","",COUNTIFS(Evaluations!$H$3:$H$10000,$A63,Evaluations!$M$3:$M$10000,"پاسخ داده شده"))</f>
        <v/>
      </c>
      <c r="F63" s="79" t="str">
        <f>IF($A63="","",IFERROR(COUNTIFS(Evaluations!$H$3:$H$10000,$A63,Evaluations!$O$3:$O$10000,"رعایت شده")/(COUNTIFS(Evaluations!$H$3:$H$10000,$A63,Evaluations!$O$3:$O$10000,"رعایت شده")+COUNTIFS(Evaluations!$H$3:$H$10000,$A63,Evaluations!$O$3:$O$10000,"رعایت نشده")),""))</f>
        <v/>
      </c>
      <c r="G63" s="79" t="str">
        <f>IF($A63="","",IFERROR(ROUND(100*COUNTIFS(Evaluations!$H$3:$H$10000,$A63,Evaluations!$Q$3:$Q$10000,1)/(COUNTIFS(Evaluations!$H$3:$H$10000,$A63,Evaluations!$Q$3:$Q$10000,1)+COUNTIFS(Evaluations!$H$3:$H$10000,$A63,Evaluations!$Q$3:$Q$10000,0)),2),""))</f>
        <v/>
      </c>
      <c r="H63" s="79" t="str">
        <f>IF($A63="","",IFERROR(ROUND(100*COUNTIFS(Evaluations!$H$3:$H$10000,$A63,Evaluations!$R$3:$R$10000,1)/(COUNTIFS(Evaluations!$H$3:$H$10000,$A63,Evaluations!$R$3:$R$10000,1)+COUNTIFS(Evaluations!$H$3:$H$10000,$A63,Evaluations!$R$3:$R$10000,0)),2),""))</f>
        <v/>
      </c>
      <c r="I63" s="79" t="str">
        <f>IF($A63="","",IFERROR(ROUND(100*COUNTIFS(Evaluations!$H$3:$H$10000,$A63,Evaluations!$S$3:$S$10000,1)/(COUNTIFS(Evaluations!$H$3:$H$10000,$A63,Evaluations!$S$3:$S$10000,1)+COUNTIFS(Evaluations!$H$3:$H$10000,$A63,Evaluations!$S$3:$S$10000,0)),2),""))</f>
        <v/>
      </c>
      <c r="J63" s="79" t="str">
        <f>IF($A63="","",IFERROR(ROUND(100*COUNTIFS(Evaluations!$H$3:$H$10000,$A63,Evaluations!$T$3:$T$10000,1)/(COUNTIFS(Evaluations!$H$3:$H$10000,$A63,Evaluations!$T$3:$T$10000,1)+COUNTIFS(Evaluations!$H$3:$H$10000,$A63,Evaluations!$T$3:$T$10000,0)),2),""))</f>
        <v/>
      </c>
      <c r="K63" s="79" t="str">
        <f>IF($A63="","",COUNTIFS(Evaluations!$H$3:$H$10000,$A63,Evaluations!$M$3:$M$10000,"عدم پاسخ"))</f>
        <v/>
      </c>
      <c r="L63" s="79" t="str">
        <f>IF($A63="","",COUNTIFS(Evaluations!$H$3:$H$10000,$A63,Evaluations!$O$3:$O$10000,"رعایت نشده"))</f>
        <v/>
      </c>
    </row>
    <row r="64">
      <c r="A64" s="79"/>
      <c r="B64" s="79" t="str">
        <f>IF($A64="","",COUNTIFS(Evaluations!$H$3:$H$10000,$A64,Evaluations!$U$3:$U$10000,"&gt;=0",Evaluations!$U$3:$U$10000,"&lt;=100"))</f>
        <v/>
      </c>
      <c r="C64" s="79" t="str">
        <f>IF($A64="","",COUNTIFS('Agent Report'!$B$4:$B$53,$A64,'Agent Report'!$C$4:$C$53,"&gt;0"))</f>
        <v/>
      </c>
      <c r="D64" s="79" t="str">
        <f>IF(OR($A64="",B64=0),"",ROUND(SUMIFS(Evaluations!$U$3:$U$10000,Evaluations!$H$3:$H$10000,$A64)/B64,2))</f>
        <v/>
      </c>
      <c r="E64" s="79" t="str">
        <f>IF($A64="","",COUNTIFS(Evaluations!$H$3:$H$10000,$A64,Evaluations!$M$3:$M$10000,"پاسخ داده شده"))</f>
        <v/>
      </c>
      <c r="F64" s="79" t="str">
        <f>IF($A64="","",IFERROR(COUNTIFS(Evaluations!$H$3:$H$10000,$A64,Evaluations!$O$3:$O$10000,"رعایت شده")/(COUNTIFS(Evaluations!$H$3:$H$10000,$A64,Evaluations!$O$3:$O$10000,"رعایت شده")+COUNTIFS(Evaluations!$H$3:$H$10000,$A64,Evaluations!$O$3:$O$10000,"رعایت نشده")),""))</f>
        <v/>
      </c>
      <c r="G64" s="79" t="str">
        <f>IF($A64="","",IFERROR(ROUND(100*COUNTIFS(Evaluations!$H$3:$H$10000,$A64,Evaluations!$Q$3:$Q$10000,1)/(COUNTIFS(Evaluations!$H$3:$H$10000,$A64,Evaluations!$Q$3:$Q$10000,1)+COUNTIFS(Evaluations!$H$3:$H$10000,$A64,Evaluations!$Q$3:$Q$10000,0)),2),""))</f>
        <v/>
      </c>
      <c r="H64" s="79" t="str">
        <f>IF($A64="","",IFERROR(ROUND(100*COUNTIFS(Evaluations!$H$3:$H$10000,$A64,Evaluations!$R$3:$R$10000,1)/(COUNTIFS(Evaluations!$H$3:$H$10000,$A64,Evaluations!$R$3:$R$10000,1)+COUNTIFS(Evaluations!$H$3:$H$10000,$A64,Evaluations!$R$3:$R$10000,0)),2),""))</f>
        <v/>
      </c>
      <c r="I64" s="79" t="str">
        <f>IF($A64="","",IFERROR(ROUND(100*COUNTIFS(Evaluations!$H$3:$H$10000,$A64,Evaluations!$S$3:$S$10000,1)/(COUNTIFS(Evaluations!$H$3:$H$10000,$A64,Evaluations!$S$3:$S$10000,1)+COUNTIFS(Evaluations!$H$3:$H$10000,$A64,Evaluations!$S$3:$S$10000,0)),2),""))</f>
        <v/>
      </c>
      <c r="J64" s="79" t="str">
        <f>IF($A64="","",IFERROR(ROUND(100*COUNTIFS(Evaluations!$H$3:$H$10000,$A64,Evaluations!$T$3:$T$10000,1)/(COUNTIFS(Evaluations!$H$3:$H$10000,$A64,Evaluations!$T$3:$T$10000,1)+COUNTIFS(Evaluations!$H$3:$H$10000,$A64,Evaluations!$T$3:$T$10000,0)),2),""))</f>
        <v/>
      </c>
      <c r="K64" s="79" t="str">
        <f>IF($A64="","",COUNTIFS(Evaluations!$H$3:$H$10000,$A64,Evaluations!$M$3:$M$10000,"عدم پاسخ"))</f>
        <v/>
      </c>
      <c r="L64" s="79" t="str">
        <f>IF($A64="","",COUNTIFS(Evaluations!$H$3:$H$10000,$A64,Evaluations!$O$3:$O$10000,"رعایت نشده"))</f>
        <v/>
      </c>
    </row>
    <row r="65">
      <c r="A65" s="79"/>
      <c r="B65" s="79" t="str">
        <f>IF($A65="","",COUNTIFS(Evaluations!$H$3:$H$10000,$A65,Evaluations!$U$3:$U$10000,"&gt;=0",Evaluations!$U$3:$U$10000,"&lt;=100"))</f>
        <v/>
      </c>
      <c r="C65" s="79" t="str">
        <f>IF($A65="","",COUNTIFS('Agent Report'!$B$4:$B$53,$A65,'Agent Report'!$C$4:$C$53,"&gt;0"))</f>
        <v/>
      </c>
      <c r="D65" s="79" t="str">
        <f>IF(OR($A65="",B65=0),"",ROUND(SUMIFS(Evaluations!$U$3:$U$10000,Evaluations!$H$3:$H$10000,$A65)/B65,2))</f>
        <v/>
      </c>
      <c r="E65" s="79" t="str">
        <f>IF($A65="","",COUNTIFS(Evaluations!$H$3:$H$10000,$A65,Evaluations!$M$3:$M$10000,"پاسخ داده شده"))</f>
        <v/>
      </c>
      <c r="F65" s="79" t="str">
        <f>IF($A65="","",IFERROR(COUNTIFS(Evaluations!$H$3:$H$10000,$A65,Evaluations!$O$3:$O$10000,"رعایت شده")/(COUNTIFS(Evaluations!$H$3:$H$10000,$A65,Evaluations!$O$3:$O$10000,"رعایت شده")+COUNTIFS(Evaluations!$H$3:$H$10000,$A65,Evaluations!$O$3:$O$10000,"رعایت نشده")),""))</f>
        <v/>
      </c>
      <c r="G65" s="79" t="str">
        <f>IF($A65="","",IFERROR(ROUND(100*COUNTIFS(Evaluations!$H$3:$H$10000,$A65,Evaluations!$Q$3:$Q$10000,1)/(COUNTIFS(Evaluations!$H$3:$H$10000,$A65,Evaluations!$Q$3:$Q$10000,1)+COUNTIFS(Evaluations!$H$3:$H$10000,$A65,Evaluations!$Q$3:$Q$10000,0)),2),""))</f>
        <v/>
      </c>
      <c r="H65" s="79" t="str">
        <f>IF($A65="","",IFERROR(ROUND(100*COUNTIFS(Evaluations!$H$3:$H$10000,$A65,Evaluations!$R$3:$R$10000,1)/(COUNTIFS(Evaluations!$H$3:$H$10000,$A65,Evaluations!$R$3:$R$10000,1)+COUNTIFS(Evaluations!$H$3:$H$10000,$A65,Evaluations!$R$3:$R$10000,0)),2),""))</f>
        <v/>
      </c>
      <c r="I65" s="79" t="str">
        <f>IF($A65="","",IFERROR(ROUND(100*COUNTIFS(Evaluations!$H$3:$H$10000,$A65,Evaluations!$S$3:$S$10000,1)/(COUNTIFS(Evaluations!$H$3:$H$10000,$A65,Evaluations!$S$3:$S$10000,1)+COUNTIFS(Evaluations!$H$3:$H$10000,$A65,Evaluations!$S$3:$S$10000,0)),2),""))</f>
        <v/>
      </c>
      <c r="J65" s="79" t="str">
        <f>IF($A65="","",IFERROR(ROUND(100*COUNTIFS(Evaluations!$H$3:$H$10000,$A65,Evaluations!$T$3:$T$10000,1)/(COUNTIFS(Evaluations!$H$3:$H$10000,$A65,Evaluations!$T$3:$T$10000,1)+COUNTIFS(Evaluations!$H$3:$H$10000,$A65,Evaluations!$T$3:$T$10000,0)),2),""))</f>
        <v/>
      </c>
      <c r="K65" s="79" t="str">
        <f>IF($A65="","",COUNTIFS(Evaluations!$H$3:$H$10000,$A65,Evaluations!$M$3:$M$10000,"عدم پاسخ"))</f>
        <v/>
      </c>
      <c r="L65" s="79" t="str">
        <f>IF($A65="","",COUNTIFS(Evaluations!$H$3:$H$10000,$A65,Evaluations!$O$3:$O$10000,"رعایت نشده"))</f>
        <v/>
      </c>
    </row>
    <row r="66">
      <c r="A66" s="79"/>
      <c r="B66" s="79" t="str">
        <f>IF($A66="","",COUNTIFS(Evaluations!$H$3:$H$10000,$A66,Evaluations!$U$3:$U$10000,"&gt;=0",Evaluations!$U$3:$U$10000,"&lt;=100"))</f>
        <v/>
      </c>
      <c r="C66" s="79" t="str">
        <f>IF($A66="","",COUNTIFS('Agent Report'!$B$4:$B$53,$A66,'Agent Report'!$C$4:$C$53,"&gt;0"))</f>
        <v/>
      </c>
      <c r="D66" s="79" t="str">
        <f>IF(OR($A66="",B66=0),"",ROUND(SUMIFS(Evaluations!$U$3:$U$10000,Evaluations!$H$3:$H$10000,$A66)/B66,2))</f>
        <v/>
      </c>
      <c r="E66" s="79" t="str">
        <f>IF($A66="","",COUNTIFS(Evaluations!$H$3:$H$10000,$A66,Evaluations!$M$3:$M$10000,"پاسخ داده شده"))</f>
        <v/>
      </c>
      <c r="F66" s="79" t="str">
        <f>IF($A66="","",IFERROR(COUNTIFS(Evaluations!$H$3:$H$10000,$A66,Evaluations!$O$3:$O$10000,"رعایت شده")/(COUNTIFS(Evaluations!$H$3:$H$10000,$A66,Evaluations!$O$3:$O$10000,"رعایت شده")+COUNTIFS(Evaluations!$H$3:$H$10000,$A66,Evaluations!$O$3:$O$10000,"رعایت نشده")),""))</f>
        <v/>
      </c>
      <c r="G66" s="79" t="str">
        <f>IF($A66="","",IFERROR(ROUND(100*COUNTIFS(Evaluations!$H$3:$H$10000,$A66,Evaluations!$Q$3:$Q$10000,1)/(COUNTIFS(Evaluations!$H$3:$H$10000,$A66,Evaluations!$Q$3:$Q$10000,1)+COUNTIFS(Evaluations!$H$3:$H$10000,$A66,Evaluations!$Q$3:$Q$10000,0)),2),""))</f>
        <v/>
      </c>
      <c r="H66" s="79" t="str">
        <f>IF($A66="","",IFERROR(ROUND(100*COUNTIFS(Evaluations!$H$3:$H$10000,$A66,Evaluations!$R$3:$R$10000,1)/(COUNTIFS(Evaluations!$H$3:$H$10000,$A66,Evaluations!$R$3:$R$10000,1)+COUNTIFS(Evaluations!$H$3:$H$10000,$A66,Evaluations!$R$3:$R$10000,0)),2),""))</f>
        <v/>
      </c>
      <c r="I66" s="79" t="str">
        <f>IF($A66="","",IFERROR(ROUND(100*COUNTIFS(Evaluations!$H$3:$H$10000,$A66,Evaluations!$S$3:$S$10000,1)/(COUNTIFS(Evaluations!$H$3:$H$10000,$A66,Evaluations!$S$3:$S$10000,1)+COUNTIFS(Evaluations!$H$3:$H$10000,$A66,Evaluations!$S$3:$S$10000,0)),2),""))</f>
        <v/>
      </c>
      <c r="J66" s="79" t="str">
        <f>IF($A66="","",IFERROR(ROUND(100*COUNTIFS(Evaluations!$H$3:$H$10000,$A66,Evaluations!$T$3:$T$10000,1)/(COUNTIFS(Evaluations!$H$3:$H$10000,$A66,Evaluations!$T$3:$T$10000,1)+COUNTIFS(Evaluations!$H$3:$H$10000,$A66,Evaluations!$T$3:$T$10000,0)),2),""))</f>
        <v/>
      </c>
      <c r="K66" s="79" t="str">
        <f>IF($A66="","",COUNTIFS(Evaluations!$H$3:$H$10000,$A66,Evaluations!$M$3:$M$10000,"عدم پاسخ"))</f>
        <v/>
      </c>
      <c r="L66" s="79" t="str">
        <f>IF($A66="","",COUNTIFS(Evaluations!$H$3:$H$10000,$A66,Evaluations!$O$3:$O$10000,"رعایت نشده"))</f>
        <v/>
      </c>
    </row>
    <row r="67">
      <c r="A67" s="79"/>
      <c r="B67" s="79" t="str">
        <f>IF($A67="","",COUNTIFS(Evaluations!$H$3:$H$10000,$A67,Evaluations!$U$3:$U$10000,"&gt;=0",Evaluations!$U$3:$U$10000,"&lt;=100"))</f>
        <v/>
      </c>
      <c r="C67" s="79" t="str">
        <f>IF($A67="","",COUNTIFS('Agent Report'!$B$4:$B$53,$A67,'Agent Report'!$C$4:$C$53,"&gt;0"))</f>
        <v/>
      </c>
      <c r="D67" s="79" t="str">
        <f>IF(OR($A67="",B67=0),"",ROUND(SUMIFS(Evaluations!$U$3:$U$10000,Evaluations!$H$3:$H$10000,$A67)/B67,2))</f>
        <v/>
      </c>
      <c r="E67" s="79" t="str">
        <f>IF($A67="","",COUNTIFS(Evaluations!$H$3:$H$10000,$A67,Evaluations!$M$3:$M$10000,"پاسخ داده شده"))</f>
        <v/>
      </c>
      <c r="F67" s="79" t="str">
        <f>IF($A67="","",IFERROR(COUNTIFS(Evaluations!$H$3:$H$10000,$A67,Evaluations!$O$3:$O$10000,"رعایت شده")/(COUNTIFS(Evaluations!$H$3:$H$10000,$A67,Evaluations!$O$3:$O$10000,"رعایت شده")+COUNTIFS(Evaluations!$H$3:$H$10000,$A67,Evaluations!$O$3:$O$10000,"رعایت نشده")),""))</f>
        <v/>
      </c>
      <c r="G67" s="79" t="str">
        <f>IF($A67="","",IFERROR(ROUND(100*COUNTIFS(Evaluations!$H$3:$H$10000,$A67,Evaluations!$Q$3:$Q$10000,1)/(COUNTIFS(Evaluations!$H$3:$H$10000,$A67,Evaluations!$Q$3:$Q$10000,1)+COUNTIFS(Evaluations!$H$3:$H$10000,$A67,Evaluations!$Q$3:$Q$10000,0)),2),""))</f>
        <v/>
      </c>
      <c r="H67" s="79" t="str">
        <f>IF($A67="","",IFERROR(ROUND(100*COUNTIFS(Evaluations!$H$3:$H$10000,$A67,Evaluations!$R$3:$R$10000,1)/(COUNTIFS(Evaluations!$H$3:$H$10000,$A67,Evaluations!$R$3:$R$10000,1)+COUNTIFS(Evaluations!$H$3:$H$10000,$A67,Evaluations!$R$3:$R$10000,0)),2),""))</f>
        <v/>
      </c>
      <c r="I67" s="79" t="str">
        <f>IF($A67="","",IFERROR(ROUND(100*COUNTIFS(Evaluations!$H$3:$H$10000,$A67,Evaluations!$S$3:$S$10000,1)/(COUNTIFS(Evaluations!$H$3:$H$10000,$A67,Evaluations!$S$3:$S$10000,1)+COUNTIFS(Evaluations!$H$3:$H$10000,$A67,Evaluations!$S$3:$S$10000,0)),2),""))</f>
        <v/>
      </c>
      <c r="J67" s="79" t="str">
        <f>IF($A67="","",IFERROR(ROUND(100*COUNTIFS(Evaluations!$H$3:$H$10000,$A67,Evaluations!$T$3:$T$10000,1)/(COUNTIFS(Evaluations!$H$3:$H$10000,$A67,Evaluations!$T$3:$T$10000,1)+COUNTIFS(Evaluations!$H$3:$H$10000,$A67,Evaluations!$T$3:$T$10000,0)),2),""))</f>
        <v/>
      </c>
      <c r="K67" s="79" t="str">
        <f>IF($A67="","",COUNTIFS(Evaluations!$H$3:$H$10000,$A67,Evaluations!$M$3:$M$10000,"عدم پاسخ"))</f>
        <v/>
      </c>
      <c r="L67" s="79" t="str">
        <f>IF($A67="","",COUNTIFS(Evaluations!$H$3:$H$10000,$A67,Evaluations!$O$3:$O$10000,"رعایت نشده"))</f>
        <v/>
      </c>
    </row>
    <row r="68">
      <c r="A68" s="79"/>
      <c r="B68" s="79" t="str">
        <f>IF($A68="","",COUNTIFS(Evaluations!$H$3:$H$10000,$A68,Evaluations!$U$3:$U$10000,"&gt;=0",Evaluations!$U$3:$U$10000,"&lt;=100"))</f>
        <v/>
      </c>
      <c r="C68" s="79" t="str">
        <f>IF($A68="","",COUNTIFS('Agent Report'!$B$4:$B$53,$A68,'Agent Report'!$C$4:$C$53,"&gt;0"))</f>
        <v/>
      </c>
      <c r="D68" s="79" t="str">
        <f>IF(OR($A68="",B68=0),"",ROUND(SUMIFS(Evaluations!$U$3:$U$10000,Evaluations!$H$3:$H$10000,$A68)/B68,2))</f>
        <v/>
      </c>
      <c r="E68" s="79" t="str">
        <f>IF($A68="","",COUNTIFS(Evaluations!$H$3:$H$10000,$A68,Evaluations!$M$3:$M$10000,"پاسخ داده شده"))</f>
        <v/>
      </c>
      <c r="F68" s="79" t="str">
        <f>IF($A68="","",IFERROR(COUNTIFS(Evaluations!$H$3:$H$10000,$A68,Evaluations!$O$3:$O$10000,"رعایت شده")/(COUNTIFS(Evaluations!$H$3:$H$10000,$A68,Evaluations!$O$3:$O$10000,"رعایت شده")+COUNTIFS(Evaluations!$H$3:$H$10000,$A68,Evaluations!$O$3:$O$10000,"رعایت نشده")),""))</f>
        <v/>
      </c>
      <c r="G68" s="79" t="str">
        <f>IF($A68="","",IFERROR(ROUND(100*COUNTIFS(Evaluations!$H$3:$H$10000,$A68,Evaluations!$Q$3:$Q$10000,1)/(COUNTIFS(Evaluations!$H$3:$H$10000,$A68,Evaluations!$Q$3:$Q$10000,1)+COUNTIFS(Evaluations!$H$3:$H$10000,$A68,Evaluations!$Q$3:$Q$10000,0)),2),""))</f>
        <v/>
      </c>
      <c r="H68" s="79" t="str">
        <f>IF($A68="","",IFERROR(ROUND(100*COUNTIFS(Evaluations!$H$3:$H$10000,$A68,Evaluations!$R$3:$R$10000,1)/(COUNTIFS(Evaluations!$H$3:$H$10000,$A68,Evaluations!$R$3:$R$10000,1)+COUNTIFS(Evaluations!$H$3:$H$10000,$A68,Evaluations!$R$3:$R$10000,0)),2),""))</f>
        <v/>
      </c>
      <c r="I68" s="79" t="str">
        <f>IF($A68="","",IFERROR(ROUND(100*COUNTIFS(Evaluations!$H$3:$H$10000,$A68,Evaluations!$S$3:$S$10000,1)/(COUNTIFS(Evaluations!$H$3:$H$10000,$A68,Evaluations!$S$3:$S$10000,1)+COUNTIFS(Evaluations!$H$3:$H$10000,$A68,Evaluations!$S$3:$S$10000,0)),2),""))</f>
        <v/>
      </c>
      <c r="J68" s="79" t="str">
        <f>IF($A68="","",IFERROR(ROUND(100*COUNTIFS(Evaluations!$H$3:$H$10000,$A68,Evaluations!$T$3:$T$10000,1)/(COUNTIFS(Evaluations!$H$3:$H$10000,$A68,Evaluations!$T$3:$T$10000,1)+COUNTIFS(Evaluations!$H$3:$H$10000,$A68,Evaluations!$T$3:$T$10000,0)),2),""))</f>
        <v/>
      </c>
      <c r="K68" s="79" t="str">
        <f>IF($A68="","",COUNTIFS(Evaluations!$H$3:$H$10000,$A68,Evaluations!$M$3:$M$10000,"عدم پاسخ"))</f>
        <v/>
      </c>
      <c r="L68" s="79" t="str">
        <f>IF($A68="","",COUNTIFS(Evaluations!$H$3:$H$10000,$A68,Evaluations!$O$3:$O$10000,"رعایت نشده"))</f>
        <v/>
      </c>
    </row>
    <row r="69">
      <c r="A69" s="79"/>
      <c r="B69" s="79" t="str">
        <f>IF($A69="","",COUNTIFS(Evaluations!$H$3:$H$10000,$A69,Evaluations!$U$3:$U$10000,"&gt;=0",Evaluations!$U$3:$U$10000,"&lt;=100"))</f>
        <v/>
      </c>
      <c r="C69" s="79" t="str">
        <f>IF($A69="","",COUNTIFS('Agent Report'!$B$4:$B$53,$A69,'Agent Report'!$C$4:$C$53,"&gt;0"))</f>
        <v/>
      </c>
      <c r="D69" s="79" t="str">
        <f>IF(OR($A69="",B69=0),"",ROUND(SUMIFS(Evaluations!$U$3:$U$10000,Evaluations!$H$3:$H$10000,$A69)/B69,2))</f>
        <v/>
      </c>
      <c r="E69" s="79" t="str">
        <f>IF($A69="","",COUNTIFS(Evaluations!$H$3:$H$10000,$A69,Evaluations!$M$3:$M$10000,"پاسخ داده شده"))</f>
        <v/>
      </c>
      <c r="F69" s="79" t="str">
        <f>IF($A69="","",IFERROR(COUNTIFS(Evaluations!$H$3:$H$10000,$A69,Evaluations!$O$3:$O$10000,"رعایت شده")/(COUNTIFS(Evaluations!$H$3:$H$10000,$A69,Evaluations!$O$3:$O$10000,"رعایت شده")+COUNTIFS(Evaluations!$H$3:$H$10000,$A69,Evaluations!$O$3:$O$10000,"رعایت نشده")),""))</f>
        <v/>
      </c>
      <c r="G69" s="79" t="str">
        <f>IF($A69="","",IFERROR(ROUND(100*COUNTIFS(Evaluations!$H$3:$H$10000,$A69,Evaluations!$Q$3:$Q$10000,1)/(COUNTIFS(Evaluations!$H$3:$H$10000,$A69,Evaluations!$Q$3:$Q$10000,1)+COUNTIFS(Evaluations!$H$3:$H$10000,$A69,Evaluations!$Q$3:$Q$10000,0)),2),""))</f>
        <v/>
      </c>
      <c r="H69" s="79" t="str">
        <f>IF($A69="","",IFERROR(ROUND(100*COUNTIFS(Evaluations!$H$3:$H$10000,$A69,Evaluations!$R$3:$R$10000,1)/(COUNTIFS(Evaluations!$H$3:$H$10000,$A69,Evaluations!$R$3:$R$10000,1)+COUNTIFS(Evaluations!$H$3:$H$10000,$A69,Evaluations!$R$3:$R$10000,0)),2),""))</f>
        <v/>
      </c>
      <c r="I69" s="79" t="str">
        <f>IF($A69="","",IFERROR(ROUND(100*COUNTIFS(Evaluations!$H$3:$H$10000,$A69,Evaluations!$S$3:$S$10000,1)/(COUNTIFS(Evaluations!$H$3:$H$10000,$A69,Evaluations!$S$3:$S$10000,1)+COUNTIFS(Evaluations!$H$3:$H$10000,$A69,Evaluations!$S$3:$S$10000,0)),2),""))</f>
        <v/>
      </c>
      <c r="J69" s="79" t="str">
        <f>IF($A69="","",IFERROR(ROUND(100*COUNTIFS(Evaluations!$H$3:$H$10000,$A69,Evaluations!$T$3:$T$10000,1)/(COUNTIFS(Evaluations!$H$3:$H$10000,$A69,Evaluations!$T$3:$T$10000,1)+COUNTIFS(Evaluations!$H$3:$H$10000,$A69,Evaluations!$T$3:$T$10000,0)),2),""))</f>
        <v/>
      </c>
      <c r="K69" s="79" t="str">
        <f>IF($A69="","",COUNTIFS(Evaluations!$H$3:$H$10000,$A69,Evaluations!$M$3:$M$10000,"عدم پاسخ"))</f>
        <v/>
      </c>
      <c r="L69" s="79" t="str">
        <f>IF($A69="","",COUNTIFS(Evaluations!$H$3:$H$10000,$A69,Evaluations!$O$3:$O$10000,"رعایت نشده"))</f>
        <v/>
      </c>
    </row>
    <row r="70">
      <c r="A70" s="79"/>
      <c r="B70" s="79" t="str">
        <f>IF($A70="","",COUNTIFS(Evaluations!$H$3:$H$10000,$A70,Evaluations!$U$3:$U$10000,"&gt;=0",Evaluations!$U$3:$U$10000,"&lt;=100"))</f>
        <v/>
      </c>
      <c r="C70" s="79" t="str">
        <f>IF($A70="","",COUNTIFS('Agent Report'!$B$4:$B$53,$A70,'Agent Report'!$C$4:$C$53,"&gt;0"))</f>
        <v/>
      </c>
      <c r="D70" s="79" t="str">
        <f>IF(OR($A70="",B70=0),"",ROUND(SUMIFS(Evaluations!$U$3:$U$10000,Evaluations!$H$3:$H$10000,$A70)/B70,2))</f>
        <v/>
      </c>
      <c r="E70" s="79" t="str">
        <f>IF($A70="","",COUNTIFS(Evaluations!$H$3:$H$10000,$A70,Evaluations!$M$3:$M$10000,"پاسخ داده شده"))</f>
        <v/>
      </c>
      <c r="F70" s="79" t="str">
        <f>IF($A70="","",IFERROR(COUNTIFS(Evaluations!$H$3:$H$10000,$A70,Evaluations!$O$3:$O$10000,"رعایت شده")/(COUNTIFS(Evaluations!$H$3:$H$10000,$A70,Evaluations!$O$3:$O$10000,"رعایت شده")+COUNTIFS(Evaluations!$H$3:$H$10000,$A70,Evaluations!$O$3:$O$10000,"رعایت نشده")),""))</f>
        <v/>
      </c>
      <c r="G70" s="79" t="str">
        <f>IF($A70="","",IFERROR(ROUND(100*COUNTIFS(Evaluations!$H$3:$H$10000,$A70,Evaluations!$Q$3:$Q$10000,1)/(COUNTIFS(Evaluations!$H$3:$H$10000,$A70,Evaluations!$Q$3:$Q$10000,1)+COUNTIFS(Evaluations!$H$3:$H$10000,$A70,Evaluations!$Q$3:$Q$10000,0)),2),""))</f>
        <v/>
      </c>
      <c r="H70" s="79" t="str">
        <f>IF($A70="","",IFERROR(ROUND(100*COUNTIFS(Evaluations!$H$3:$H$10000,$A70,Evaluations!$R$3:$R$10000,1)/(COUNTIFS(Evaluations!$H$3:$H$10000,$A70,Evaluations!$R$3:$R$10000,1)+COUNTIFS(Evaluations!$H$3:$H$10000,$A70,Evaluations!$R$3:$R$10000,0)),2),""))</f>
        <v/>
      </c>
      <c r="I70" s="79" t="str">
        <f>IF($A70="","",IFERROR(ROUND(100*COUNTIFS(Evaluations!$H$3:$H$10000,$A70,Evaluations!$S$3:$S$10000,1)/(COUNTIFS(Evaluations!$H$3:$H$10000,$A70,Evaluations!$S$3:$S$10000,1)+COUNTIFS(Evaluations!$H$3:$H$10000,$A70,Evaluations!$S$3:$S$10000,0)),2),""))</f>
        <v/>
      </c>
      <c r="J70" s="79" t="str">
        <f>IF($A70="","",IFERROR(ROUND(100*COUNTIFS(Evaluations!$H$3:$H$10000,$A70,Evaluations!$T$3:$T$10000,1)/(COUNTIFS(Evaluations!$H$3:$H$10000,$A70,Evaluations!$T$3:$T$10000,1)+COUNTIFS(Evaluations!$H$3:$H$10000,$A70,Evaluations!$T$3:$T$10000,0)),2),""))</f>
        <v/>
      </c>
      <c r="K70" s="79" t="str">
        <f>IF($A70="","",COUNTIFS(Evaluations!$H$3:$H$10000,$A70,Evaluations!$M$3:$M$10000,"عدم پاسخ"))</f>
        <v/>
      </c>
      <c r="L70" s="79" t="str">
        <f>IF($A70="","",COUNTIFS(Evaluations!$H$3:$H$10000,$A70,Evaluations!$O$3:$O$10000,"رعایت نشده"))</f>
        <v/>
      </c>
    </row>
    <row r="71">
      <c r="A71" s="79"/>
      <c r="B71" s="79" t="str">
        <f>IF($A71="","",COUNTIFS(Evaluations!$H$3:$H$10000,$A71,Evaluations!$U$3:$U$10000,"&gt;=0",Evaluations!$U$3:$U$10000,"&lt;=100"))</f>
        <v/>
      </c>
      <c r="C71" s="79" t="str">
        <f>IF($A71="","",COUNTIFS('Agent Report'!$B$4:$B$53,$A71,'Agent Report'!$C$4:$C$53,"&gt;0"))</f>
        <v/>
      </c>
      <c r="D71" s="79" t="str">
        <f>IF(OR($A71="",B71=0),"",ROUND(SUMIFS(Evaluations!$U$3:$U$10000,Evaluations!$H$3:$H$10000,$A71)/B71,2))</f>
        <v/>
      </c>
      <c r="E71" s="79" t="str">
        <f>IF($A71="","",COUNTIFS(Evaluations!$H$3:$H$10000,$A71,Evaluations!$M$3:$M$10000,"پاسخ داده شده"))</f>
        <v/>
      </c>
      <c r="F71" s="79" t="str">
        <f>IF($A71="","",IFERROR(COUNTIFS(Evaluations!$H$3:$H$10000,$A71,Evaluations!$O$3:$O$10000,"رعایت شده")/(COUNTIFS(Evaluations!$H$3:$H$10000,$A71,Evaluations!$O$3:$O$10000,"رعایت شده")+COUNTIFS(Evaluations!$H$3:$H$10000,$A71,Evaluations!$O$3:$O$10000,"رعایت نشده")),""))</f>
        <v/>
      </c>
      <c r="G71" s="79" t="str">
        <f>IF($A71="","",IFERROR(ROUND(100*COUNTIFS(Evaluations!$H$3:$H$10000,$A71,Evaluations!$Q$3:$Q$10000,1)/(COUNTIFS(Evaluations!$H$3:$H$10000,$A71,Evaluations!$Q$3:$Q$10000,1)+COUNTIFS(Evaluations!$H$3:$H$10000,$A71,Evaluations!$Q$3:$Q$10000,0)),2),""))</f>
        <v/>
      </c>
      <c r="H71" s="79" t="str">
        <f>IF($A71="","",IFERROR(ROUND(100*COUNTIFS(Evaluations!$H$3:$H$10000,$A71,Evaluations!$R$3:$R$10000,1)/(COUNTIFS(Evaluations!$H$3:$H$10000,$A71,Evaluations!$R$3:$R$10000,1)+COUNTIFS(Evaluations!$H$3:$H$10000,$A71,Evaluations!$R$3:$R$10000,0)),2),""))</f>
        <v/>
      </c>
      <c r="I71" s="79" t="str">
        <f>IF($A71="","",IFERROR(ROUND(100*COUNTIFS(Evaluations!$H$3:$H$10000,$A71,Evaluations!$S$3:$S$10000,1)/(COUNTIFS(Evaluations!$H$3:$H$10000,$A71,Evaluations!$S$3:$S$10000,1)+COUNTIFS(Evaluations!$H$3:$H$10000,$A71,Evaluations!$S$3:$S$10000,0)),2),""))</f>
        <v/>
      </c>
      <c r="J71" s="79" t="str">
        <f>IF($A71="","",IFERROR(ROUND(100*COUNTIFS(Evaluations!$H$3:$H$10000,$A71,Evaluations!$T$3:$T$10000,1)/(COUNTIFS(Evaluations!$H$3:$H$10000,$A71,Evaluations!$T$3:$T$10000,1)+COUNTIFS(Evaluations!$H$3:$H$10000,$A71,Evaluations!$T$3:$T$10000,0)),2),""))</f>
        <v/>
      </c>
      <c r="K71" s="79" t="str">
        <f>IF($A71="","",COUNTIFS(Evaluations!$H$3:$H$10000,$A71,Evaluations!$M$3:$M$10000,"عدم پاسخ"))</f>
        <v/>
      </c>
      <c r="L71" s="79" t="str">
        <f>IF($A71="","",COUNTIFS(Evaluations!$H$3:$H$10000,$A71,Evaluations!$O$3:$O$10000,"رعایت نشده"))</f>
        <v/>
      </c>
    </row>
    <row r="72">
      <c r="A72" s="79"/>
      <c r="B72" s="79" t="str">
        <f>IF($A72="","",COUNTIFS(Evaluations!$H$3:$H$10000,$A72,Evaluations!$U$3:$U$10000,"&gt;=0",Evaluations!$U$3:$U$10000,"&lt;=100"))</f>
        <v/>
      </c>
      <c r="C72" s="79" t="str">
        <f>IF($A72="","",COUNTIFS('Agent Report'!$B$4:$B$53,$A72,'Agent Report'!$C$4:$C$53,"&gt;0"))</f>
        <v/>
      </c>
      <c r="D72" s="79" t="str">
        <f>IF(OR($A72="",B72=0),"",ROUND(SUMIFS(Evaluations!$U$3:$U$10000,Evaluations!$H$3:$H$10000,$A72)/B72,2))</f>
        <v/>
      </c>
      <c r="E72" s="79" t="str">
        <f>IF($A72="","",COUNTIFS(Evaluations!$H$3:$H$10000,$A72,Evaluations!$M$3:$M$10000,"پاسخ داده شده"))</f>
        <v/>
      </c>
      <c r="F72" s="79" t="str">
        <f>IF($A72="","",IFERROR(COUNTIFS(Evaluations!$H$3:$H$10000,$A72,Evaluations!$O$3:$O$10000,"رعایت شده")/(COUNTIFS(Evaluations!$H$3:$H$10000,$A72,Evaluations!$O$3:$O$10000,"رعایت شده")+COUNTIFS(Evaluations!$H$3:$H$10000,$A72,Evaluations!$O$3:$O$10000,"رعایت نشده")),""))</f>
        <v/>
      </c>
      <c r="G72" s="79" t="str">
        <f>IF($A72="","",IFERROR(ROUND(100*COUNTIFS(Evaluations!$H$3:$H$10000,$A72,Evaluations!$Q$3:$Q$10000,1)/(COUNTIFS(Evaluations!$H$3:$H$10000,$A72,Evaluations!$Q$3:$Q$10000,1)+COUNTIFS(Evaluations!$H$3:$H$10000,$A72,Evaluations!$Q$3:$Q$10000,0)),2),""))</f>
        <v/>
      </c>
      <c r="H72" s="79" t="str">
        <f>IF($A72="","",IFERROR(ROUND(100*COUNTIFS(Evaluations!$H$3:$H$10000,$A72,Evaluations!$R$3:$R$10000,1)/(COUNTIFS(Evaluations!$H$3:$H$10000,$A72,Evaluations!$R$3:$R$10000,1)+COUNTIFS(Evaluations!$H$3:$H$10000,$A72,Evaluations!$R$3:$R$10000,0)),2),""))</f>
        <v/>
      </c>
      <c r="I72" s="79" t="str">
        <f>IF($A72="","",IFERROR(ROUND(100*COUNTIFS(Evaluations!$H$3:$H$10000,$A72,Evaluations!$S$3:$S$10000,1)/(COUNTIFS(Evaluations!$H$3:$H$10000,$A72,Evaluations!$S$3:$S$10000,1)+COUNTIFS(Evaluations!$H$3:$H$10000,$A72,Evaluations!$S$3:$S$10000,0)),2),""))</f>
        <v/>
      </c>
      <c r="J72" s="79" t="str">
        <f>IF($A72="","",IFERROR(ROUND(100*COUNTIFS(Evaluations!$H$3:$H$10000,$A72,Evaluations!$T$3:$T$10000,1)/(COUNTIFS(Evaluations!$H$3:$H$10000,$A72,Evaluations!$T$3:$T$10000,1)+COUNTIFS(Evaluations!$H$3:$H$10000,$A72,Evaluations!$T$3:$T$10000,0)),2),""))</f>
        <v/>
      </c>
      <c r="K72" s="79" t="str">
        <f>IF($A72="","",COUNTIFS(Evaluations!$H$3:$H$10000,$A72,Evaluations!$M$3:$M$10000,"عدم پاسخ"))</f>
        <v/>
      </c>
      <c r="L72" s="79" t="str">
        <f>IF($A72="","",COUNTIFS(Evaluations!$H$3:$H$10000,$A72,Evaluations!$O$3:$O$10000,"رعایت نشده"))</f>
        <v/>
      </c>
    </row>
    <row r="73">
      <c r="A73" s="79"/>
      <c r="B73" s="79" t="str">
        <f>IF($A73="","",COUNTIFS(Evaluations!$H$3:$H$10000,$A73,Evaluations!$U$3:$U$10000,"&gt;=0",Evaluations!$U$3:$U$10000,"&lt;=100"))</f>
        <v/>
      </c>
      <c r="C73" s="79" t="str">
        <f>IF($A73="","",COUNTIFS('Agent Report'!$B$4:$B$53,$A73,'Agent Report'!$C$4:$C$53,"&gt;0"))</f>
        <v/>
      </c>
      <c r="D73" s="79" t="str">
        <f>IF(OR($A73="",B73=0),"",ROUND(SUMIFS(Evaluations!$U$3:$U$10000,Evaluations!$H$3:$H$10000,$A73)/B73,2))</f>
        <v/>
      </c>
      <c r="E73" s="79" t="str">
        <f>IF($A73="","",COUNTIFS(Evaluations!$H$3:$H$10000,$A73,Evaluations!$M$3:$M$10000,"پاسخ داده شده"))</f>
        <v/>
      </c>
      <c r="F73" s="79" t="str">
        <f>IF($A73="","",IFERROR(COUNTIFS(Evaluations!$H$3:$H$10000,$A73,Evaluations!$O$3:$O$10000,"رعایت شده")/(COUNTIFS(Evaluations!$H$3:$H$10000,$A73,Evaluations!$O$3:$O$10000,"رعایت شده")+COUNTIFS(Evaluations!$H$3:$H$10000,$A73,Evaluations!$O$3:$O$10000,"رعایت نشده")),""))</f>
        <v/>
      </c>
      <c r="G73" s="79" t="str">
        <f>IF($A73="","",IFERROR(ROUND(100*COUNTIFS(Evaluations!$H$3:$H$10000,$A73,Evaluations!$Q$3:$Q$10000,1)/(COUNTIFS(Evaluations!$H$3:$H$10000,$A73,Evaluations!$Q$3:$Q$10000,1)+COUNTIFS(Evaluations!$H$3:$H$10000,$A73,Evaluations!$Q$3:$Q$10000,0)),2),""))</f>
        <v/>
      </c>
      <c r="H73" s="79" t="str">
        <f>IF($A73="","",IFERROR(ROUND(100*COUNTIFS(Evaluations!$H$3:$H$10000,$A73,Evaluations!$R$3:$R$10000,1)/(COUNTIFS(Evaluations!$H$3:$H$10000,$A73,Evaluations!$R$3:$R$10000,1)+COUNTIFS(Evaluations!$H$3:$H$10000,$A73,Evaluations!$R$3:$R$10000,0)),2),""))</f>
        <v/>
      </c>
      <c r="I73" s="79" t="str">
        <f>IF($A73="","",IFERROR(ROUND(100*COUNTIFS(Evaluations!$H$3:$H$10000,$A73,Evaluations!$S$3:$S$10000,1)/(COUNTIFS(Evaluations!$H$3:$H$10000,$A73,Evaluations!$S$3:$S$10000,1)+COUNTIFS(Evaluations!$H$3:$H$10000,$A73,Evaluations!$S$3:$S$10000,0)),2),""))</f>
        <v/>
      </c>
      <c r="J73" s="79" t="str">
        <f>IF($A73="","",IFERROR(ROUND(100*COUNTIFS(Evaluations!$H$3:$H$10000,$A73,Evaluations!$T$3:$T$10000,1)/(COUNTIFS(Evaluations!$H$3:$H$10000,$A73,Evaluations!$T$3:$T$10000,1)+COUNTIFS(Evaluations!$H$3:$H$10000,$A73,Evaluations!$T$3:$T$10000,0)),2),""))</f>
        <v/>
      </c>
      <c r="K73" s="79" t="str">
        <f>IF($A73="","",COUNTIFS(Evaluations!$H$3:$H$10000,$A73,Evaluations!$M$3:$M$10000,"عدم پاسخ"))</f>
        <v/>
      </c>
      <c r="L73" s="79" t="str">
        <f>IF($A73="","",COUNTIFS(Evaluations!$H$3:$H$10000,$A73,Evaluations!$O$3:$O$10000,"رعایت نشده"))</f>
        <v/>
      </c>
    </row>
    <row r="74">
      <c r="A74" s="79"/>
      <c r="B74" s="79" t="str">
        <f>IF($A74="","",COUNTIFS(Evaluations!$H$3:$H$10000,$A74,Evaluations!$U$3:$U$10000,"&gt;=0",Evaluations!$U$3:$U$10000,"&lt;=100"))</f>
        <v/>
      </c>
      <c r="C74" s="79" t="str">
        <f>IF($A74="","",COUNTIFS('Agent Report'!$B$4:$B$53,$A74,'Agent Report'!$C$4:$C$53,"&gt;0"))</f>
        <v/>
      </c>
      <c r="D74" s="79" t="str">
        <f>IF(OR($A74="",B74=0),"",ROUND(SUMIFS(Evaluations!$U$3:$U$10000,Evaluations!$H$3:$H$10000,$A74)/B74,2))</f>
        <v/>
      </c>
      <c r="E74" s="79" t="str">
        <f>IF($A74="","",COUNTIFS(Evaluations!$H$3:$H$10000,$A74,Evaluations!$M$3:$M$10000,"پاسخ داده شده"))</f>
        <v/>
      </c>
      <c r="F74" s="79" t="str">
        <f>IF($A74="","",IFERROR(COUNTIFS(Evaluations!$H$3:$H$10000,$A74,Evaluations!$O$3:$O$10000,"رعایت شده")/(COUNTIFS(Evaluations!$H$3:$H$10000,$A74,Evaluations!$O$3:$O$10000,"رعایت شده")+COUNTIFS(Evaluations!$H$3:$H$10000,$A74,Evaluations!$O$3:$O$10000,"رعایت نشده")),""))</f>
        <v/>
      </c>
      <c r="G74" s="79" t="str">
        <f>IF($A74="","",IFERROR(ROUND(100*COUNTIFS(Evaluations!$H$3:$H$10000,$A74,Evaluations!$Q$3:$Q$10000,1)/(COUNTIFS(Evaluations!$H$3:$H$10000,$A74,Evaluations!$Q$3:$Q$10000,1)+COUNTIFS(Evaluations!$H$3:$H$10000,$A74,Evaluations!$Q$3:$Q$10000,0)),2),""))</f>
        <v/>
      </c>
      <c r="H74" s="79" t="str">
        <f>IF($A74="","",IFERROR(ROUND(100*COUNTIFS(Evaluations!$H$3:$H$10000,$A74,Evaluations!$R$3:$R$10000,1)/(COUNTIFS(Evaluations!$H$3:$H$10000,$A74,Evaluations!$R$3:$R$10000,1)+COUNTIFS(Evaluations!$H$3:$H$10000,$A74,Evaluations!$R$3:$R$10000,0)),2),""))</f>
        <v/>
      </c>
      <c r="I74" s="79" t="str">
        <f>IF($A74="","",IFERROR(ROUND(100*COUNTIFS(Evaluations!$H$3:$H$10000,$A74,Evaluations!$S$3:$S$10000,1)/(COUNTIFS(Evaluations!$H$3:$H$10000,$A74,Evaluations!$S$3:$S$10000,1)+COUNTIFS(Evaluations!$H$3:$H$10000,$A74,Evaluations!$S$3:$S$10000,0)),2),""))</f>
        <v/>
      </c>
      <c r="J74" s="79" t="str">
        <f>IF($A74="","",IFERROR(ROUND(100*COUNTIFS(Evaluations!$H$3:$H$10000,$A74,Evaluations!$T$3:$T$10000,1)/(COUNTIFS(Evaluations!$H$3:$H$10000,$A74,Evaluations!$T$3:$T$10000,1)+COUNTIFS(Evaluations!$H$3:$H$10000,$A74,Evaluations!$T$3:$T$10000,0)),2),""))</f>
        <v/>
      </c>
      <c r="K74" s="79" t="str">
        <f>IF($A74="","",COUNTIFS(Evaluations!$H$3:$H$10000,$A74,Evaluations!$M$3:$M$10000,"عدم پاسخ"))</f>
        <v/>
      </c>
      <c r="L74" s="79" t="str">
        <f>IF($A74="","",COUNTIFS(Evaluations!$H$3:$H$10000,$A74,Evaluations!$O$3:$O$10000,"رعایت نشده"))</f>
        <v/>
      </c>
    </row>
    <row r="75">
      <c r="A75" s="79"/>
      <c r="B75" s="79" t="str">
        <f>IF($A75="","",COUNTIFS(Evaluations!$H$3:$H$10000,$A75,Evaluations!$U$3:$U$10000,"&gt;=0",Evaluations!$U$3:$U$10000,"&lt;=100"))</f>
        <v/>
      </c>
      <c r="C75" s="79" t="str">
        <f>IF($A75="","",COUNTIFS('Agent Report'!$B$4:$B$53,$A75,'Agent Report'!$C$4:$C$53,"&gt;0"))</f>
        <v/>
      </c>
      <c r="D75" s="79" t="str">
        <f>IF(OR($A75="",B75=0),"",ROUND(SUMIFS(Evaluations!$U$3:$U$10000,Evaluations!$H$3:$H$10000,$A75)/B75,2))</f>
        <v/>
      </c>
      <c r="E75" s="79" t="str">
        <f>IF($A75="","",COUNTIFS(Evaluations!$H$3:$H$10000,$A75,Evaluations!$M$3:$M$10000,"پاسخ داده شده"))</f>
        <v/>
      </c>
      <c r="F75" s="79" t="str">
        <f>IF($A75="","",IFERROR(COUNTIFS(Evaluations!$H$3:$H$10000,$A75,Evaluations!$O$3:$O$10000,"رعایت شده")/(COUNTIFS(Evaluations!$H$3:$H$10000,$A75,Evaluations!$O$3:$O$10000,"رعایت شده")+COUNTIFS(Evaluations!$H$3:$H$10000,$A75,Evaluations!$O$3:$O$10000,"رعایت نشده")),""))</f>
        <v/>
      </c>
      <c r="G75" s="79" t="str">
        <f>IF($A75="","",IFERROR(ROUND(100*COUNTIFS(Evaluations!$H$3:$H$10000,$A75,Evaluations!$Q$3:$Q$10000,1)/(COUNTIFS(Evaluations!$H$3:$H$10000,$A75,Evaluations!$Q$3:$Q$10000,1)+COUNTIFS(Evaluations!$H$3:$H$10000,$A75,Evaluations!$Q$3:$Q$10000,0)),2),""))</f>
        <v/>
      </c>
      <c r="H75" s="79" t="str">
        <f>IF($A75="","",IFERROR(ROUND(100*COUNTIFS(Evaluations!$H$3:$H$10000,$A75,Evaluations!$R$3:$R$10000,1)/(COUNTIFS(Evaluations!$H$3:$H$10000,$A75,Evaluations!$R$3:$R$10000,1)+COUNTIFS(Evaluations!$H$3:$H$10000,$A75,Evaluations!$R$3:$R$10000,0)),2),""))</f>
        <v/>
      </c>
      <c r="I75" s="79" t="str">
        <f>IF($A75="","",IFERROR(ROUND(100*COUNTIFS(Evaluations!$H$3:$H$10000,$A75,Evaluations!$S$3:$S$10000,1)/(COUNTIFS(Evaluations!$H$3:$H$10000,$A75,Evaluations!$S$3:$S$10000,1)+COUNTIFS(Evaluations!$H$3:$H$10000,$A75,Evaluations!$S$3:$S$10000,0)),2),""))</f>
        <v/>
      </c>
      <c r="J75" s="79" t="str">
        <f>IF($A75="","",IFERROR(ROUND(100*COUNTIFS(Evaluations!$H$3:$H$10000,$A75,Evaluations!$T$3:$T$10000,1)/(COUNTIFS(Evaluations!$H$3:$H$10000,$A75,Evaluations!$T$3:$T$10000,1)+COUNTIFS(Evaluations!$H$3:$H$10000,$A75,Evaluations!$T$3:$T$10000,0)),2),""))</f>
        <v/>
      </c>
      <c r="K75" s="79" t="str">
        <f>IF($A75="","",COUNTIFS(Evaluations!$H$3:$H$10000,$A75,Evaluations!$M$3:$M$10000,"عدم پاسخ"))</f>
        <v/>
      </c>
      <c r="L75" s="79" t="str">
        <f>IF($A75="","",COUNTIFS(Evaluations!$H$3:$H$10000,$A75,Evaluations!$O$3:$O$10000,"رعایت نشده"))</f>
        <v/>
      </c>
    </row>
    <row r="76">
      <c r="A76" s="79"/>
      <c r="B76" s="79" t="str">
        <f>IF($A76="","",COUNTIFS(Evaluations!$H$3:$H$10000,$A76,Evaluations!$U$3:$U$10000,"&gt;=0",Evaluations!$U$3:$U$10000,"&lt;=100"))</f>
        <v/>
      </c>
      <c r="C76" s="79" t="str">
        <f>IF($A76="","",COUNTIFS('Agent Report'!$B$4:$B$53,$A76,'Agent Report'!$C$4:$C$53,"&gt;0"))</f>
        <v/>
      </c>
      <c r="D76" s="79" t="str">
        <f>IF(OR($A76="",B76=0),"",ROUND(SUMIFS(Evaluations!$U$3:$U$10000,Evaluations!$H$3:$H$10000,$A76)/B76,2))</f>
        <v/>
      </c>
      <c r="E76" s="79" t="str">
        <f>IF($A76="","",COUNTIFS(Evaluations!$H$3:$H$10000,$A76,Evaluations!$M$3:$M$10000,"پاسخ داده شده"))</f>
        <v/>
      </c>
      <c r="F76" s="79" t="str">
        <f>IF($A76="","",IFERROR(COUNTIFS(Evaluations!$H$3:$H$10000,$A76,Evaluations!$O$3:$O$10000,"رعایت شده")/(COUNTIFS(Evaluations!$H$3:$H$10000,$A76,Evaluations!$O$3:$O$10000,"رعایت شده")+COUNTIFS(Evaluations!$H$3:$H$10000,$A76,Evaluations!$O$3:$O$10000,"رعایت نشده")),""))</f>
        <v/>
      </c>
      <c r="G76" s="79" t="str">
        <f>IF($A76="","",IFERROR(ROUND(100*COUNTIFS(Evaluations!$H$3:$H$10000,$A76,Evaluations!$Q$3:$Q$10000,1)/(COUNTIFS(Evaluations!$H$3:$H$10000,$A76,Evaluations!$Q$3:$Q$10000,1)+COUNTIFS(Evaluations!$H$3:$H$10000,$A76,Evaluations!$Q$3:$Q$10000,0)),2),""))</f>
        <v/>
      </c>
      <c r="H76" s="79" t="str">
        <f>IF($A76="","",IFERROR(ROUND(100*COUNTIFS(Evaluations!$H$3:$H$10000,$A76,Evaluations!$R$3:$R$10000,1)/(COUNTIFS(Evaluations!$H$3:$H$10000,$A76,Evaluations!$R$3:$R$10000,1)+COUNTIFS(Evaluations!$H$3:$H$10000,$A76,Evaluations!$R$3:$R$10000,0)),2),""))</f>
        <v/>
      </c>
      <c r="I76" s="79" t="str">
        <f>IF($A76="","",IFERROR(ROUND(100*COUNTIFS(Evaluations!$H$3:$H$10000,$A76,Evaluations!$S$3:$S$10000,1)/(COUNTIFS(Evaluations!$H$3:$H$10000,$A76,Evaluations!$S$3:$S$10000,1)+COUNTIFS(Evaluations!$H$3:$H$10000,$A76,Evaluations!$S$3:$S$10000,0)),2),""))</f>
        <v/>
      </c>
      <c r="J76" s="79" t="str">
        <f>IF($A76="","",IFERROR(ROUND(100*COUNTIFS(Evaluations!$H$3:$H$10000,$A76,Evaluations!$T$3:$T$10000,1)/(COUNTIFS(Evaluations!$H$3:$H$10000,$A76,Evaluations!$T$3:$T$10000,1)+COUNTIFS(Evaluations!$H$3:$H$10000,$A76,Evaluations!$T$3:$T$10000,0)),2),""))</f>
        <v/>
      </c>
      <c r="K76" s="79" t="str">
        <f>IF($A76="","",COUNTIFS(Evaluations!$H$3:$H$10000,$A76,Evaluations!$M$3:$M$10000,"عدم پاسخ"))</f>
        <v/>
      </c>
      <c r="L76" s="79" t="str">
        <f>IF($A76="","",COUNTIFS(Evaluations!$H$3:$H$10000,$A76,Evaluations!$O$3:$O$10000,"رعایت نشده"))</f>
        <v/>
      </c>
    </row>
    <row r="77">
      <c r="A77" s="79"/>
      <c r="B77" s="79" t="str">
        <f>IF($A77="","",COUNTIFS(Evaluations!$H$3:$H$10000,$A77,Evaluations!$U$3:$U$10000,"&gt;=0",Evaluations!$U$3:$U$10000,"&lt;=100"))</f>
        <v/>
      </c>
      <c r="C77" s="79" t="str">
        <f>IF($A77="","",COUNTIFS('Agent Report'!$B$4:$B$53,$A77,'Agent Report'!$C$4:$C$53,"&gt;0"))</f>
        <v/>
      </c>
      <c r="D77" s="79" t="str">
        <f>IF(OR($A77="",B77=0),"",ROUND(SUMIFS(Evaluations!$U$3:$U$10000,Evaluations!$H$3:$H$10000,$A77)/B77,2))</f>
        <v/>
      </c>
      <c r="E77" s="79" t="str">
        <f>IF($A77="","",COUNTIFS(Evaluations!$H$3:$H$10000,$A77,Evaluations!$M$3:$M$10000,"پاسخ داده شده"))</f>
        <v/>
      </c>
      <c r="F77" s="79" t="str">
        <f>IF($A77="","",IFERROR(COUNTIFS(Evaluations!$H$3:$H$10000,$A77,Evaluations!$O$3:$O$10000,"رعایت شده")/(COUNTIFS(Evaluations!$H$3:$H$10000,$A77,Evaluations!$O$3:$O$10000,"رعایت شده")+COUNTIFS(Evaluations!$H$3:$H$10000,$A77,Evaluations!$O$3:$O$10000,"رعایت نشده")),""))</f>
        <v/>
      </c>
      <c r="G77" s="79" t="str">
        <f>IF($A77="","",IFERROR(ROUND(100*COUNTIFS(Evaluations!$H$3:$H$10000,$A77,Evaluations!$Q$3:$Q$10000,1)/(COUNTIFS(Evaluations!$H$3:$H$10000,$A77,Evaluations!$Q$3:$Q$10000,1)+COUNTIFS(Evaluations!$H$3:$H$10000,$A77,Evaluations!$Q$3:$Q$10000,0)),2),""))</f>
        <v/>
      </c>
      <c r="H77" s="79" t="str">
        <f>IF($A77="","",IFERROR(ROUND(100*COUNTIFS(Evaluations!$H$3:$H$10000,$A77,Evaluations!$R$3:$R$10000,1)/(COUNTIFS(Evaluations!$H$3:$H$10000,$A77,Evaluations!$R$3:$R$10000,1)+COUNTIFS(Evaluations!$H$3:$H$10000,$A77,Evaluations!$R$3:$R$10000,0)),2),""))</f>
        <v/>
      </c>
      <c r="I77" s="79" t="str">
        <f>IF($A77="","",IFERROR(ROUND(100*COUNTIFS(Evaluations!$H$3:$H$10000,$A77,Evaluations!$S$3:$S$10000,1)/(COUNTIFS(Evaluations!$H$3:$H$10000,$A77,Evaluations!$S$3:$S$10000,1)+COUNTIFS(Evaluations!$H$3:$H$10000,$A77,Evaluations!$S$3:$S$10000,0)),2),""))</f>
        <v/>
      </c>
      <c r="J77" s="79" t="str">
        <f>IF($A77="","",IFERROR(ROUND(100*COUNTIFS(Evaluations!$H$3:$H$10000,$A77,Evaluations!$T$3:$T$10000,1)/(COUNTIFS(Evaluations!$H$3:$H$10000,$A77,Evaluations!$T$3:$T$10000,1)+COUNTIFS(Evaluations!$H$3:$H$10000,$A77,Evaluations!$T$3:$T$10000,0)),2),""))</f>
        <v/>
      </c>
      <c r="K77" s="79" t="str">
        <f>IF($A77="","",COUNTIFS(Evaluations!$H$3:$H$10000,$A77,Evaluations!$M$3:$M$10000,"عدم پاسخ"))</f>
        <v/>
      </c>
      <c r="L77" s="79" t="str">
        <f>IF($A77="","",COUNTIFS(Evaluations!$H$3:$H$10000,$A77,Evaluations!$O$3:$O$10000,"رعایت نشده"))</f>
        <v/>
      </c>
    </row>
    <row r="78">
      <c r="A78" s="79"/>
      <c r="B78" s="79" t="str">
        <f>IF($A78="","",COUNTIFS(Evaluations!$H$3:$H$10000,$A78,Evaluations!$U$3:$U$10000,"&gt;=0",Evaluations!$U$3:$U$10000,"&lt;=100"))</f>
        <v/>
      </c>
      <c r="C78" s="79" t="str">
        <f>IF($A78="","",COUNTIFS('Agent Report'!$B$4:$B$53,$A78,'Agent Report'!$C$4:$C$53,"&gt;0"))</f>
        <v/>
      </c>
      <c r="D78" s="79" t="str">
        <f>IF(OR($A78="",B78=0),"",ROUND(SUMIFS(Evaluations!$U$3:$U$10000,Evaluations!$H$3:$H$10000,$A78)/B78,2))</f>
        <v/>
      </c>
      <c r="E78" s="79" t="str">
        <f>IF($A78="","",COUNTIFS(Evaluations!$H$3:$H$10000,$A78,Evaluations!$M$3:$M$10000,"پاسخ داده شده"))</f>
        <v/>
      </c>
      <c r="F78" s="79" t="str">
        <f>IF($A78="","",IFERROR(COUNTIFS(Evaluations!$H$3:$H$10000,$A78,Evaluations!$O$3:$O$10000,"رعایت شده")/(COUNTIFS(Evaluations!$H$3:$H$10000,$A78,Evaluations!$O$3:$O$10000,"رعایت شده")+COUNTIFS(Evaluations!$H$3:$H$10000,$A78,Evaluations!$O$3:$O$10000,"رعایت نشده")),""))</f>
        <v/>
      </c>
      <c r="G78" s="79" t="str">
        <f>IF($A78="","",IFERROR(ROUND(100*COUNTIFS(Evaluations!$H$3:$H$10000,$A78,Evaluations!$Q$3:$Q$10000,1)/(COUNTIFS(Evaluations!$H$3:$H$10000,$A78,Evaluations!$Q$3:$Q$10000,1)+COUNTIFS(Evaluations!$H$3:$H$10000,$A78,Evaluations!$Q$3:$Q$10000,0)),2),""))</f>
        <v/>
      </c>
      <c r="H78" s="79" t="str">
        <f>IF($A78="","",IFERROR(ROUND(100*COUNTIFS(Evaluations!$H$3:$H$10000,$A78,Evaluations!$R$3:$R$10000,1)/(COUNTIFS(Evaluations!$H$3:$H$10000,$A78,Evaluations!$R$3:$R$10000,1)+COUNTIFS(Evaluations!$H$3:$H$10000,$A78,Evaluations!$R$3:$R$10000,0)),2),""))</f>
        <v/>
      </c>
      <c r="I78" s="79" t="str">
        <f>IF($A78="","",IFERROR(ROUND(100*COUNTIFS(Evaluations!$H$3:$H$10000,$A78,Evaluations!$S$3:$S$10000,1)/(COUNTIFS(Evaluations!$H$3:$H$10000,$A78,Evaluations!$S$3:$S$10000,1)+COUNTIFS(Evaluations!$H$3:$H$10000,$A78,Evaluations!$S$3:$S$10000,0)),2),""))</f>
        <v/>
      </c>
      <c r="J78" s="79" t="str">
        <f>IF($A78="","",IFERROR(ROUND(100*COUNTIFS(Evaluations!$H$3:$H$10000,$A78,Evaluations!$T$3:$T$10000,1)/(COUNTIFS(Evaluations!$H$3:$H$10000,$A78,Evaluations!$T$3:$T$10000,1)+COUNTIFS(Evaluations!$H$3:$H$10000,$A78,Evaluations!$T$3:$T$10000,0)),2),""))</f>
        <v/>
      </c>
      <c r="K78" s="79" t="str">
        <f>IF($A78="","",COUNTIFS(Evaluations!$H$3:$H$10000,$A78,Evaluations!$M$3:$M$10000,"عدم پاسخ"))</f>
        <v/>
      </c>
      <c r="L78" s="79" t="str">
        <f>IF($A78="","",COUNTIFS(Evaluations!$H$3:$H$10000,$A78,Evaluations!$O$3:$O$10000,"رعایت نشده"))</f>
        <v/>
      </c>
    </row>
    <row r="79">
      <c r="A79" s="79"/>
      <c r="B79" s="79" t="str">
        <f>IF($A79="","",COUNTIFS(Evaluations!$H$3:$H$10000,$A79,Evaluations!$U$3:$U$10000,"&gt;=0",Evaluations!$U$3:$U$10000,"&lt;=100"))</f>
        <v/>
      </c>
      <c r="C79" s="79" t="str">
        <f>IF($A79="","",COUNTIFS('Agent Report'!$B$4:$B$53,$A79,'Agent Report'!$C$4:$C$53,"&gt;0"))</f>
        <v/>
      </c>
      <c r="D79" s="79" t="str">
        <f>IF(OR($A79="",B79=0),"",ROUND(SUMIFS(Evaluations!$U$3:$U$10000,Evaluations!$H$3:$H$10000,$A79)/B79,2))</f>
        <v/>
      </c>
      <c r="E79" s="79" t="str">
        <f>IF($A79="","",COUNTIFS(Evaluations!$H$3:$H$10000,$A79,Evaluations!$M$3:$M$10000,"پاسخ داده شده"))</f>
        <v/>
      </c>
      <c r="F79" s="79" t="str">
        <f>IF($A79="","",IFERROR(COUNTIFS(Evaluations!$H$3:$H$10000,$A79,Evaluations!$O$3:$O$10000,"رعایت شده")/(COUNTIFS(Evaluations!$H$3:$H$10000,$A79,Evaluations!$O$3:$O$10000,"رعایت شده")+COUNTIFS(Evaluations!$H$3:$H$10000,$A79,Evaluations!$O$3:$O$10000,"رعایت نشده")),""))</f>
        <v/>
      </c>
      <c r="G79" s="79" t="str">
        <f>IF($A79="","",IFERROR(ROUND(100*COUNTIFS(Evaluations!$H$3:$H$10000,$A79,Evaluations!$Q$3:$Q$10000,1)/(COUNTIFS(Evaluations!$H$3:$H$10000,$A79,Evaluations!$Q$3:$Q$10000,1)+COUNTIFS(Evaluations!$H$3:$H$10000,$A79,Evaluations!$Q$3:$Q$10000,0)),2),""))</f>
        <v/>
      </c>
      <c r="H79" s="79" t="str">
        <f>IF($A79="","",IFERROR(ROUND(100*COUNTIFS(Evaluations!$H$3:$H$10000,$A79,Evaluations!$R$3:$R$10000,1)/(COUNTIFS(Evaluations!$H$3:$H$10000,$A79,Evaluations!$R$3:$R$10000,1)+COUNTIFS(Evaluations!$H$3:$H$10000,$A79,Evaluations!$R$3:$R$10000,0)),2),""))</f>
        <v/>
      </c>
      <c r="I79" s="79" t="str">
        <f>IF($A79="","",IFERROR(ROUND(100*COUNTIFS(Evaluations!$H$3:$H$10000,$A79,Evaluations!$S$3:$S$10000,1)/(COUNTIFS(Evaluations!$H$3:$H$10000,$A79,Evaluations!$S$3:$S$10000,1)+COUNTIFS(Evaluations!$H$3:$H$10000,$A79,Evaluations!$S$3:$S$10000,0)),2),""))</f>
        <v/>
      </c>
      <c r="J79" s="79" t="str">
        <f>IF($A79="","",IFERROR(ROUND(100*COUNTIFS(Evaluations!$H$3:$H$10000,$A79,Evaluations!$T$3:$T$10000,1)/(COUNTIFS(Evaluations!$H$3:$H$10000,$A79,Evaluations!$T$3:$T$10000,1)+COUNTIFS(Evaluations!$H$3:$H$10000,$A79,Evaluations!$T$3:$T$10000,0)),2),""))</f>
        <v/>
      </c>
      <c r="K79" s="79" t="str">
        <f>IF($A79="","",COUNTIFS(Evaluations!$H$3:$H$10000,$A79,Evaluations!$M$3:$M$10000,"عدم پاسخ"))</f>
        <v/>
      </c>
      <c r="L79" s="79" t="str">
        <f>IF($A79="","",COUNTIFS(Evaluations!$H$3:$H$10000,$A79,Evaluations!$O$3:$O$10000,"رعایت نشده"))</f>
        <v/>
      </c>
    </row>
    <row r="80">
      <c r="A80" s="79"/>
      <c r="B80" s="79" t="str">
        <f>IF($A80="","",COUNTIFS(Evaluations!$H$3:$H$10000,$A80,Evaluations!$U$3:$U$10000,"&gt;=0",Evaluations!$U$3:$U$10000,"&lt;=100"))</f>
        <v/>
      </c>
      <c r="C80" s="79" t="str">
        <f>IF($A80="","",COUNTIFS('Agent Report'!$B$4:$B$53,$A80,'Agent Report'!$C$4:$C$53,"&gt;0"))</f>
        <v/>
      </c>
      <c r="D80" s="79" t="str">
        <f>IF(OR($A80="",B80=0),"",ROUND(SUMIFS(Evaluations!$U$3:$U$10000,Evaluations!$H$3:$H$10000,$A80)/B80,2))</f>
        <v/>
      </c>
      <c r="E80" s="79" t="str">
        <f>IF($A80="","",COUNTIFS(Evaluations!$H$3:$H$10000,$A80,Evaluations!$M$3:$M$10000,"پاسخ داده شده"))</f>
        <v/>
      </c>
      <c r="F80" s="79" t="str">
        <f>IF($A80="","",IFERROR(COUNTIFS(Evaluations!$H$3:$H$10000,$A80,Evaluations!$O$3:$O$10000,"رعایت شده")/(COUNTIFS(Evaluations!$H$3:$H$10000,$A80,Evaluations!$O$3:$O$10000,"رعایت شده")+COUNTIFS(Evaluations!$H$3:$H$10000,$A80,Evaluations!$O$3:$O$10000,"رعایت نشده")),""))</f>
        <v/>
      </c>
      <c r="G80" s="79" t="str">
        <f>IF($A80="","",IFERROR(ROUND(100*COUNTIFS(Evaluations!$H$3:$H$10000,$A80,Evaluations!$Q$3:$Q$10000,1)/(COUNTIFS(Evaluations!$H$3:$H$10000,$A80,Evaluations!$Q$3:$Q$10000,1)+COUNTIFS(Evaluations!$H$3:$H$10000,$A80,Evaluations!$Q$3:$Q$10000,0)),2),""))</f>
        <v/>
      </c>
      <c r="H80" s="79" t="str">
        <f>IF($A80="","",IFERROR(ROUND(100*COUNTIFS(Evaluations!$H$3:$H$10000,$A80,Evaluations!$R$3:$R$10000,1)/(COUNTIFS(Evaluations!$H$3:$H$10000,$A80,Evaluations!$R$3:$R$10000,1)+COUNTIFS(Evaluations!$H$3:$H$10000,$A80,Evaluations!$R$3:$R$10000,0)),2),""))</f>
        <v/>
      </c>
      <c r="I80" s="79" t="str">
        <f>IF($A80="","",IFERROR(ROUND(100*COUNTIFS(Evaluations!$H$3:$H$10000,$A80,Evaluations!$S$3:$S$10000,1)/(COUNTIFS(Evaluations!$H$3:$H$10000,$A80,Evaluations!$S$3:$S$10000,1)+COUNTIFS(Evaluations!$H$3:$H$10000,$A80,Evaluations!$S$3:$S$10000,0)),2),""))</f>
        <v/>
      </c>
      <c r="J80" s="79" t="str">
        <f>IF($A80="","",IFERROR(ROUND(100*COUNTIFS(Evaluations!$H$3:$H$10000,$A80,Evaluations!$T$3:$T$10000,1)/(COUNTIFS(Evaluations!$H$3:$H$10000,$A80,Evaluations!$T$3:$T$10000,1)+COUNTIFS(Evaluations!$H$3:$H$10000,$A80,Evaluations!$T$3:$T$10000,0)),2),""))</f>
        <v/>
      </c>
      <c r="K80" s="79" t="str">
        <f>IF($A80="","",COUNTIFS(Evaluations!$H$3:$H$10000,$A80,Evaluations!$M$3:$M$10000,"عدم پاسخ"))</f>
        <v/>
      </c>
      <c r="L80" s="79" t="str">
        <f>IF($A80="","",COUNTIFS(Evaluations!$H$3:$H$10000,$A80,Evaluations!$O$3:$O$10000,"رعایت نشده"))</f>
        <v/>
      </c>
    </row>
    <row r="81">
      <c r="A81" s="79"/>
      <c r="B81" s="79" t="str">
        <f>IF($A81="","",COUNTIFS(Evaluations!$H$3:$H$10000,$A81,Evaluations!$U$3:$U$10000,"&gt;=0",Evaluations!$U$3:$U$10000,"&lt;=100"))</f>
        <v/>
      </c>
      <c r="C81" s="79" t="str">
        <f>IF($A81="","",COUNTIFS('Agent Report'!$B$4:$B$53,$A81,'Agent Report'!$C$4:$C$53,"&gt;0"))</f>
        <v/>
      </c>
      <c r="D81" s="79" t="str">
        <f>IF(OR($A81="",B81=0),"",ROUND(SUMIFS(Evaluations!$U$3:$U$10000,Evaluations!$H$3:$H$10000,$A81)/B81,2))</f>
        <v/>
      </c>
      <c r="E81" s="79" t="str">
        <f>IF($A81="","",COUNTIFS(Evaluations!$H$3:$H$10000,$A81,Evaluations!$M$3:$M$10000,"پاسخ داده شده"))</f>
        <v/>
      </c>
      <c r="F81" s="79" t="str">
        <f>IF($A81="","",IFERROR(COUNTIFS(Evaluations!$H$3:$H$10000,$A81,Evaluations!$O$3:$O$10000,"رعایت شده")/(COUNTIFS(Evaluations!$H$3:$H$10000,$A81,Evaluations!$O$3:$O$10000,"رعایت شده")+COUNTIFS(Evaluations!$H$3:$H$10000,$A81,Evaluations!$O$3:$O$10000,"رعایت نشده")),""))</f>
        <v/>
      </c>
      <c r="G81" s="79" t="str">
        <f>IF($A81="","",IFERROR(ROUND(100*COUNTIFS(Evaluations!$H$3:$H$10000,$A81,Evaluations!$Q$3:$Q$10000,1)/(COUNTIFS(Evaluations!$H$3:$H$10000,$A81,Evaluations!$Q$3:$Q$10000,1)+COUNTIFS(Evaluations!$H$3:$H$10000,$A81,Evaluations!$Q$3:$Q$10000,0)),2),""))</f>
        <v/>
      </c>
      <c r="H81" s="79" t="str">
        <f>IF($A81="","",IFERROR(ROUND(100*COUNTIFS(Evaluations!$H$3:$H$10000,$A81,Evaluations!$R$3:$R$10000,1)/(COUNTIFS(Evaluations!$H$3:$H$10000,$A81,Evaluations!$R$3:$R$10000,1)+COUNTIFS(Evaluations!$H$3:$H$10000,$A81,Evaluations!$R$3:$R$10000,0)),2),""))</f>
        <v/>
      </c>
      <c r="I81" s="79" t="str">
        <f>IF($A81="","",IFERROR(ROUND(100*COUNTIFS(Evaluations!$H$3:$H$10000,$A81,Evaluations!$S$3:$S$10000,1)/(COUNTIFS(Evaluations!$H$3:$H$10000,$A81,Evaluations!$S$3:$S$10000,1)+COUNTIFS(Evaluations!$H$3:$H$10000,$A81,Evaluations!$S$3:$S$10000,0)),2),""))</f>
        <v/>
      </c>
      <c r="J81" s="79" t="str">
        <f>IF($A81="","",IFERROR(ROUND(100*COUNTIFS(Evaluations!$H$3:$H$10000,$A81,Evaluations!$T$3:$T$10000,1)/(COUNTIFS(Evaluations!$H$3:$H$10000,$A81,Evaluations!$T$3:$T$10000,1)+COUNTIFS(Evaluations!$H$3:$H$10000,$A81,Evaluations!$T$3:$T$10000,0)),2),""))</f>
        <v/>
      </c>
      <c r="K81" s="79" t="str">
        <f>IF($A81="","",COUNTIFS(Evaluations!$H$3:$H$10000,$A81,Evaluations!$M$3:$M$10000,"عدم پاسخ"))</f>
        <v/>
      </c>
      <c r="L81" s="79" t="str">
        <f>IF($A81="","",COUNTIFS(Evaluations!$H$3:$H$10000,$A81,Evaluations!$O$3:$O$10000,"رعایت نشده"))</f>
        <v/>
      </c>
    </row>
    <row r="82">
      <c r="A82" s="79"/>
      <c r="B82" s="79" t="str">
        <f>IF($A82="","",COUNTIFS(Evaluations!$H$3:$H$10000,$A82,Evaluations!$U$3:$U$10000,"&gt;=0",Evaluations!$U$3:$U$10000,"&lt;=100"))</f>
        <v/>
      </c>
      <c r="C82" s="79" t="str">
        <f>IF($A82="","",COUNTIFS('Agent Report'!$B$4:$B$53,$A82,'Agent Report'!$C$4:$C$53,"&gt;0"))</f>
        <v/>
      </c>
      <c r="D82" s="79" t="str">
        <f>IF(OR($A82="",B82=0),"",ROUND(SUMIFS(Evaluations!$U$3:$U$10000,Evaluations!$H$3:$H$10000,$A82)/B82,2))</f>
        <v/>
      </c>
      <c r="E82" s="79" t="str">
        <f>IF($A82="","",COUNTIFS(Evaluations!$H$3:$H$10000,$A82,Evaluations!$M$3:$M$10000,"پاسخ داده شده"))</f>
        <v/>
      </c>
      <c r="F82" s="79" t="str">
        <f>IF($A82="","",IFERROR(COUNTIFS(Evaluations!$H$3:$H$10000,$A82,Evaluations!$O$3:$O$10000,"رعایت شده")/(COUNTIFS(Evaluations!$H$3:$H$10000,$A82,Evaluations!$O$3:$O$10000,"رعایت شده")+COUNTIFS(Evaluations!$H$3:$H$10000,$A82,Evaluations!$O$3:$O$10000,"رعایت نشده")),""))</f>
        <v/>
      </c>
      <c r="G82" s="79" t="str">
        <f>IF($A82="","",IFERROR(ROUND(100*COUNTIFS(Evaluations!$H$3:$H$10000,$A82,Evaluations!$Q$3:$Q$10000,1)/(COUNTIFS(Evaluations!$H$3:$H$10000,$A82,Evaluations!$Q$3:$Q$10000,1)+COUNTIFS(Evaluations!$H$3:$H$10000,$A82,Evaluations!$Q$3:$Q$10000,0)),2),""))</f>
        <v/>
      </c>
      <c r="H82" s="79" t="str">
        <f>IF($A82="","",IFERROR(ROUND(100*COUNTIFS(Evaluations!$H$3:$H$10000,$A82,Evaluations!$R$3:$R$10000,1)/(COUNTIFS(Evaluations!$H$3:$H$10000,$A82,Evaluations!$R$3:$R$10000,1)+COUNTIFS(Evaluations!$H$3:$H$10000,$A82,Evaluations!$R$3:$R$10000,0)),2),""))</f>
        <v/>
      </c>
      <c r="I82" s="79" t="str">
        <f>IF($A82="","",IFERROR(ROUND(100*COUNTIFS(Evaluations!$H$3:$H$10000,$A82,Evaluations!$S$3:$S$10000,1)/(COUNTIFS(Evaluations!$H$3:$H$10000,$A82,Evaluations!$S$3:$S$10000,1)+COUNTIFS(Evaluations!$H$3:$H$10000,$A82,Evaluations!$S$3:$S$10000,0)),2),""))</f>
        <v/>
      </c>
      <c r="J82" s="79" t="str">
        <f>IF($A82="","",IFERROR(ROUND(100*COUNTIFS(Evaluations!$H$3:$H$10000,$A82,Evaluations!$T$3:$T$10000,1)/(COUNTIFS(Evaluations!$H$3:$H$10000,$A82,Evaluations!$T$3:$T$10000,1)+COUNTIFS(Evaluations!$H$3:$H$10000,$A82,Evaluations!$T$3:$T$10000,0)),2),""))</f>
        <v/>
      </c>
      <c r="K82" s="79" t="str">
        <f>IF($A82="","",COUNTIFS(Evaluations!$H$3:$H$10000,$A82,Evaluations!$M$3:$M$10000,"عدم پاسخ"))</f>
        <v/>
      </c>
      <c r="L82" s="79" t="str">
        <f>IF($A82="","",COUNTIFS(Evaluations!$H$3:$H$10000,$A82,Evaluations!$O$3:$O$10000,"رعایت نشده"))</f>
        <v/>
      </c>
    </row>
    <row r="83">
      <c r="A83" s="79"/>
      <c r="B83" s="79" t="str">
        <f>IF($A83="","",COUNTIFS(Evaluations!$H$3:$H$10000,$A83,Evaluations!$U$3:$U$10000,"&gt;=0",Evaluations!$U$3:$U$10000,"&lt;=100"))</f>
        <v/>
      </c>
      <c r="C83" s="79" t="str">
        <f>IF($A83="","",COUNTIFS('Agent Report'!$B$4:$B$53,$A83,'Agent Report'!$C$4:$C$53,"&gt;0"))</f>
        <v/>
      </c>
      <c r="D83" s="79" t="str">
        <f>IF(OR($A83="",B83=0),"",ROUND(SUMIFS(Evaluations!$U$3:$U$10000,Evaluations!$H$3:$H$10000,$A83)/B83,2))</f>
        <v/>
      </c>
      <c r="E83" s="79" t="str">
        <f>IF($A83="","",COUNTIFS(Evaluations!$H$3:$H$10000,$A83,Evaluations!$M$3:$M$10000,"پاسخ داده شده"))</f>
        <v/>
      </c>
      <c r="F83" s="79" t="str">
        <f>IF($A83="","",IFERROR(COUNTIFS(Evaluations!$H$3:$H$10000,$A83,Evaluations!$O$3:$O$10000,"رعایت شده")/(COUNTIFS(Evaluations!$H$3:$H$10000,$A83,Evaluations!$O$3:$O$10000,"رعایت شده")+COUNTIFS(Evaluations!$H$3:$H$10000,$A83,Evaluations!$O$3:$O$10000,"رعایت نشده")),""))</f>
        <v/>
      </c>
      <c r="G83" s="79" t="str">
        <f>IF($A83="","",IFERROR(ROUND(100*COUNTIFS(Evaluations!$H$3:$H$10000,$A83,Evaluations!$Q$3:$Q$10000,1)/(COUNTIFS(Evaluations!$H$3:$H$10000,$A83,Evaluations!$Q$3:$Q$10000,1)+COUNTIFS(Evaluations!$H$3:$H$10000,$A83,Evaluations!$Q$3:$Q$10000,0)),2),""))</f>
        <v/>
      </c>
      <c r="H83" s="79" t="str">
        <f>IF($A83="","",IFERROR(ROUND(100*COUNTIFS(Evaluations!$H$3:$H$10000,$A83,Evaluations!$R$3:$R$10000,1)/(COUNTIFS(Evaluations!$H$3:$H$10000,$A83,Evaluations!$R$3:$R$10000,1)+COUNTIFS(Evaluations!$H$3:$H$10000,$A83,Evaluations!$R$3:$R$10000,0)),2),""))</f>
        <v/>
      </c>
      <c r="I83" s="79" t="str">
        <f>IF($A83="","",IFERROR(ROUND(100*COUNTIFS(Evaluations!$H$3:$H$10000,$A83,Evaluations!$S$3:$S$10000,1)/(COUNTIFS(Evaluations!$H$3:$H$10000,$A83,Evaluations!$S$3:$S$10000,1)+COUNTIFS(Evaluations!$H$3:$H$10000,$A83,Evaluations!$S$3:$S$10000,0)),2),""))</f>
        <v/>
      </c>
      <c r="J83" s="79" t="str">
        <f>IF($A83="","",IFERROR(ROUND(100*COUNTIFS(Evaluations!$H$3:$H$10000,$A83,Evaluations!$T$3:$T$10000,1)/(COUNTIFS(Evaluations!$H$3:$H$10000,$A83,Evaluations!$T$3:$T$10000,1)+COUNTIFS(Evaluations!$H$3:$H$10000,$A83,Evaluations!$T$3:$T$10000,0)),2),""))</f>
        <v/>
      </c>
      <c r="K83" s="79" t="str">
        <f>IF($A83="","",COUNTIFS(Evaluations!$H$3:$H$10000,$A83,Evaluations!$M$3:$M$10000,"عدم پاسخ"))</f>
        <v/>
      </c>
      <c r="L83" s="79" t="str">
        <f>IF($A83="","",COUNTIFS(Evaluations!$H$3:$H$10000,$A83,Evaluations!$O$3:$O$10000,"رعایت نشده"))</f>
        <v/>
      </c>
    </row>
    <row r="84">
      <c r="A84" s="79"/>
      <c r="B84" s="79" t="str">
        <f>IF($A84="","",COUNTIFS(Evaluations!$H$3:$H$10000,$A84,Evaluations!$U$3:$U$10000,"&gt;=0",Evaluations!$U$3:$U$10000,"&lt;=100"))</f>
        <v/>
      </c>
      <c r="C84" s="79" t="str">
        <f>IF($A84="","",COUNTIFS('Agent Report'!$B$4:$B$53,$A84,'Agent Report'!$C$4:$C$53,"&gt;0"))</f>
        <v/>
      </c>
      <c r="D84" s="79" t="str">
        <f>IF(OR($A84="",B84=0),"",ROUND(SUMIFS(Evaluations!$U$3:$U$10000,Evaluations!$H$3:$H$10000,$A84)/B84,2))</f>
        <v/>
      </c>
      <c r="E84" s="79" t="str">
        <f>IF($A84="","",COUNTIFS(Evaluations!$H$3:$H$10000,$A84,Evaluations!$M$3:$M$10000,"پاسخ داده شده"))</f>
        <v/>
      </c>
      <c r="F84" s="79" t="str">
        <f>IF($A84="","",IFERROR(COUNTIFS(Evaluations!$H$3:$H$10000,$A84,Evaluations!$O$3:$O$10000,"رعایت شده")/(COUNTIFS(Evaluations!$H$3:$H$10000,$A84,Evaluations!$O$3:$O$10000,"رعایت شده")+COUNTIFS(Evaluations!$H$3:$H$10000,$A84,Evaluations!$O$3:$O$10000,"رعایت نشده")),""))</f>
        <v/>
      </c>
      <c r="G84" s="79" t="str">
        <f>IF($A84="","",IFERROR(ROUND(100*COUNTIFS(Evaluations!$H$3:$H$10000,$A84,Evaluations!$Q$3:$Q$10000,1)/(COUNTIFS(Evaluations!$H$3:$H$10000,$A84,Evaluations!$Q$3:$Q$10000,1)+COUNTIFS(Evaluations!$H$3:$H$10000,$A84,Evaluations!$Q$3:$Q$10000,0)),2),""))</f>
        <v/>
      </c>
      <c r="H84" s="79" t="str">
        <f>IF($A84="","",IFERROR(ROUND(100*COUNTIFS(Evaluations!$H$3:$H$10000,$A84,Evaluations!$R$3:$R$10000,1)/(COUNTIFS(Evaluations!$H$3:$H$10000,$A84,Evaluations!$R$3:$R$10000,1)+COUNTIFS(Evaluations!$H$3:$H$10000,$A84,Evaluations!$R$3:$R$10000,0)),2),""))</f>
        <v/>
      </c>
      <c r="I84" s="79" t="str">
        <f>IF($A84="","",IFERROR(ROUND(100*COUNTIFS(Evaluations!$H$3:$H$10000,$A84,Evaluations!$S$3:$S$10000,1)/(COUNTIFS(Evaluations!$H$3:$H$10000,$A84,Evaluations!$S$3:$S$10000,1)+COUNTIFS(Evaluations!$H$3:$H$10000,$A84,Evaluations!$S$3:$S$10000,0)),2),""))</f>
        <v/>
      </c>
      <c r="J84" s="79" t="str">
        <f>IF($A84="","",IFERROR(ROUND(100*COUNTIFS(Evaluations!$H$3:$H$10000,$A84,Evaluations!$T$3:$T$10000,1)/(COUNTIFS(Evaluations!$H$3:$H$10000,$A84,Evaluations!$T$3:$T$10000,1)+COUNTIFS(Evaluations!$H$3:$H$10000,$A84,Evaluations!$T$3:$T$10000,0)),2),""))</f>
        <v/>
      </c>
      <c r="K84" s="79" t="str">
        <f>IF($A84="","",COUNTIFS(Evaluations!$H$3:$H$10000,$A84,Evaluations!$M$3:$M$10000,"عدم پاسخ"))</f>
        <v/>
      </c>
      <c r="L84" s="79" t="str">
        <f>IF($A84="","",COUNTIFS(Evaluations!$H$3:$H$10000,$A84,Evaluations!$O$3:$O$10000,"رعایت نشده"))</f>
        <v/>
      </c>
    </row>
    <row r="85">
      <c r="A85" s="79"/>
      <c r="B85" s="79" t="str">
        <f>IF($A85="","",COUNTIFS(Evaluations!$H$3:$H$10000,$A85,Evaluations!$U$3:$U$10000,"&gt;=0",Evaluations!$U$3:$U$10000,"&lt;=100"))</f>
        <v/>
      </c>
      <c r="C85" s="79" t="str">
        <f>IF($A85="","",COUNTIFS('Agent Report'!$B$4:$B$53,$A85,'Agent Report'!$C$4:$C$53,"&gt;0"))</f>
        <v/>
      </c>
      <c r="D85" s="79" t="str">
        <f>IF(OR($A85="",B85=0),"",ROUND(SUMIFS(Evaluations!$U$3:$U$10000,Evaluations!$H$3:$H$10000,$A85)/B85,2))</f>
        <v/>
      </c>
      <c r="E85" s="79" t="str">
        <f>IF($A85="","",COUNTIFS(Evaluations!$H$3:$H$10000,$A85,Evaluations!$M$3:$M$10000,"پاسخ داده شده"))</f>
        <v/>
      </c>
      <c r="F85" s="79" t="str">
        <f>IF($A85="","",IFERROR(COUNTIFS(Evaluations!$H$3:$H$10000,$A85,Evaluations!$O$3:$O$10000,"رعایت شده")/(COUNTIFS(Evaluations!$H$3:$H$10000,$A85,Evaluations!$O$3:$O$10000,"رعایت شده")+COUNTIFS(Evaluations!$H$3:$H$10000,$A85,Evaluations!$O$3:$O$10000,"رعایت نشده")),""))</f>
        <v/>
      </c>
      <c r="G85" s="79" t="str">
        <f>IF($A85="","",IFERROR(ROUND(100*COUNTIFS(Evaluations!$H$3:$H$10000,$A85,Evaluations!$Q$3:$Q$10000,1)/(COUNTIFS(Evaluations!$H$3:$H$10000,$A85,Evaluations!$Q$3:$Q$10000,1)+COUNTIFS(Evaluations!$H$3:$H$10000,$A85,Evaluations!$Q$3:$Q$10000,0)),2),""))</f>
        <v/>
      </c>
      <c r="H85" s="79" t="str">
        <f>IF($A85="","",IFERROR(ROUND(100*COUNTIFS(Evaluations!$H$3:$H$10000,$A85,Evaluations!$R$3:$R$10000,1)/(COUNTIFS(Evaluations!$H$3:$H$10000,$A85,Evaluations!$R$3:$R$10000,1)+COUNTIFS(Evaluations!$H$3:$H$10000,$A85,Evaluations!$R$3:$R$10000,0)),2),""))</f>
        <v/>
      </c>
      <c r="I85" s="79" t="str">
        <f>IF($A85="","",IFERROR(ROUND(100*COUNTIFS(Evaluations!$H$3:$H$10000,$A85,Evaluations!$S$3:$S$10000,1)/(COUNTIFS(Evaluations!$H$3:$H$10000,$A85,Evaluations!$S$3:$S$10000,1)+COUNTIFS(Evaluations!$H$3:$H$10000,$A85,Evaluations!$S$3:$S$10000,0)),2),""))</f>
        <v/>
      </c>
      <c r="J85" s="79" t="str">
        <f>IF($A85="","",IFERROR(ROUND(100*COUNTIFS(Evaluations!$H$3:$H$10000,$A85,Evaluations!$T$3:$T$10000,1)/(COUNTIFS(Evaluations!$H$3:$H$10000,$A85,Evaluations!$T$3:$T$10000,1)+COUNTIFS(Evaluations!$H$3:$H$10000,$A85,Evaluations!$T$3:$T$10000,0)),2),""))</f>
        <v/>
      </c>
      <c r="K85" s="79" t="str">
        <f>IF($A85="","",COUNTIFS(Evaluations!$H$3:$H$10000,$A85,Evaluations!$M$3:$M$10000,"عدم پاسخ"))</f>
        <v/>
      </c>
      <c r="L85" s="79" t="str">
        <f>IF($A85="","",COUNTIFS(Evaluations!$H$3:$H$10000,$A85,Evaluations!$O$3:$O$10000,"رعایت نشده"))</f>
        <v/>
      </c>
    </row>
    <row r="86">
      <c r="A86" s="79"/>
      <c r="B86" s="79" t="str">
        <f>IF($A86="","",COUNTIFS(Evaluations!$H$3:$H$10000,$A86,Evaluations!$U$3:$U$10000,"&gt;=0",Evaluations!$U$3:$U$10000,"&lt;=100"))</f>
        <v/>
      </c>
      <c r="C86" s="79" t="str">
        <f>IF($A86="","",COUNTIFS('Agent Report'!$B$4:$B$53,$A86,'Agent Report'!$C$4:$C$53,"&gt;0"))</f>
        <v/>
      </c>
      <c r="D86" s="79" t="str">
        <f>IF(OR($A86="",B86=0),"",ROUND(SUMIFS(Evaluations!$U$3:$U$10000,Evaluations!$H$3:$H$10000,$A86)/B86,2))</f>
        <v/>
      </c>
      <c r="E86" s="79" t="str">
        <f>IF($A86="","",COUNTIFS(Evaluations!$H$3:$H$10000,$A86,Evaluations!$M$3:$M$10000,"پاسخ داده شده"))</f>
        <v/>
      </c>
      <c r="F86" s="79" t="str">
        <f>IF($A86="","",IFERROR(COUNTIFS(Evaluations!$H$3:$H$10000,$A86,Evaluations!$O$3:$O$10000,"رعایت شده")/(COUNTIFS(Evaluations!$H$3:$H$10000,$A86,Evaluations!$O$3:$O$10000,"رعایت شده")+COUNTIFS(Evaluations!$H$3:$H$10000,$A86,Evaluations!$O$3:$O$10000,"رعایت نشده")),""))</f>
        <v/>
      </c>
      <c r="G86" s="79" t="str">
        <f>IF($A86="","",IFERROR(ROUND(100*COUNTIFS(Evaluations!$H$3:$H$10000,$A86,Evaluations!$Q$3:$Q$10000,1)/(COUNTIFS(Evaluations!$H$3:$H$10000,$A86,Evaluations!$Q$3:$Q$10000,1)+COUNTIFS(Evaluations!$H$3:$H$10000,$A86,Evaluations!$Q$3:$Q$10000,0)),2),""))</f>
        <v/>
      </c>
      <c r="H86" s="79" t="str">
        <f>IF($A86="","",IFERROR(ROUND(100*COUNTIFS(Evaluations!$H$3:$H$10000,$A86,Evaluations!$R$3:$R$10000,1)/(COUNTIFS(Evaluations!$H$3:$H$10000,$A86,Evaluations!$R$3:$R$10000,1)+COUNTIFS(Evaluations!$H$3:$H$10000,$A86,Evaluations!$R$3:$R$10000,0)),2),""))</f>
        <v/>
      </c>
      <c r="I86" s="79" t="str">
        <f>IF($A86="","",IFERROR(ROUND(100*COUNTIFS(Evaluations!$H$3:$H$10000,$A86,Evaluations!$S$3:$S$10000,1)/(COUNTIFS(Evaluations!$H$3:$H$10000,$A86,Evaluations!$S$3:$S$10000,1)+COUNTIFS(Evaluations!$H$3:$H$10000,$A86,Evaluations!$S$3:$S$10000,0)),2),""))</f>
        <v/>
      </c>
      <c r="J86" s="79" t="str">
        <f>IF($A86="","",IFERROR(ROUND(100*COUNTIFS(Evaluations!$H$3:$H$10000,$A86,Evaluations!$T$3:$T$10000,1)/(COUNTIFS(Evaluations!$H$3:$H$10000,$A86,Evaluations!$T$3:$T$10000,1)+COUNTIFS(Evaluations!$H$3:$H$10000,$A86,Evaluations!$T$3:$T$10000,0)),2),""))</f>
        <v/>
      </c>
      <c r="K86" s="79" t="str">
        <f>IF($A86="","",COUNTIFS(Evaluations!$H$3:$H$10000,$A86,Evaluations!$M$3:$M$10000,"عدم پاسخ"))</f>
        <v/>
      </c>
      <c r="L86" s="79" t="str">
        <f>IF($A86="","",COUNTIFS(Evaluations!$H$3:$H$10000,$A86,Evaluations!$O$3:$O$10000,"رعایت نشده"))</f>
        <v/>
      </c>
    </row>
    <row r="87">
      <c r="A87" s="79"/>
      <c r="B87" s="79" t="str">
        <f>IF($A87="","",COUNTIFS(Evaluations!$H$3:$H$10000,$A87,Evaluations!$U$3:$U$10000,"&gt;=0",Evaluations!$U$3:$U$10000,"&lt;=100"))</f>
        <v/>
      </c>
      <c r="C87" s="79" t="str">
        <f>IF($A87="","",COUNTIFS('Agent Report'!$B$4:$B$53,$A87,'Agent Report'!$C$4:$C$53,"&gt;0"))</f>
        <v/>
      </c>
      <c r="D87" s="79" t="str">
        <f>IF(OR($A87="",B87=0),"",ROUND(SUMIFS(Evaluations!$U$3:$U$10000,Evaluations!$H$3:$H$10000,$A87)/B87,2))</f>
        <v/>
      </c>
      <c r="E87" s="79" t="str">
        <f>IF($A87="","",COUNTIFS(Evaluations!$H$3:$H$10000,$A87,Evaluations!$M$3:$M$10000,"پاسخ داده شده"))</f>
        <v/>
      </c>
      <c r="F87" s="79" t="str">
        <f>IF($A87="","",IFERROR(COUNTIFS(Evaluations!$H$3:$H$10000,$A87,Evaluations!$O$3:$O$10000,"رعایت شده")/(COUNTIFS(Evaluations!$H$3:$H$10000,$A87,Evaluations!$O$3:$O$10000,"رعایت شده")+COUNTIFS(Evaluations!$H$3:$H$10000,$A87,Evaluations!$O$3:$O$10000,"رعایت نشده")),""))</f>
        <v/>
      </c>
      <c r="G87" s="79" t="str">
        <f>IF($A87="","",IFERROR(ROUND(100*COUNTIFS(Evaluations!$H$3:$H$10000,$A87,Evaluations!$Q$3:$Q$10000,1)/(COUNTIFS(Evaluations!$H$3:$H$10000,$A87,Evaluations!$Q$3:$Q$10000,1)+COUNTIFS(Evaluations!$H$3:$H$10000,$A87,Evaluations!$Q$3:$Q$10000,0)),2),""))</f>
        <v/>
      </c>
      <c r="H87" s="79" t="str">
        <f>IF($A87="","",IFERROR(ROUND(100*COUNTIFS(Evaluations!$H$3:$H$10000,$A87,Evaluations!$R$3:$R$10000,1)/(COUNTIFS(Evaluations!$H$3:$H$10000,$A87,Evaluations!$R$3:$R$10000,1)+COUNTIFS(Evaluations!$H$3:$H$10000,$A87,Evaluations!$R$3:$R$10000,0)),2),""))</f>
        <v/>
      </c>
      <c r="I87" s="79" t="str">
        <f>IF($A87="","",IFERROR(ROUND(100*COUNTIFS(Evaluations!$H$3:$H$10000,$A87,Evaluations!$S$3:$S$10000,1)/(COUNTIFS(Evaluations!$H$3:$H$10000,$A87,Evaluations!$S$3:$S$10000,1)+COUNTIFS(Evaluations!$H$3:$H$10000,$A87,Evaluations!$S$3:$S$10000,0)),2),""))</f>
        <v/>
      </c>
      <c r="J87" s="79" t="str">
        <f>IF($A87="","",IFERROR(ROUND(100*COUNTIFS(Evaluations!$H$3:$H$10000,$A87,Evaluations!$T$3:$T$10000,1)/(COUNTIFS(Evaluations!$H$3:$H$10000,$A87,Evaluations!$T$3:$T$10000,1)+COUNTIFS(Evaluations!$H$3:$H$10000,$A87,Evaluations!$T$3:$T$10000,0)),2),""))</f>
        <v/>
      </c>
      <c r="K87" s="79" t="str">
        <f>IF($A87="","",COUNTIFS(Evaluations!$H$3:$H$10000,$A87,Evaluations!$M$3:$M$10000,"عدم پاسخ"))</f>
        <v/>
      </c>
      <c r="L87" s="79" t="str">
        <f>IF($A87="","",COUNTIFS(Evaluations!$H$3:$H$10000,$A87,Evaluations!$O$3:$O$10000,"رعایت نشده"))</f>
        <v/>
      </c>
    </row>
    <row r="88">
      <c r="A88" s="79"/>
      <c r="B88" s="79" t="str">
        <f>IF($A88="","",COUNTIFS(Evaluations!$H$3:$H$10000,$A88,Evaluations!$U$3:$U$10000,"&gt;=0",Evaluations!$U$3:$U$10000,"&lt;=100"))</f>
        <v/>
      </c>
      <c r="C88" s="79" t="str">
        <f>IF($A88="","",COUNTIFS('Agent Report'!$B$4:$B$53,$A88,'Agent Report'!$C$4:$C$53,"&gt;0"))</f>
        <v/>
      </c>
      <c r="D88" s="79" t="str">
        <f>IF(OR($A88="",B88=0),"",ROUND(SUMIFS(Evaluations!$U$3:$U$10000,Evaluations!$H$3:$H$10000,$A88)/B88,2))</f>
        <v/>
      </c>
      <c r="E88" s="79" t="str">
        <f>IF($A88="","",COUNTIFS(Evaluations!$H$3:$H$10000,$A88,Evaluations!$M$3:$M$10000,"پاسخ داده شده"))</f>
        <v/>
      </c>
      <c r="F88" s="79" t="str">
        <f>IF($A88="","",IFERROR(COUNTIFS(Evaluations!$H$3:$H$10000,$A88,Evaluations!$O$3:$O$10000,"رعایت شده")/(COUNTIFS(Evaluations!$H$3:$H$10000,$A88,Evaluations!$O$3:$O$10000,"رعایت شده")+COUNTIFS(Evaluations!$H$3:$H$10000,$A88,Evaluations!$O$3:$O$10000,"رعایت نشده")),""))</f>
        <v/>
      </c>
      <c r="G88" s="79" t="str">
        <f>IF($A88="","",IFERROR(ROUND(100*COUNTIFS(Evaluations!$H$3:$H$10000,$A88,Evaluations!$Q$3:$Q$10000,1)/(COUNTIFS(Evaluations!$H$3:$H$10000,$A88,Evaluations!$Q$3:$Q$10000,1)+COUNTIFS(Evaluations!$H$3:$H$10000,$A88,Evaluations!$Q$3:$Q$10000,0)),2),""))</f>
        <v/>
      </c>
      <c r="H88" s="79" t="str">
        <f>IF($A88="","",IFERROR(ROUND(100*COUNTIFS(Evaluations!$H$3:$H$10000,$A88,Evaluations!$R$3:$R$10000,1)/(COUNTIFS(Evaluations!$H$3:$H$10000,$A88,Evaluations!$R$3:$R$10000,1)+COUNTIFS(Evaluations!$H$3:$H$10000,$A88,Evaluations!$R$3:$R$10000,0)),2),""))</f>
        <v/>
      </c>
      <c r="I88" s="79" t="str">
        <f>IF($A88="","",IFERROR(ROUND(100*COUNTIFS(Evaluations!$H$3:$H$10000,$A88,Evaluations!$S$3:$S$10000,1)/(COUNTIFS(Evaluations!$H$3:$H$10000,$A88,Evaluations!$S$3:$S$10000,1)+COUNTIFS(Evaluations!$H$3:$H$10000,$A88,Evaluations!$S$3:$S$10000,0)),2),""))</f>
        <v/>
      </c>
      <c r="J88" s="79" t="str">
        <f>IF($A88="","",IFERROR(ROUND(100*COUNTIFS(Evaluations!$H$3:$H$10000,$A88,Evaluations!$T$3:$T$10000,1)/(COUNTIFS(Evaluations!$H$3:$H$10000,$A88,Evaluations!$T$3:$T$10000,1)+COUNTIFS(Evaluations!$H$3:$H$10000,$A88,Evaluations!$T$3:$T$10000,0)),2),""))</f>
        <v/>
      </c>
      <c r="K88" s="79" t="str">
        <f>IF($A88="","",COUNTIFS(Evaluations!$H$3:$H$10000,$A88,Evaluations!$M$3:$M$10000,"عدم پاسخ"))</f>
        <v/>
      </c>
      <c r="L88" s="79" t="str">
        <f>IF($A88="","",COUNTIFS(Evaluations!$H$3:$H$10000,$A88,Evaluations!$O$3:$O$10000,"رعایت نشده"))</f>
        <v/>
      </c>
    </row>
    <row r="89">
      <c r="A89" s="79"/>
      <c r="B89" s="79" t="str">
        <f>IF($A89="","",COUNTIFS(Evaluations!$H$3:$H$10000,$A89,Evaluations!$U$3:$U$10000,"&gt;=0",Evaluations!$U$3:$U$10000,"&lt;=100"))</f>
        <v/>
      </c>
      <c r="C89" s="79" t="str">
        <f>IF($A89="","",COUNTIFS('Agent Report'!$B$4:$B$53,$A89,'Agent Report'!$C$4:$C$53,"&gt;0"))</f>
        <v/>
      </c>
      <c r="D89" s="79" t="str">
        <f>IF(OR($A89="",B89=0),"",ROUND(SUMIFS(Evaluations!$U$3:$U$10000,Evaluations!$H$3:$H$10000,$A89)/B89,2))</f>
        <v/>
      </c>
      <c r="E89" s="79" t="str">
        <f>IF($A89="","",COUNTIFS(Evaluations!$H$3:$H$10000,$A89,Evaluations!$M$3:$M$10000,"پاسخ داده شده"))</f>
        <v/>
      </c>
      <c r="F89" s="79" t="str">
        <f>IF($A89="","",IFERROR(COUNTIFS(Evaluations!$H$3:$H$10000,$A89,Evaluations!$O$3:$O$10000,"رعایت شده")/(COUNTIFS(Evaluations!$H$3:$H$10000,$A89,Evaluations!$O$3:$O$10000,"رعایت شده")+COUNTIFS(Evaluations!$H$3:$H$10000,$A89,Evaluations!$O$3:$O$10000,"رعایت نشده")),""))</f>
        <v/>
      </c>
      <c r="G89" s="79" t="str">
        <f>IF($A89="","",IFERROR(ROUND(100*COUNTIFS(Evaluations!$H$3:$H$10000,$A89,Evaluations!$Q$3:$Q$10000,1)/(COUNTIFS(Evaluations!$H$3:$H$10000,$A89,Evaluations!$Q$3:$Q$10000,1)+COUNTIFS(Evaluations!$H$3:$H$10000,$A89,Evaluations!$Q$3:$Q$10000,0)),2),""))</f>
        <v/>
      </c>
      <c r="H89" s="79" t="str">
        <f>IF($A89="","",IFERROR(ROUND(100*COUNTIFS(Evaluations!$H$3:$H$10000,$A89,Evaluations!$R$3:$R$10000,1)/(COUNTIFS(Evaluations!$H$3:$H$10000,$A89,Evaluations!$R$3:$R$10000,1)+COUNTIFS(Evaluations!$H$3:$H$10000,$A89,Evaluations!$R$3:$R$10000,0)),2),""))</f>
        <v/>
      </c>
      <c r="I89" s="79" t="str">
        <f>IF($A89="","",IFERROR(ROUND(100*COUNTIFS(Evaluations!$H$3:$H$10000,$A89,Evaluations!$S$3:$S$10000,1)/(COUNTIFS(Evaluations!$H$3:$H$10000,$A89,Evaluations!$S$3:$S$10000,1)+COUNTIFS(Evaluations!$H$3:$H$10000,$A89,Evaluations!$S$3:$S$10000,0)),2),""))</f>
        <v/>
      </c>
      <c r="J89" s="79" t="str">
        <f>IF($A89="","",IFERROR(ROUND(100*COUNTIFS(Evaluations!$H$3:$H$10000,$A89,Evaluations!$T$3:$T$10000,1)/(COUNTIFS(Evaluations!$H$3:$H$10000,$A89,Evaluations!$T$3:$T$10000,1)+COUNTIFS(Evaluations!$H$3:$H$10000,$A89,Evaluations!$T$3:$T$10000,0)),2),""))</f>
        <v/>
      </c>
      <c r="K89" s="79" t="str">
        <f>IF($A89="","",COUNTIFS(Evaluations!$H$3:$H$10000,$A89,Evaluations!$M$3:$M$10000,"عدم پاسخ"))</f>
        <v/>
      </c>
      <c r="L89" s="79" t="str">
        <f>IF($A89="","",COUNTIFS(Evaluations!$H$3:$H$10000,$A89,Evaluations!$O$3:$O$10000,"رعایت نشده"))</f>
        <v/>
      </c>
    </row>
    <row r="90">
      <c r="A90" s="79"/>
      <c r="B90" s="79" t="str">
        <f>IF($A90="","",COUNTIFS(Evaluations!$H$3:$H$10000,$A90,Evaluations!$U$3:$U$10000,"&gt;=0",Evaluations!$U$3:$U$10000,"&lt;=100"))</f>
        <v/>
      </c>
      <c r="C90" s="79" t="str">
        <f>IF($A90="","",COUNTIFS('Agent Report'!$B$4:$B$53,$A90,'Agent Report'!$C$4:$C$53,"&gt;0"))</f>
        <v/>
      </c>
      <c r="D90" s="79" t="str">
        <f>IF(OR($A90="",B90=0),"",ROUND(SUMIFS(Evaluations!$U$3:$U$10000,Evaluations!$H$3:$H$10000,$A90)/B90,2))</f>
        <v/>
      </c>
      <c r="E90" s="79" t="str">
        <f>IF($A90="","",COUNTIFS(Evaluations!$H$3:$H$10000,$A90,Evaluations!$M$3:$M$10000,"پاسخ داده شده"))</f>
        <v/>
      </c>
      <c r="F90" s="79" t="str">
        <f>IF($A90="","",IFERROR(COUNTIFS(Evaluations!$H$3:$H$10000,$A90,Evaluations!$O$3:$O$10000,"رعایت شده")/(COUNTIFS(Evaluations!$H$3:$H$10000,$A90,Evaluations!$O$3:$O$10000,"رعایت شده")+COUNTIFS(Evaluations!$H$3:$H$10000,$A90,Evaluations!$O$3:$O$10000,"رعایت نشده")),""))</f>
        <v/>
      </c>
      <c r="G90" s="79" t="str">
        <f>IF($A90="","",IFERROR(ROUND(100*COUNTIFS(Evaluations!$H$3:$H$10000,$A90,Evaluations!$Q$3:$Q$10000,1)/(COUNTIFS(Evaluations!$H$3:$H$10000,$A90,Evaluations!$Q$3:$Q$10000,1)+COUNTIFS(Evaluations!$H$3:$H$10000,$A90,Evaluations!$Q$3:$Q$10000,0)),2),""))</f>
        <v/>
      </c>
      <c r="H90" s="79" t="str">
        <f>IF($A90="","",IFERROR(ROUND(100*COUNTIFS(Evaluations!$H$3:$H$10000,$A90,Evaluations!$R$3:$R$10000,1)/(COUNTIFS(Evaluations!$H$3:$H$10000,$A90,Evaluations!$R$3:$R$10000,1)+COUNTIFS(Evaluations!$H$3:$H$10000,$A90,Evaluations!$R$3:$R$10000,0)),2),""))</f>
        <v/>
      </c>
      <c r="I90" s="79" t="str">
        <f>IF($A90="","",IFERROR(ROUND(100*COUNTIFS(Evaluations!$H$3:$H$10000,$A90,Evaluations!$S$3:$S$10000,1)/(COUNTIFS(Evaluations!$H$3:$H$10000,$A90,Evaluations!$S$3:$S$10000,1)+COUNTIFS(Evaluations!$H$3:$H$10000,$A90,Evaluations!$S$3:$S$10000,0)),2),""))</f>
        <v/>
      </c>
      <c r="J90" s="79" t="str">
        <f>IF($A90="","",IFERROR(ROUND(100*COUNTIFS(Evaluations!$H$3:$H$10000,$A90,Evaluations!$T$3:$T$10000,1)/(COUNTIFS(Evaluations!$H$3:$H$10000,$A90,Evaluations!$T$3:$T$10000,1)+COUNTIFS(Evaluations!$H$3:$H$10000,$A90,Evaluations!$T$3:$T$10000,0)),2),""))</f>
        <v/>
      </c>
      <c r="K90" s="79" t="str">
        <f>IF($A90="","",COUNTIFS(Evaluations!$H$3:$H$10000,$A90,Evaluations!$M$3:$M$10000,"عدم پاسخ"))</f>
        <v/>
      </c>
      <c r="L90" s="79" t="str">
        <f>IF($A90="","",COUNTIFS(Evaluations!$H$3:$H$10000,$A90,Evaluations!$O$3:$O$10000,"رعایت نشده"))</f>
        <v/>
      </c>
    </row>
    <row r="91">
      <c r="A91" s="79"/>
      <c r="B91" s="79" t="str">
        <f>IF($A91="","",COUNTIFS(Evaluations!$H$3:$H$10000,$A91,Evaluations!$U$3:$U$10000,"&gt;=0",Evaluations!$U$3:$U$10000,"&lt;=100"))</f>
        <v/>
      </c>
      <c r="C91" s="79" t="str">
        <f>IF($A91="","",COUNTIFS('Agent Report'!$B$4:$B$53,$A91,'Agent Report'!$C$4:$C$53,"&gt;0"))</f>
        <v/>
      </c>
      <c r="D91" s="79" t="str">
        <f>IF(OR($A91="",B91=0),"",ROUND(SUMIFS(Evaluations!$U$3:$U$10000,Evaluations!$H$3:$H$10000,$A91)/B91,2))</f>
        <v/>
      </c>
      <c r="E91" s="79" t="str">
        <f>IF($A91="","",COUNTIFS(Evaluations!$H$3:$H$10000,$A91,Evaluations!$M$3:$M$10000,"پاسخ داده شده"))</f>
        <v/>
      </c>
      <c r="F91" s="79" t="str">
        <f>IF($A91="","",IFERROR(COUNTIFS(Evaluations!$H$3:$H$10000,$A91,Evaluations!$O$3:$O$10000,"رعایت شده")/(COUNTIFS(Evaluations!$H$3:$H$10000,$A91,Evaluations!$O$3:$O$10000,"رعایت شده")+COUNTIFS(Evaluations!$H$3:$H$10000,$A91,Evaluations!$O$3:$O$10000,"رعایت نشده")),""))</f>
        <v/>
      </c>
      <c r="G91" s="79" t="str">
        <f>IF($A91="","",IFERROR(ROUND(100*COUNTIFS(Evaluations!$H$3:$H$10000,$A91,Evaluations!$Q$3:$Q$10000,1)/(COUNTIFS(Evaluations!$H$3:$H$10000,$A91,Evaluations!$Q$3:$Q$10000,1)+COUNTIFS(Evaluations!$H$3:$H$10000,$A91,Evaluations!$Q$3:$Q$10000,0)),2),""))</f>
        <v/>
      </c>
      <c r="H91" s="79" t="str">
        <f>IF($A91="","",IFERROR(ROUND(100*COUNTIFS(Evaluations!$H$3:$H$10000,$A91,Evaluations!$R$3:$R$10000,1)/(COUNTIFS(Evaluations!$H$3:$H$10000,$A91,Evaluations!$R$3:$R$10000,1)+COUNTIFS(Evaluations!$H$3:$H$10000,$A91,Evaluations!$R$3:$R$10000,0)),2),""))</f>
        <v/>
      </c>
      <c r="I91" s="79" t="str">
        <f>IF($A91="","",IFERROR(ROUND(100*COUNTIFS(Evaluations!$H$3:$H$10000,$A91,Evaluations!$S$3:$S$10000,1)/(COUNTIFS(Evaluations!$H$3:$H$10000,$A91,Evaluations!$S$3:$S$10000,1)+COUNTIFS(Evaluations!$H$3:$H$10000,$A91,Evaluations!$S$3:$S$10000,0)),2),""))</f>
        <v/>
      </c>
      <c r="J91" s="79" t="str">
        <f>IF($A91="","",IFERROR(ROUND(100*COUNTIFS(Evaluations!$H$3:$H$10000,$A91,Evaluations!$T$3:$T$10000,1)/(COUNTIFS(Evaluations!$H$3:$H$10000,$A91,Evaluations!$T$3:$T$10000,1)+COUNTIFS(Evaluations!$H$3:$H$10000,$A91,Evaluations!$T$3:$T$10000,0)),2),""))</f>
        <v/>
      </c>
      <c r="K91" s="79" t="str">
        <f>IF($A91="","",COUNTIFS(Evaluations!$H$3:$H$10000,$A91,Evaluations!$M$3:$M$10000,"عدم پاسخ"))</f>
        <v/>
      </c>
      <c r="L91" s="79" t="str">
        <f>IF($A91="","",COUNTIFS(Evaluations!$H$3:$H$10000,$A91,Evaluations!$O$3:$O$10000,"رعایت نشده"))</f>
        <v/>
      </c>
    </row>
    <row r="92">
      <c r="A92" s="79"/>
      <c r="B92" s="79" t="str">
        <f>IF($A92="","",COUNTIFS(Evaluations!$H$3:$H$10000,$A92,Evaluations!$U$3:$U$10000,"&gt;=0",Evaluations!$U$3:$U$10000,"&lt;=100"))</f>
        <v/>
      </c>
      <c r="C92" s="79" t="str">
        <f>IF($A92="","",COUNTIFS('Agent Report'!$B$4:$B$53,$A92,'Agent Report'!$C$4:$C$53,"&gt;0"))</f>
        <v/>
      </c>
      <c r="D92" s="79" t="str">
        <f>IF(OR($A92="",B92=0),"",ROUND(SUMIFS(Evaluations!$U$3:$U$10000,Evaluations!$H$3:$H$10000,$A92)/B92,2))</f>
        <v/>
      </c>
      <c r="E92" s="79" t="str">
        <f>IF($A92="","",COUNTIFS(Evaluations!$H$3:$H$10000,$A92,Evaluations!$M$3:$M$10000,"پاسخ داده شده"))</f>
        <v/>
      </c>
      <c r="F92" s="79" t="str">
        <f>IF($A92="","",IFERROR(COUNTIFS(Evaluations!$H$3:$H$10000,$A92,Evaluations!$O$3:$O$10000,"رعایت شده")/(COUNTIFS(Evaluations!$H$3:$H$10000,$A92,Evaluations!$O$3:$O$10000,"رعایت شده")+COUNTIFS(Evaluations!$H$3:$H$10000,$A92,Evaluations!$O$3:$O$10000,"رعایت نشده")),""))</f>
        <v/>
      </c>
      <c r="G92" s="79" t="str">
        <f>IF($A92="","",IFERROR(ROUND(100*COUNTIFS(Evaluations!$H$3:$H$10000,$A92,Evaluations!$Q$3:$Q$10000,1)/(COUNTIFS(Evaluations!$H$3:$H$10000,$A92,Evaluations!$Q$3:$Q$10000,1)+COUNTIFS(Evaluations!$H$3:$H$10000,$A92,Evaluations!$Q$3:$Q$10000,0)),2),""))</f>
        <v/>
      </c>
      <c r="H92" s="79" t="str">
        <f>IF($A92="","",IFERROR(ROUND(100*COUNTIFS(Evaluations!$H$3:$H$10000,$A92,Evaluations!$R$3:$R$10000,1)/(COUNTIFS(Evaluations!$H$3:$H$10000,$A92,Evaluations!$R$3:$R$10000,1)+COUNTIFS(Evaluations!$H$3:$H$10000,$A92,Evaluations!$R$3:$R$10000,0)),2),""))</f>
        <v/>
      </c>
      <c r="I92" s="79" t="str">
        <f>IF($A92="","",IFERROR(ROUND(100*COUNTIFS(Evaluations!$H$3:$H$10000,$A92,Evaluations!$S$3:$S$10000,1)/(COUNTIFS(Evaluations!$H$3:$H$10000,$A92,Evaluations!$S$3:$S$10000,1)+COUNTIFS(Evaluations!$H$3:$H$10000,$A92,Evaluations!$S$3:$S$10000,0)),2),""))</f>
        <v/>
      </c>
      <c r="J92" s="79" t="str">
        <f>IF($A92="","",IFERROR(ROUND(100*COUNTIFS(Evaluations!$H$3:$H$10000,$A92,Evaluations!$T$3:$T$10000,1)/(COUNTIFS(Evaluations!$H$3:$H$10000,$A92,Evaluations!$T$3:$T$10000,1)+COUNTIFS(Evaluations!$H$3:$H$10000,$A92,Evaluations!$T$3:$T$10000,0)),2),""))</f>
        <v/>
      </c>
      <c r="K92" s="79" t="str">
        <f>IF($A92="","",COUNTIFS(Evaluations!$H$3:$H$10000,$A92,Evaluations!$M$3:$M$10000,"عدم پاسخ"))</f>
        <v/>
      </c>
      <c r="L92" s="79" t="str">
        <f>IF($A92="","",COUNTIFS(Evaluations!$H$3:$H$10000,$A92,Evaluations!$O$3:$O$10000,"رعایت نشده"))</f>
        <v/>
      </c>
    </row>
    <row r="93">
      <c r="A93" s="79"/>
      <c r="B93" s="79" t="str">
        <f>IF($A93="","",COUNTIFS(Evaluations!$H$3:$H$10000,$A93,Evaluations!$U$3:$U$10000,"&gt;=0",Evaluations!$U$3:$U$10000,"&lt;=100"))</f>
        <v/>
      </c>
      <c r="C93" s="79" t="str">
        <f>IF($A93="","",COUNTIFS('Agent Report'!$B$4:$B$53,$A93,'Agent Report'!$C$4:$C$53,"&gt;0"))</f>
        <v/>
      </c>
      <c r="D93" s="79" t="str">
        <f>IF(OR($A93="",B93=0),"",ROUND(SUMIFS(Evaluations!$U$3:$U$10000,Evaluations!$H$3:$H$10000,$A93)/B93,2))</f>
        <v/>
      </c>
      <c r="E93" s="79" t="str">
        <f>IF($A93="","",COUNTIFS(Evaluations!$H$3:$H$10000,$A93,Evaluations!$M$3:$M$10000,"پاسخ داده شده"))</f>
        <v/>
      </c>
      <c r="F93" s="79" t="str">
        <f>IF($A93="","",IFERROR(COUNTIFS(Evaluations!$H$3:$H$10000,$A93,Evaluations!$O$3:$O$10000,"رعایت شده")/(COUNTIFS(Evaluations!$H$3:$H$10000,$A93,Evaluations!$O$3:$O$10000,"رعایت شده")+COUNTIFS(Evaluations!$H$3:$H$10000,$A93,Evaluations!$O$3:$O$10000,"رعایت نشده")),""))</f>
        <v/>
      </c>
      <c r="G93" s="79" t="str">
        <f>IF($A93="","",IFERROR(ROUND(100*COUNTIFS(Evaluations!$H$3:$H$10000,$A93,Evaluations!$Q$3:$Q$10000,1)/(COUNTIFS(Evaluations!$H$3:$H$10000,$A93,Evaluations!$Q$3:$Q$10000,1)+COUNTIFS(Evaluations!$H$3:$H$10000,$A93,Evaluations!$Q$3:$Q$10000,0)),2),""))</f>
        <v/>
      </c>
      <c r="H93" s="79" t="str">
        <f>IF($A93="","",IFERROR(ROUND(100*COUNTIFS(Evaluations!$H$3:$H$10000,$A93,Evaluations!$R$3:$R$10000,1)/(COUNTIFS(Evaluations!$H$3:$H$10000,$A93,Evaluations!$R$3:$R$10000,1)+COUNTIFS(Evaluations!$H$3:$H$10000,$A93,Evaluations!$R$3:$R$10000,0)),2),""))</f>
        <v/>
      </c>
      <c r="I93" s="79" t="str">
        <f>IF($A93="","",IFERROR(ROUND(100*COUNTIFS(Evaluations!$H$3:$H$10000,$A93,Evaluations!$S$3:$S$10000,1)/(COUNTIFS(Evaluations!$H$3:$H$10000,$A93,Evaluations!$S$3:$S$10000,1)+COUNTIFS(Evaluations!$H$3:$H$10000,$A93,Evaluations!$S$3:$S$10000,0)),2),""))</f>
        <v/>
      </c>
      <c r="J93" s="79" t="str">
        <f>IF($A93="","",IFERROR(ROUND(100*COUNTIFS(Evaluations!$H$3:$H$10000,$A93,Evaluations!$T$3:$T$10000,1)/(COUNTIFS(Evaluations!$H$3:$H$10000,$A93,Evaluations!$T$3:$T$10000,1)+COUNTIFS(Evaluations!$H$3:$H$10000,$A93,Evaluations!$T$3:$T$10000,0)),2),""))</f>
        <v/>
      </c>
      <c r="K93" s="79" t="str">
        <f>IF($A93="","",COUNTIFS(Evaluations!$H$3:$H$10000,$A93,Evaluations!$M$3:$M$10000,"عدم پاسخ"))</f>
        <v/>
      </c>
      <c r="L93" s="79" t="str">
        <f>IF($A93="","",COUNTIFS(Evaluations!$H$3:$H$10000,$A93,Evaluations!$O$3:$O$10000,"رعایت نشده"))</f>
        <v/>
      </c>
    </row>
    <row r="94">
      <c r="A94" s="79"/>
      <c r="B94" s="79" t="str">
        <f>IF($A94="","",COUNTIFS(Evaluations!$H$3:$H$10000,$A94,Evaluations!$U$3:$U$10000,"&gt;=0",Evaluations!$U$3:$U$10000,"&lt;=100"))</f>
        <v/>
      </c>
      <c r="C94" s="79" t="str">
        <f>IF($A94="","",COUNTIFS('Agent Report'!$B$4:$B$53,$A94,'Agent Report'!$C$4:$C$53,"&gt;0"))</f>
        <v/>
      </c>
      <c r="D94" s="79" t="str">
        <f>IF(OR($A94="",B94=0),"",ROUND(SUMIFS(Evaluations!$U$3:$U$10000,Evaluations!$H$3:$H$10000,$A94)/B94,2))</f>
        <v/>
      </c>
      <c r="E94" s="79" t="str">
        <f>IF($A94="","",COUNTIFS(Evaluations!$H$3:$H$10000,$A94,Evaluations!$M$3:$M$10000,"پاسخ داده شده"))</f>
        <v/>
      </c>
      <c r="F94" s="79" t="str">
        <f>IF($A94="","",IFERROR(COUNTIFS(Evaluations!$H$3:$H$10000,$A94,Evaluations!$O$3:$O$10000,"رعایت شده")/(COUNTIFS(Evaluations!$H$3:$H$10000,$A94,Evaluations!$O$3:$O$10000,"رعایت شده")+COUNTIFS(Evaluations!$H$3:$H$10000,$A94,Evaluations!$O$3:$O$10000,"رعایت نشده")),""))</f>
        <v/>
      </c>
      <c r="G94" s="79" t="str">
        <f>IF($A94="","",IFERROR(ROUND(100*COUNTIFS(Evaluations!$H$3:$H$10000,$A94,Evaluations!$Q$3:$Q$10000,1)/(COUNTIFS(Evaluations!$H$3:$H$10000,$A94,Evaluations!$Q$3:$Q$10000,1)+COUNTIFS(Evaluations!$H$3:$H$10000,$A94,Evaluations!$Q$3:$Q$10000,0)),2),""))</f>
        <v/>
      </c>
      <c r="H94" s="79" t="str">
        <f>IF($A94="","",IFERROR(ROUND(100*COUNTIFS(Evaluations!$H$3:$H$10000,$A94,Evaluations!$R$3:$R$10000,1)/(COUNTIFS(Evaluations!$H$3:$H$10000,$A94,Evaluations!$R$3:$R$10000,1)+COUNTIFS(Evaluations!$H$3:$H$10000,$A94,Evaluations!$R$3:$R$10000,0)),2),""))</f>
        <v/>
      </c>
      <c r="I94" s="79" t="str">
        <f>IF($A94="","",IFERROR(ROUND(100*COUNTIFS(Evaluations!$H$3:$H$10000,$A94,Evaluations!$S$3:$S$10000,1)/(COUNTIFS(Evaluations!$H$3:$H$10000,$A94,Evaluations!$S$3:$S$10000,1)+COUNTIFS(Evaluations!$H$3:$H$10000,$A94,Evaluations!$S$3:$S$10000,0)),2),""))</f>
        <v/>
      </c>
      <c r="J94" s="79" t="str">
        <f>IF($A94="","",IFERROR(ROUND(100*COUNTIFS(Evaluations!$H$3:$H$10000,$A94,Evaluations!$T$3:$T$10000,1)/(COUNTIFS(Evaluations!$H$3:$H$10000,$A94,Evaluations!$T$3:$T$10000,1)+COUNTIFS(Evaluations!$H$3:$H$10000,$A94,Evaluations!$T$3:$T$10000,0)),2),""))</f>
        <v/>
      </c>
      <c r="K94" s="79" t="str">
        <f>IF($A94="","",COUNTIFS(Evaluations!$H$3:$H$10000,$A94,Evaluations!$M$3:$M$10000,"عدم پاسخ"))</f>
        <v/>
      </c>
      <c r="L94" s="79" t="str">
        <f>IF($A94="","",COUNTIFS(Evaluations!$H$3:$H$10000,$A94,Evaluations!$O$3:$O$10000,"رعایت نشده"))</f>
        <v/>
      </c>
    </row>
    <row r="95">
      <c r="A95" s="79"/>
      <c r="B95" s="79" t="str">
        <f>IF($A95="","",COUNTIFS(Evaluations!$H$3:$H$10000,$A95,Evaluations!$U$3:$U$10000,"&gt;=0",Evaluations!$U$3:$U$10000,"&lt;=100"))</f>
        <v/>
      </c>
      <c r="C95" s="79" t="str">
        <f>IF($A95="","",COUNTIFS('Agent Report'!$B$4:$B$53,$A95,'Agent Report'!$C$4:$C$53,"&gt;0"))</f>
        <v/>
      </c>
      <c r="D95" s="79" t="str">
        <f>IF(OR($A95="",B95=0),"",ROUND(SUMIFS(Evaluations!$U$3:$U$10000,Evaluations!$H$3:$H$10000,$A95)/B95,2))</f>
        <v/>
      </c>
      <c r="E95" s="79" t="str">
        <f>IF($A95="","",COUNTIFS(Evaluations!$H$3:$H$10000,$A95,Evaluations!$M$3:$M$10000,"پاسخ داده شده"))</f>
        <v/>
      </c>
      <c r="F95" s="79" t="str">
        <f>IF($A95="","",IFERROR(COUNTIFS(Evaluations!$H$3:$H$10000,$A95,Evaluations!$O$3:$O$10000,"رعایت شده")/(COUNTIFS(Evaluations!$H$3:$H$10000,$A95,Evaluations!$O$3:$O$10000,"رعایت شده")+COUNTIFS(Evaluations!$H$3:$H$10000,$A95,Evaluations!$O$3:$O$10000,"رعایت نشده")),""))</f>
        <v/>
      </c>
      <c r="G95" s="79" t="str">
        <f>IF($A95="","",IFERROR(ROUND(100*COUNTIFS(Evaluations!$H$3:$H$10000,$A95,Evaluations!$Q$3:$Q$10000,1)/(COUNTIFS(Evaluations!$H$3:$H$10000,$A95,Evaluations!$Q$3:$Q$10000,1)+COUNTIFS(Evaluations!$H$3:$H$10000,$A95,Evaluations!$Q$3:$Q$10000,0)),2),""))</f>
        <v/>
      </c>
      <c r="H95" s="79" t="str">
        <f>IF($A95="","",IFERROR(ROUND(100*COUNTIFS(Evaluations!$H$3:$H$10000,$A95,Evaluations!$R$3:$R$10000,1)/(COUNTIFS(Evaluations!$H$3:$H$10000,$A95,Evaluations!$R$3:$R$10000,1)+COUNTIFS(Evaluations!$H$3:$H$10000,$A95,Evaluations!$R$3:$R$10000,0)),2),""))</f>
        <v/>
      </c>
      <c r="I95" s="79" t="str">
        <f>IF($A95="","",IFERROR(ROUND(100*COUNTIFS(Evaluations!$H$3:$H$10000,$A95,Evaluations!$S$3:$S$10000,1)/(COUNTIFS(Evaluations!$H$3:$H$10000,$A95,Evaluations!$S$3:$S$10000,1)+COUNTIFS(Evaluations!$H$3:$H$10000,$A95,Evaluations!$S$3:$S$10000,0)),2),""))</f>
        <v/>
      </c>
      <c r="J95" s="79" t="str">
        <f>IF($A95="","",IFERROR(ROUND(100*COUNTIFS(Evaluations!$H$3:$H$10000,$A95,Evaluations!$T$3:$T$10000,1)/(COUNTIFS(Evaluations!$H$3:$H$10000,$A95,Evaluations!$T$3:$T$10000,1)+COUNTIFS(Evaluations!$H$3:$H$10000,$A95,Evaluations!$T$3:$T$10000,0)),2),""))</f>
        <v/>
      </c>
      <c r="K95" s="79" t="str">
        <f>IF($A95="","",COUNTIFS(Evaluations!$H$3:$H$10000,$A95,Evaluations!$M$3:$M$10000,"عدم پاسخ"))</f>
        <v/>
      </c>
      <c r="L95" s="79" t="str">
        <f>IF($A95="","",COUNTIFS(Evaluations!$H$3:$H$10000,$A95,Evaluations!$O$3:$O$10000,"رعایت نشده"))</f>
        <v/>
      </c>
    </row>
    <row r="96">
      <c r="A96" s="79"/>
      <c r="B96" s="79" t="str">
        <f>IF($A96="","",COUNTIFS(Evaluations!$H$3:$H$10000,$A96,Evaluations!$U$3:$U$10000,"&gt;=0",Evaluations!$U$3:$U$10000,"&lt;=100"))</f>
        <v/>
      </c>
      <c r="C96" s="79" t="str">
        <f>IF($A96="","",COUNTIFS('Agent Report'!$B$4:$B$53,$A96,'Agent Report'!$C$4:$C$53,"&gt;0"))</f>
        <v/>
      </c>
      <c r="D96" s="79" t="str">
        <f>IF(OR($A96="",B96=0),"",ROUND(SUMIFS(Evaluations!$U$3:$U$10000,Evaluations!$H$3:$H$10000,$A96)/B96,2))</f>
        <v/>
      </c>
      <c r="E96" s="79" t="str">
        <f>IF($A96="","",COUNTIFS(Evaluations!$H$3:$H$10000,$A96,Evaluations!$M$3:$M$10000,"پاسخ داده شده"))</f>
        <v/>
      </c>
      <c r="F96" s="79" t="str">
        <f>IF($A96="","",IFERROR(COUNTIFS(Evaluations!$H$3:$H$10000,$A96,Evaluations!$O$3:$O$10000,"رعایت شده")/(COUNTIFS(Evaluations!$H$3:$H$10000,$A96,Evaluations!$O$3:$O$10000,"رعایت شده")+COUNTIFS(Evaluations!$H$3:$H$10000,$A96,Evaluations!$O$3:$O$10000,"رعایت نشده")),""))</f>
        <v/>
      </c>
      <c r="G96" s="79" t="str">
        <f>IF($A96="","",IFERROR(ROUND(100*COUNTIFS(Evaluations!$H$3:$H$10000,$A96,Evaluations!$Q$3:$Q$10000,1)/(COUNTIFS(Evaluations!$H$3:$H$10000,$A96,Evaluations!$Q$3:$Q$10000,1)+COUNTIFS(Evaluations!$H$3:$H$10000,$A96,Evaluations!$Q$3:$Q$10000,0)),2),""))</f>
        <v/>
      </c>
      <c r="H96" s="79" t="str">
        <f>IF($A96="","",IFERROR(ROUND(100*COUNTIFS(Evaluations!$H$3:$H$10000,$A96,Evaluations!$R$3:$R$10000,1)/(COUNTIFS(Evaluations!$H$3:$H$10000,$A96,Evaluations!$R$3:$R$10000,1)+COUNTIFS(Evaluations!$H$3:$H$10000,$A96,Evaluations!$R$3:$R$10000,0)),2),""))</f>
        <v/>
      </c>
      <c r="I96" s="79" t="str">
        <f>IF($A96="","",IFERROR(ROUND(100*COUNTIFS(Evaluations!$H$3:$H$10000,$A96,Evaluations!$S$3:$S$10000,1)/(COUNTIFS(Evaluations!$H$3:$H$10000,$A96,Evaluations!$S$3:$S$10000,1)+COUNTIFS(Evaluations!$H$3:$H$10000,$A96,Evaluations!$S$3:$S$10000,0)),2),""))</f>
        <v/>
      </c>
      <c r="J96" s="79" t="str">
        <f>IF($A96="","",IFERROR(ROUND(100*COUNTIFS(Evaluations!$H$3:$H$10000,$A96,Evaluations!$T$3:$T$10000,1)/(COUNTIFS(Evaluations!$H$3:$H$10000,$A96,Evaluations!$T$3:$T$10000,1)+COUNTIFS(Evaluations!$H$3:$H$10000,$A96,Evaluations!$T$3:$T$10000,0)),2),""))</f>
        <v/>
      </c>
      <c r="K96" s="79" t="str">
        <f>IF($A96="","",COUNTIFS(Evaluations!$H$3:$H$10000,$A96,Evaluations!$M$3:$M$10000,"عدم پاسخ"))</f>
        <v/>
      </c>
      <c r="L96" s="79" t="str">
        <f>IF($A96="","",COUNTIFS(Evaluations!$H$3:$H$10000,$A96,Evaluations!$O$3:$O$10000,"رعایت نشده"))</f>
        <v/>
      </c>
    </row>
    <row r="97">
      <c r="A97" s="79"/>
      <c r="B97" s="79" t="str">
        <f>IF($A97="","",COUNTIFS(Evaluations!$H$3:$H$10000,$A97,Evaluations!$U$3:$U$10000,"&gt;=0",Evaluations!$U$3:$U$10000,"&lt;=100"))</f>
        <v/>
      </c>
      <c r="C97" s="79" t="str">
        <f>IF($A97="","",COUNTIFS('Agent Report'!$B$4:$B$53,$A97,'Agent Report'!$C$4:$C$53,"&gt;0"))</f>
        <v/>
      </c>
      <c r="D97" s="79" t="str">
        <f>IF(OR($A97="",B97=0),"",ROUND(SUMIFS(Evaluations!$U$3:$U$10000,Evaluations!$H$3:$H$10000,$A97)/B97,2))</f>
        <v/>
      </c>
      <c r="E97" s="79" t="str">
        <f>IF($A97="","",COUNTIFS(Evaluations!$H$3:$H$10000,$A97,Evaluations!$M$3:$M$10000,"پاسخ داده شده"))</f>
        <v/>
      </c>
      <c r="F97" s="79" t="str">
        <f>IF($A97="","",IFERROR(COUNTIFS(Evaluations!$H$3:$H$10000,$A97,Evaluations!$O$3:$O$10000,"رعایت شده")/(COUNTIFS(Evaluations!$H$3:$H$10000,$A97,Evaluations!$O$3:$O$10000,"رعایت شده")+COUNTIFS(Evaluations!$H$3:$H$10000,$A97,Evaluations!$O$3:$O$10000,"رعایت نشده")),""))</f>
        <v/>
      </c>
      <c r="G97" s="79" t="str">
        <f>IF($A97="","",IFERROR(ROUND(100*COUNTIFS(Evaluations!$H$3:$H$10000,$A97,Evaluations!$Q$3:$Q$10000,1)/(COUNTIFS(Evaluations!$H$3:$H$10000,$A97,Evaluations!$Q$3:$Q$10000,1)+COUNTIFS(Evaluations!$H$3:$H$10000,$A97,Evaluations!$Q$3:$Q$10000,0)),2),""))</f>
        <v/>
      </c>
      <c r="H97" s="79" t="str">
        <f>IF($A97="","",IFERROR(ROUND(100*COUNTIFS(Evaluations!$H$3:$H$10000,$A97,Evaluations!$R$3:$R$10000,1)/(COUNTIFS(Evaluations!$H$3:$H$10000,$A97,Evaluations!$R$3:$R$10000,1)+COUNTIFS(Evaluations!$H$3:$H$10000,$A97,Evaluations!$R$3:$R$10000,0)),2),""))</f>
        <v/>
      </c>
      <c r="I97" s="79" t="str">
        <f>IF($A97="","",IFERROR(ROUND(100*COUNTIFS(Evaluations!$H$3:$H$10000,$A97,Evaluations!$S$3:$S$10000,1)/(COUNTIFS(Evaluations!$H$3:$H$10000,$A97,Evaluations!$S$3:$S$10000,1)+COUNTIFS(Evaluations!$H$3:$H$10000,$A97,Evaluations!$S$3:$S$10000,0)),2),""))</f>
        <v/>
      </c>
      <c r="J97" s="79" t="str">
        <f>IF($A97="","",IFERROR(ROUND(100*COUNTIFS(Evaluations!$H$3:$H$10000,$A97,Evaluations!$T$3:$T$10000,1)/(COUNTIFS(Evaluations!$H$3:$H$10000,$A97,Evaluations!$T$3:$T$10000,1)+COUNTIFS(Evaluations!$H$3:$H$10000,$A97,Evaluations!$T$3:$T$10000,0)),2),""))</f>
        <v/>
      </c>
      <c r="K97" s="79" t="str">
        <f>IF($A97="","",COUNTIFS(Evaluations!$H$3:$H$10000,$A97,Evaluations!$M$3:$M$10000,"عدم پاسخ"))</f>
        <v/>
      </c>
      <c r="L97" s="79" t="str">
        <f>IF($A97="","",COUNTIFS(Evaluations!$H$3:$H$10000,$A97,Evaluations!$O$3:$O$10000,"رعایت نشده"))</f>
        <v/>
      </c>
    </row>
    <row r="98">
      <c r="A98" s="79"/>
      <c r="B98" s="79" t="str">
        <f>IF($A98="","",COUNTIFS(Evaluations!$H$3:$H$10000,$A98,Evaluations!$U$3:$U$10000,"&gt;=0",Evaluations!$U$3:$U$10000,"&lt;=100"))</f>
        <v/>
      </c>
      <c r="C98" s="79" t="str">
        <f>IF($A98="","",COUNTIFS('Agent Report'!$B$4:$B$53,$A98,'Agent Report'!$C$4:$C$53,"&gt;0"))</f>
        <v/>
      </c>
      <c r="D98" s="79" t="str">
        <f>IF(OR($A98="",B98=0),"",ROUND(SUMIFS(Evaluations!$U$3:$U$10000,Evaluations!$H$3:$H$10000,$A98)/B98,2))</f>
        <v/>
      </c>
      <c r="E98" s="79" t="str">
        <f>IF($A98="","",COUNTIFS(Evaluations!$H$3:$H$10000,$A98,Evaluations!$M$3:$M$10000,"پاسخ داده شده"))</f>
        <v/>
      </c>
      <c r="F98" s="79" t="str">
        <f>IF($A98="","",IFERROR(COUNTIFS(Evaluations!$H$3:$H$10000,$A98,Evaluations!$O$3:$O$10000,"رعایت شده")/(COUNTIFS(Evaluations!$H$3:$H$10000,$A98,Evaluations!$O$3:$O$10000,"رعایت شده")+COUNTIFS(Evaluations!$H$3:$H$10000,$A98,Evaluations!$O$3:$O$10000,"رعایت نشده")),""))</f>
        <v/>
      </c>
      <c r="G98" s="79" t="str">
        <f>IF($A98="","",IFERROR(ROUND(100*COUNTIFS(Evaluations!$H$3:$H$10000,$A98,Evaluations!$Q$3:$Q$10000,1)/(COUNTIFS(Evaluations!$H$3:$H$10000,$A98,Evaluations!$Q$3:$Q$10000,1)+COUNTIFS(Evaluations!$H$3:$H$10000,$A98,Evaluations!$Q$3:$Q$10000,0)),2),""))</f>
        <v/>
      </c>
      <c r="H98" s="79" t="str">
        <f>IF($A98="","",IFERROR(ROUND(100*COUNTIFS(Evaluations!$H$3:$H$10000,$A98,Evaluations!$R$3:$R$10000,1)/(COUNTIFS(Evaluations!$H$3:$H$10000,$A98,Evaluations!$R$3:$R$10000,1)+COUNTIFS(Evaluations!$H$3:$H$10000,$A98,Evaluations!$R$3:$R$10000,0)),2),""))</f>
        <v/>
      </c>
      <c r="I98" s="79" t="str">
        <f>IF($A98="","",IFERROR(ROUND(100*COUNTIFS(Evaluations!$H$3:$H$10000,$A98,Evaluations!$S$3:$S$10000,1)/(COUNTIFS(Evaluations!$H$3:$H$10000,$A98,Evaluations!$S$3:$S$10000,1)+COUNTIFS(Evaluations!$H$3:$H$10000,$A98,Evaluations!$S$3:$S$10000,0)),2),""))</f>
        <v/>
      </c>
      <c r="J98" s="79" t="str">
        <f>IF($A98="","",IFERROR(ROUND(100*COUNTIFS(Evaluations!$H$3:$H$10000,$A98,Evaluations!$T$3:$T$10000,1)/(COUNTIFS(Evaluations!$H$3:$H$10000,$A98,Evaluations!$T$3:$T$10000,1)+COUNTIFS(Evaluations!$H$3:$H$10000,$A98,Evaluations!$T$3:$T$10000,0)),2),""))</f>
        <v/>
      </c>
      <c r="K98" s="79" t="str">
        <f>IF($A98="","",COUNTIFS(Evaluations!$H$3:$H$10000,$A98,Evaluations!$M$3:$M$10000,"عدم پاسخ"))</f>
        <v/>
      </c>
      <c r="L98" s="79" t="str">
        <f>IF($A98="","",COUNTIFS(Evaluations!$H$3:$H$10000,$A98,Evaluations!$O$3:$O$10000,"رعایت نشده"))</f>
        <v/>
      </c>
    </row>
    <row r="99">
      <c r="A99" s="79"/>
      <c r="B99" s="79" t="str">
        <f>IF($A99="","",COUNTIFS(Evaluations!$H$3:$H$10000,$A99,Evaluations!$U$3:$U$10000,"&gt;=0",Evaluations!$U$3:$U$10000,"&lt;=100"))</f>
        <v/>
      </c>
      <c r="C99" s="79" t="str">
        <f>IF($A99="","",COUNTIFS('Agent Report'!$B$4:$B$53,$A99,'Agent Report'!$C$4:$C$53,"&gt;0"))</f>
        <v/>
      </c>
      <c r="D99" s="79" t="str">
        <f>IF(OR($A99="",B99=0),"",ROUND(SUMIFS(Evaluations!$U$3:$U$10000,Evaluations!$H$3:$H$10000,$A99)/B99,2))</f>
        <v/>
      </c>
      <c r="E99" s="79" t="str">
        <f>IF($A99="","",COUNTIFS(Evaluations!$H$3:$H$10000,$A99,Evaluations!$M$3:$M$10000,"پاسخ داده شده"))</f>
        <v/>
      </c>
      <c r="F99" s="79" t="str">
        <f>IF($A99="","",IFERROR(COUNTIFS(Evaluations!$H$3:$H$10000,$A99,Evaluations!$O$3:$O$10000,"رعایت شده")/(COUNTIFS(Evaluations!$H$3:$H$10000,$A99,Evaluations!$O$3:$O$10000,"رعایت شده")+COUNTIFS(Evaluations!$H$3:$H$10000,$A99,Evaluations!$O$3:$O$10000,"رعایت نشده")),""))</f>
        <v/>
      </c>
      <c r="G99" s="79" t="str">
        <f>IF($A99="","",IFERROR(ROUND(100*COUNTIFS(Evaluations!$H$3:$H$10000,$A99,Evaluations!$Q$3:$Q$10000,1)/(COUNTIFS(Evaluations!$H$3:$H$10000,$A99,Evaluations!$Q$3:$Q$10000,1)+COUNTIFS(Evaluations!$H$3:$H$10000,$A99,Evaluations!$Q$3:$Q$10000,0)),2),""))</f>
        <v/>
      </c>
      <c r="H99" s="79" t="str">
        <f>IF($A99="","",IFERROR(ROUND(100*COUNTIFS(Evaluations!$H$3:$H$10000,$A99,Evaluations!$R$3:$R$10000,1)/(COUNTIFS(Evaluations!$H$3:$H$10000,$A99,Evaluations!$R$3:$R$10000,1)+COUNTIFS(Evaluations!$H$3:$H$10000,$A99,Evaluations!$R$3:$R$10000,0)),2),""))</f>
        <v/>
      </c>
      <c r="I99" s="79" t="str">
        <f>IF($A99="","",IFERROR(ROUND(100*COUNTIFS(Evaluations!$H$3:$H$10000,$A99,Evaluations!$S$3:$S$10000,1)/(COUNTIFS(Evaluations!$H$3:$H$10000,$A99,Evaluations!$S$3:$S$10000,1)+COUNTIFS(Evaluations!$H$3:$H$10000,$A99,Evaluations!$S$3:$S$10000,0)),2),""))</f>
        <v/>
      </c>
      <c r="J99" s="79" t="str">
        <f>IF($A99="","",IFERROR(ROUND(100*COUNTIFS(Evaluations!$H$3:$H$10000,$A99,Evaluations!$T$3:$T$10000,1)/(COUNTIFS(Evaluations!$H$3:$H$10000,$A99,Evaluations!$T$3:$T$10000,1)+COUNTIFS(Evaluations!$H$3:$H$10000,$A99,Evaluations!$T$3:$T$10000,0)),2),""))</f>
        <v/>
      </c>
      <c r="K99" s="79" t="str">
        <f>IF($A99="","",COUNTIFS(Evaluations!$H$3:$H$10000,$A99,Evaluations!$M$3:$M$10000,"عدم پاسخ"))</f>
        <v/>
      </c>
      <c r="L99" s="79" t="str">
        <f>IF($A99="","",COUNTIFS(Evaluations!$H$3:$H$10000,$A99,Evaluations!$O$3:$O$10000,"رعایت نشده"))</f>
        <v/>
      </c>
    </row>
    <row r="100">
      <c r="A100" s="79"/>
      <c r="B100" s="79" t="str">
        <f>IF($A100="","",COUNTIFS(Evaluations!$H$3:$H$10000,$A100,Evaluations!$U$3:$U$10000,"&gt;=0",Evaluations!$U$3:$U$10000,"&lt;=100"))</f>
        <v/>
      </c>
      <c r="C100" s="79" t="str">
        <f>IF($A100="","",COUNTIFS('Agent Report'!$B$4:$B$53,$A100,'Agent Report'!$C$4:$C$53,"&gt;0"))</f>
        <v/>
      </c>
      <c r="D100" s="79" t="str">
        <f>IF(OR($A100="",B100=0),"",ROUND(SUMIFS(Evaluations!$U$3:$U$10000,Evaluations!$H$3:$H$10000,$A100)/B100,2))</f>
        <v/>
      </c>
      <c r="E100" s="79" t="str">
        <f>IF($A100="","",COUNTIFS(Evaluations!$H$3:$H$10000,$A100,Evaluations!$M$3:$M$10000,"پاسخ داده شده"))</f>
        <v/>
      </c>
      <c r="F100" s="79" t="str">
        <f>IF($A100="","",IFERROR(COUNTIFS(Evaluations!$H$3:$H$10000,$A100,Evaluations!$O$3:$O$10000,"رعایت شده")/(COUNTIFS(Evaluations!$H$3:$H$10000,$A100,Evaluations!$O$3:$O$10000,"رعایت شده")+COUNTIFS(Evaluations!$H$3:$H$10000,$A100,Evaluations!$O$3:$O$10000,"رعایت نشده")),""))</f>
        <v/>
      </c>
      <c r="G100" s="79" t="str">
        <f>IF($A100="","",IFERROR(ROUND(100*COUNTIFS(Evaluations!$H$3:$H$10000,$A100,Evaluations!$Q$3:$Q$10000,1)/(COUNTIFS(Evaluations!$H$3:$H$10000,$A100,Evaluations!$Q$3:$Q$10000,1)+COUNTIFS(Evaluations!$H$3:$H$10000,$A100,Evaluations!$Q$3:$Q$10000,0)),2),""))</f>
        <v/>
      </c>
      <c r="H100" s="79" t="str">
        <f>IF($A100="","",IFERROR(ROUND(100*COUNTIFS(Evaluations!$H$3:$H$10000,$A100,Evaluations!$R$3:$R$10000,1)/(COUNTIFS(Evaluations!$H$3:$H$10000,$A100,Evaluations!$R$3:$R$10000,1)+COUNTIFS(Evaluations!$H$3:$H$10000,$A100,Evaluations!$R$3:$R$10000,0)),2),""))</f>
        <v/>
      </c>
      <c r="I100" s="79" t="str">
        <f>IF($A100="","",IFERROR(ROUND(100*COUNTIFS(Evaluations!$H$3:$H$10000,$A100,Evaluations!$S$3:$S$10000,1)/(COUNTIFS(Evaluations!$H$3:$H$10000,$A100,Evaluations!$S$3:$S$10000,1)+COUNTIFS(Evaluations!$H$3:$H$10000,$A100,Evaluations!$S$3:$S$10000,0)),2),""))</f>
        <v/>
      </c>
      <c r="J100" s="79" t="str">
        <f>IF($A100="","",IFERROR(ROUND(100*COUNTIFS(Evaluations!$H$3:$H$10000,$A100,Evaluations!$T$3:$T$10000,1)/(COUNTIFS(Evaluations!$H$3:$H$10000,$A100,Evaluations!$T$3:$T$10000,1)+COUNTIFS(Evaluations!$H$3:$H$10000,$A100,Evaluations!$T$3:$T$10000,0)),2),""))</f>
        <v/>
      </c>
      <c r="K100" s="79" t="str">
        <f>IF($A100="","",COUNTIFS(Evaluations!$H$3:$H$10000,$A100,Evaluations!$M$3:$M$10000,"عدم پاسخ"))</f>
        <v/>
      </c>
      <c r="L100" s="79" t="str">
        <f>IF($A100="","",COUNTIFS(Evaluations!$H$3:$H$10000,$A100,Evaluations!$O$3:$O$10000,"رعایت نشده"))</f>
        <v/>
      </c>
    </row>
    <row r="101">
      <c r="A101" s="79"/>
      <c r="B101" s="79" t="str">
        <f>IF($A101="","",COUNTIFS(Evaluations!$H$3:$H$10000,$A101,Evaluations!$U$3:$U$10000,"&gt;=0",Evaluations!$U$3:$U$10000,"&lt;=100"))</f>
        <v/>
      </c>
      <c r="C101" s="79" t="str">
        <f>IF($A101="","",COUNTIFS('Agent Report'!$B$4:$B$53,$A101,'Agent Report'!$C$4:$C$53,"&gt;0"))</f>
        <v/>
      </c>
      <c r="D101" s="79" t="str">
        <f>IF(OR($A101="",B101=0),"",ROUND(SUMIFS(Evaluations!$U$3:$U$10000,Evaluations!$H$3:$H$10000,$A101)/B101,2))</f>
        <v/>
      </c>
      <c r="E101" s="79" t="str">
        <f>IF($A101="","",COUNTIFS(Evaluations!$H$3:$H$10000,$A101,Evaluations!$M$3:$M$10000,"پاسخ داده شده"))</f>
        <v/>
      </c>
      <c r="F101" s="79" t="str">
        <f>IF($A101="","",IFERROR(COUNTIFS(Evaluations!$H$3:$H$10000,$A101,Evaluations!$O$3:$O$10000,"رعایت شده")/(COUNTIFS(Evaluations!$H$3:$H$10000,$A101,Evaluations!$O$3:$O$10000,"رعایت شده")+COUNTIFS(Evaluations!$H$3:$H$10000,$A101,Evaluations!$O$3:$O$10000,"رعایت نشده")),""))</f>
        <v/>
      </c>
      <c r="G101" s="79" t="str">
        <f>IF($A101="","",IFERROR(ROUND(100*COUNTIFS(Evaluations!$H$3:$H$10000,$A101,Evaluations!$Q$3:$Q$10000,1)/(COUNTIFS(Evaluations!$H$3:$H$10000,$A101,Evaluations!$Q$3:$Q$10000,1)+COUNTIFS(Evaluations!$H$3:$H$10000,$A101,Evaluations!$Q$3:$Q$10000,0)),2),""))</f>
        <v/>
      </c>
      <c r="H101" s="79" t="str">
        <f>IF($A101="","",IFERROR(ROUND(100*COUNTIFS(Evaluations!$H$3:$H$10000,$A101,Evaluations!$R$3:$R$10000,1)/(COUNTIFS(Evaluations!$H$3:$H$10000,$A101,Evaluations!$R$3:$R$10000,1)+COUNTIFS(Evaluations!$H$3:$H$10000,$A101,Evaluations!$R$3:$R$10000,0)),2),""))</f>
        <v/>
      </c>
      <c r="I101" s="79" t="str">
        <f>IF($A101="","",IFERROR(ROUND(100*COUNTIFS(Evaluations!$H$3:$H$10000,$A101,Evaluations!$S$3:$S$10000,1)/(COUNTIFS(Evaluations!$H$3:$H$10000,$A101,Evaluations!$S$3:$S$10000,1)+COUNTIFS(Evaluations!$H$3:$H$10000,$A101,Evaluations!$S$3:$S$10000,0)),2),""))</f>
        <v/>
      </c>
      <c r="J101" s="79" t="str">
        <f>IF($A101="","",IFERROR(ROUND(100*COUNTIFS(Evaluations!$H$3:$H$10000,$A101,Evaluations!$T$3:$T$10000,1)/(COUNTIFS(Evaluations!$H$3:$H$10000,$A101,Evaluations!$T$3:$T$10000,1)+COUNTIFS(Evaluations!$H$3:$H$10000,$A101,Evaluations!$T$3:$T$10000,0)),2),""))</f>
        <v/>
      </c>
      <c r="K101" s="79" t="str">
        <f>IF($A101="","",COUNTIFS(Evaluations!$H$3:$H$10000,$A101,Evaluations!$M$3:$M$10000,"عدم پاسخ"))</f>
        <v/>
      </c>
      <c r="L101" s="79" t="str">
        <f>IF($A101="","",COUNTIFS(Evaluations!$H$3:$H$10000,$A101,Evaluations!$O$3:$O$10000,"رعایت نشده"))</f>
        <v/>
      </c>
    </row>
    <row r="102">
      <c r="A102" s="79"/>
      <c r="B102" s="79" t="str">
        <f>IF($A102="","",COUNTIFS(Evaluations!$H$3:$H$10000,$A102,Evaluations!$U$3:$U$10000,"&gt;=0",Evaluations!$U$3:$U$10000,"&lt;=100"))</f>
        <v/>
      </c>
      <c r="C102" s="79" t="str">
        <f>IF($A102="","",COUNTIFS('Agent Report'!$B$4:$B$53,$A102,'Agent Report'!$C$4:$C$53,"&gt;0"))</f>
        <v/>
      </c>
      <c r="D102" s="79" t="str">
        <f>IF(OR($A102="",B102=0),"",ROUND(SUMIFS(Evaluations!$U$3:$U$10000,Evaluations!$H$3:$H$10000,$A102)/B102,2))</f>
        <v/>
      </c>
      <c r="E102" s="79" t="str">
        <f>IF($A102="","",COUNTIFS(Evaluations!$H$3:$H$10000,$A102,Evaluations!$M$3:$M$10000,"پاسخ داده شده"))</f>
        <v/>
      </c>
      <c r="F102" s="79" t="str">
        <f>IF($A102="","",IFERROR(COUNTIFS(Evaluations!$H$3:$H$10000,$A102,Evaluations!$O$3:$O$10000,"رعایت شده")/(COUNTIFS(Evaluations!$H$3:$H$10000,$A102,Evaluations!$O$3:$O$10000,"رعایت شده")+COUNTIFS(Evaluations!$H$3:$H$10000,$A102,Evaluations!$O$3:$O$10000,"رعایت نشده")),""))</f>
        <v/>
      </c>
      <c r="G102" s="79" t="str">
        <f>IF($A102="","",IFERROR(ROUND(100*COUNTIFS(Evaluations!$H$3:$H$10000,$A102,Evaluations!$Q$3:$Q$10000,1)/(COUNTIFS(Evaluations!$H$3:$H$10000,$A102,Evaluations!$Q$3:$Q$10000,1)+COUNTIFS(Evaluations!$H$3:$H$10000,$A102,Evaluations!$Q$3:$Q$10000,0)),2),""))</f>
        <v/>
      </c>
      <c r="H102" s="79" t="str">
        <f>IF($A102="","",IFERROR(ROUND(100*COUNTIFS(Evaluations!$H$3:$H$10000,$A102,Evaluations!$R$3:$R$10000,1)/(COUNTIFS(Evaluations!$H$3:$H$10000,$A102,Evaluations!$R$3:$R$10000,1)+COUNTIFS(Evaluations!$H$3:$H$10000,$A102,Evaluations!$R$3:$R$10000,0)),2),""))</f>
        <v/>
      </c>
      <c r="I102" s="79" t="str">
        <f>IF($A102="","",IFERROR(ROUND(100*COUNTIFS(Evaluations!$H$3:$H$10000,$A102,Evaluations!$S$3:$S$10000,1)/(COUNTIFS(Evaluations!$H$3:$H$10000,$A102,Evaluations!$S$3:$S$10000,1)+COUNTIFS(Evaluations!$H$3:$H$10000,$A102,Evaluations!$S$3:$S$10000,0)),2),""))</f>
        <v/>
      </c>
      <c r="J102" s="79" t="str">
        <f>IF($A102="","",IFERROR(ROUND(100*COUNTIFS(Evaluations!$H$3:$H$10000,$A102,Evaluations!$T$3:$T$10000,1)/(COUNTIFS(Evaluations!$H$3:$H$10000,$A102,Evaluations!$T$3:$T$10000,1)+COUNTIFS(Evaluations!$H$3:$H$10000,$A102,Evaluations!$T$3:$T$10000,0)),2),""))</f>
        <v/>
      </c>
      <c r="K102" s="79" t="str">
        <f>IF($A102="","",COUNTIFS(Evaluations!$H$3:$H$10000,$A102,Evaluations!$M$3:$M$10000,"عدم پاسخ"))</f>
        <v/>
      </c>
      <c r="L102" s="79" t="str">
        <f>IF($A102="","",COUNTIFS(Evaluations!$H$3:$H$10000,$A102,Evaluations!$O$3:$O$10000,"رعایت نشده"))</f>
        <v/>
      </c>
    </row>
    <row r="103">
      <c r="A103" s="79"/>
      <c r="B103" s="79" t="str">
        <f>IF($A103="","",COUNTIFS(Evaluations!$H$3:$H$10000,$A103,Evaluations!$U$3:$U$10000,"&gt;=0",Evaluations!$U$3:$U$10000,"&lt;=100"))</f>
        <v/>
      </c>
      <c r="C103" s="79" t="str">
        <f>IF($A103="","",COUNTIFS('Agent Report'!$B$4:$B$53,$A103,'Agent Report'!$C$4:$C$53,"&gt;0"))</f>
        <v/>
      </c>
      <c r="D103" s="79" t="str">
        <f>IF(OR($A103="",B103=0),"",ROUND(SUMIFS(Evaluations!$U$3:$U$10000,Evaluations!$H$3:$H$10000,$A103)/B103,2))</f>
        <v/>
      </c>
      <c r="E103" s="79" t="str">
        <f>IF($A103="","",COUNTIFS(Evaluations!$H$3:$H$10000,$A103,Evaluations!$M$3:$M$10000,"پاسخ داده شده"))</f>
        <v/>
      </c>
      <c r="F103" s="79" t="str">
        <f>IF($A103="","",IFERROR(COUNTIFS(Evaluations!$H$3:$H$10000,$A103,Evaluations!$O$3:$O$10000,"رعایت شده")/(COUNTIFS(Evaluations!$H$3:$H$10000,$A103,Evaluations!$O$3:$O$10000,"رعایت شده")+COUNTIFS(Evaluations!$H$3:$H$10000,$A103,Evaluations!$O$3:$O$10000,"رعایت نشده")),""))</f>
        <v/>
      </c>
      <c r="G103" s="79" t="str">
        <f>IF($A103="","",IFERROR(ROUND(100*COUNTIFS(Evaluations!$H$3:$H$10000,$A103,Evaluations!$Q$3:$Q$10000,1)/(COUNTIFS(Evaluations!$H$3:$H$10000,$A103,Evaluations!$Q$3:$Q$10000,1)+COUNTIFS(Evaluations!$H$3:$H$10000,$A103,Evaluations!$Q$3:$Q$10000,0)),2),""))</f>
        <v/>
      </c>
      <c r="H103" s="79" t="str">
        <f>IF($A103="","",IFERROR(ROUND(100*COUNTIFS(Evaluations!$H$3:$H$10000,$A103,Evaluations!$R$3:$R$10000,1)/(COUNTIFS(Evaluations!$H$3:$H$10000,$A103,Evaluations!$R$3:$R$10000,1)+COUNTIFS(Evaluations!$H$3:$H$10000,$A103,Evaluations!$R$3:$R$10000,0)),2),""))</f>
        <v/>
      </c>
      <c r="I103" s="79" t="str">
        <f>IF($A103="","",IFERROR(ROUND(100*COUNTIFS(Evaluations!$H$3:$H$10000,$A103,Evaluations!$S$3:$S$10000,1)/(COUNTIFS(Evaluations!$H$3:$H$10000,$A103,Evaluations!$S$3:$S$10000,1)+COUNTIFS(Evaluations!$H$3:$H$10000,$A103,Evaluations!$S$3:$S$10000,0)),2),""))</f>
        <v/>
      </c>
      <c r="J103" s="79" t="str">
        <f>IF($A103="","",IFERROR(ROUND(100*COUNTIFS(Evaluations!$H$3:$H$10000,$A103,Evaluations!$T$3:$T$10000,1)/(COUNTIFS(Evaluations!$H$3:$H$10000,$A103,Evaluations!$T$3:$T$10000,1)+COUNTIFS(Evaluations!$H$3:$H$10000,$A103,Evaluations!$T$3:$T$10000,0)),2),""))</f>
        <v/>
      </c>
      <c r="K103" s="79" t="str">
        <f>IF($A103="","",COUNTIFS(Evaluations!$H$3:$H$10000,$A103,Evaluations!$M$3:$M$10000,"عدم پاسخ"))</f>
        <v/>
      </c>
      <c r="L103" s="79" t="str">
        <f>IF($A103="","",COUNTIFS(Evaluations!$H$3:$H$10000,$A103,Evaluations!$O$3:$O$10000,"رعایت نشده"))</f>
        <v/>
      </c>
    </row>
    <row r="104">
      <c r="A104" s="79"/>
      <c r="B104" s="79" t="str">
        <f>IF($A104="","",COUNTIFS(Evaluations!$H$3:$H$10000,$A104,Evaluations!$U$3:$U$10000,"&gt;=0",Evaluations!$U$3:$U$10000,"&lt;=100"))</f>
        <v/>
      </c>
      <c r="C104" s="79" t="str">
        <f>IF($A104="","",COUNTIFS('Agent Report'!$B$4:$B$53,$A104,'Agent Report'!$C$4:$C$53,"&gt;0"))</f>
        <v/>
      </c>
      <c r="D104" s="79" t="str">
        <f>IF(OR($A104="",B104=0),"",ROUND(SUMIFS(Evaluations!$U$3:$U$10000,Evaluations!$H$3:$H$10000,$A104)/B104,2))</f>
        <v/>
      </c>
      <c r="E104" s="79" t="str">
        <f>IF($A104="","",COUNTIFS(Evaluations!$H$3:$H$10000,$A104,Evaluations!$M$3:$M$10000,"پاسخ داده شده"))</f>
        <v/>
      </c>
      <c r="F104" s="79" t="str">
        <f>IF($A104="","",IFERROR(COUNTIFS(Evaluations!$H$3:$H$10000,$A104,Evaluations!$O$3:$O$10000,"رعایت شده")/(COUNTIFS(Evaluations!$H$3:$H$10000,$A104,Evaluations!$O$3:$O$10000,"رعایت شده")+COUNTIFS(Evaluations!$H$3:$H$10000,$A104,Evaluations!$O$3:$O$10000,"رعایت نشده")),""))</f>
        <v/>
      </c>
      <c r="G104" s="79" t="str">
        <f>IF($A104="","",IFERROR(ROUND(100*COUNTIFS(Evaluations!$H$3:$H$10000,$A104,Evaluations!$Q$3:$Q$10000,1)/(COUNTIFS(Evaluations!$H$3:$H$10000,$A104,Evaluations!$Q$3:$Q$10000,1)+COUNTIFS(Evaluations!$H$3:$H$10000,$A104,Evaluations!$Q$3:$Q$10000,0)),2),""))</f>
        <v/>
      </c>
      <c r="H104" s="79" t="str">
        <f>IF($A104="","",IFERROR(ROUND(100*COUNTIFS(Evaluations!$H$3:$H$10000,$A104,Evaluations!$R$3:$R$10000,1)/(COUNTIFS(Evaluations!$H$3:$H$10000,$A104,Evaluations!$R$3:$R$10000,1)+COUNTIFS(Evaluations!$H$3:$H$10000,$A104,Evaluations!$R$3:$R$10000,0)),2),""))</f>
        <v/>
      </c>
      <c r="I104" s="79" t="str">
        <f>IF($A104="","",IFERROR(ROUND(100*COUNTIFS(Evaluations!$H$3:$H$10000,$A104,Evaluations!$S$3:$S$10000,1)/(COUNTIFS(Evaluations!$H$3:$H$10000,$A104,Evaluations!$S$3:$S$10000,1)+COUNTIFS(Evaluations!$H$3:$H$10000,$A104,Evaluations!$S$3:$S$10000,0)),2),""))</f>
        <v/>
      </c>
      <c r="J104" s="79" t="str">
        <f>IF($A104="","",IFERROR(ROUND(100*COUNTIFS(Evaluations!$H$3:$H$10000,$A104,Evaluations!$T$3:$T$10000,1)/(COUNTIFS(Evaluations!$H$3:$H$10000,$A104,Evaluations!$T$3:$T$10000,1)+COUNTIFS(Evaluations!$H$3:$H$10000,$A104,Evaluations!$T$3:$T$10000,0)),2),""))</f>
        <v/>
      </c>
      <c r="K104" s="79" t="str">
        <f>IF($A104="","",COUNTIFS(Evaluations!$H$3:$H$10000,$A104,Evaluations!$M$3:$M$10000,"عدم پاسخ"))</f>
        <v/>
      </c>
      <c r="L104" s="79" t="str">
        <f>IF($A104="","",COUNTIFS(Evaluations!$H$3:$H$10000,$A104,Evaluations!$O$3:$O$10000,"رعایت نشده"))</f>
        <v/>
      </c>
    </row>
    <row r="105">
      <c r="A105" s="79"/>
      <c r="B105" s="79" t="str">
        <f>IF($A105="","",COUNTIFS(Evaluations!$H$3:$H$10000,$A105,Evaluations!$U$3:$U$10000,"&gt;=0",Evaluations!$U$3:$U$10000,"&lt;=100"))</f>
        <v/>
      </c>
      <c r="C105" s="79" t="str">
        <f>IF($A105="","",COUNTIFS('Agent Report'!$B$4:$B$53,$A105,'Agent Report'!$C$4:$C$53,"&gt;0"))</f>
        <v/>
      </c>
      <c r="D105" s="79" t="str">
        <f>IF(OR($A105="",B105=0),"",ROUND(SUMIFS(Evaluations!$U$3:$U$10000,Evaluations!$H$3:$H$10000,$A105)/B105,2))</f>
        <v/>
      </c>
      <c r="E105" s="79" t="str">
        <f>IF($A105="","",COUNTIFS(Evaluations!$H$3:$H$10000,$A105,Evaluations!$M$3:$M$10000,"پاسخ داده شده"))</f>
        <v/>
      </c>
      <c r="F105" s="79" t="str">
        <f>IF($A105="","",IFERROR(COUNTIFS(Evaluations!$H$3:$H$10000,$A105,Evaluations!$O$3:$O$10000,"رعایت شده")/(COUNTIFS(Evaluations!$H$3:$H$10000,$A105,Evaluations!$O$3:$O$10000,"رعایت شده")+COUNTIFS(Evaluations!$H$3:$H$10000,$A105,Evaluations!$O$3:$O$10000,"رعایت نشده")),""))</f>
        <v/>
      </c>
      <c r="G105" s="79" t="str">
        <f>IF($A105="","",IFERROR(ROUND(100*COUNTIFS(Evaluations!$H$3:$H$10000,$A105,Evaluations!$Q$3:$Q$10000,1)/(COUNTIFS(Evaluations!$H$3:$H$10000,$A105,Evaluations!$Q$3:$Q$10000,1)+COUNTIFS(Evaluations!$H$3:$H$10000,$A105,Evaluations!$Q$3:$Q$10000,0)),2),""))</f>
        <v/>
      </c>
      <c r="H105" s="79" t="str">
        <f>IF($A105="","",IFERROR(ROUND(100*COUNTIFS(Evaluations!$H$3:$H$10000,$A105,Evaluations!$R$3:$R$10000,1)/(COUNTIFS(Evaluations!$H$3:$H$10000,$A105,Evaluations!$R$3:$R$10000,1)+COUNTIFS(Evaluations!$H$3:$H$10000,$A105,Evaluations!$R$3:$R$10000,0)),2),""))</f>
        <v/>
      </c>
      <c r="I105" s="79" t="str">
        <f>IF($A105="","",IFERROR(ROUND(100*COUNTIFS(Evaluations!$H$3:$H$10000,$A105,Evaluations!$S$3:$S$10000,1)/(COUNTIFS(Evaluations!$H$3:$H$10000,$A105,Evaluations!$S$3:$S$10000,1)+COUNTIFS(Evaluations!$H$3:$H$10000,$A105,Evaluations!$S$3:$S$10000,0)),2),""))</f>
        <v/>
      </c>
      <c r="J105" s="79" t="str">
        <f>IF($A105="","",IFERROR(ROUND(100*COUNTIFS(Evaluations!$H$3:$H$10000,$A105,Evaluations!$T$3:$T$10000,1)/(COUNTIFS(Evaluations!$H$3:$H$10000,$A105,Evaluations!$T$3:$T$10000,1)+COUNTIFS(Evaluations!$H$3:$H$10000,$A105,Evaluations!$T$3:$T$10000,0)),2),""))</f>
        <v/>
      </c>
      <c r="K105" s="79" t="str">
        <f>IF($A105="","",COUNTIFS(Evaluations!$H$3:$H$10000,$A105,Evaluations!$M$3:$M$10000,"عدم پاسخ"))</f>
        <v/>
      </c>
      <c r="L105" s="79" t="str">
        <f>IF($A105="","",COUNTIFS(Evaluations!$H$3:$H$10000,$A105,Evaluations!$O$3:$O$10000,"رعایت نشده"))</f>
        <v/>
      </c>
    </row>
    <row r="106">
      <c r="A106" s="79"/>
      <c r="B106" s="79" t="str">
        <f>IF($A106="","",COUNTIFS(Evaluations!$H$3:$H$10000,$A106,Evaluations!$U$3:$U$10000,"&gt;=0",Evaluations!$U$3:$U$10000,"&lt;=100"))</f>
        <v/>
      </c>
      <c r="C106" s="79" t="str">
        <f>IF($A106="","",COUNTIFS('Agent Report'!$B$4:$B$53,$A106,'Agent Report'!$C$4:$C$53,"&gt;0"))</f>
        <v/>
      </c>
      <c r="D106" s="79" t="str">
        <f>IF(OR($A106="",B106=0),"",ROUND(SUMIFS(Evaluations!$U$3:$U$10000,Evaluations!$H$3:$H$10000,$A106)/B106,2))</f>
        <v/>
      </c>
      <c r="E106" s="79" t="str">
        <f>IF($A106="","",COUNTIFS(Evaluations!$H$3:$H$10000,$A106,Evaluations!$M$3:$M$10000,"پاسخ داده شده"))</f>
        <v/>
      </c>
      <c r="F106" s="79" t="str">
        <f>IF($A106="","",IFERROR(COUNTIFS(Evaluations!$H$3:$H$10000,$A106,Evaluations!$O$3:$O$10000,"رعایت شده")/(COUNTIFS(Evaluations!$H$3:$H$10000,$A106,Evaluations!$O$3:$O$10000,"رعایت شده")+COUNTIFS(Evaluations!$H$3:$H$10000,$A106,Evaluations!$O$3:$O$10000,"رعایت نشده")),""))</f>
        <v/>
      </c>
      <c r="G106" s="79" t="str">
        <f>IF($A106="","",IFERROR(ROUND(100*COUNTIFS(Evaluations!$H$3:$H$10000,$A106,Evaluations!$Q$3:$Q$10000,1)/(COUNTIFS(Evaluations!$H$3:$H$10000,$A106,Evaluations!$Q$3:$Q$10000,1)+COUNTIFS(Evaluations!$H$3:$H$10000,$A106,Evaluations!$Q$3:$Q$10000,0)),2),""))</f>
        <v/>
      </c>
      <c r="H106" s="79" t="str">
        <f>IF($A106="","",IFERROR(ROUND(100*COUNTIFS(Evaluations!$H$3:$H$10000,$A106,Evaluations!$R$3:$R$10000,1)/(COUNTIFS(Evaluations!$H$3:$H$10000,$A106,Evaluations!$R$3:$R$10000,1)+COUNTIFS(Evaluations!$H$3:$H$10000,$A106,Evaluations!$R$3:$R$10000,0)),2),""))</f>
        <v/>
      </c>
      <c r="I106" s="79" t="str">
        <f>IF($A106="","",IFERROR(ROUND(100*COUNTIFS(Evaluations!$H$3:$H$10000,$A106,Evaluations!$S$3:$S$10000,1)/(COUNTIFS(Evaluations!$H$3:$H$10000,$A106,Evaluations!$S$3:$S$10000,1)+COUNTIFS(Evaluations!$H$3:$H$10000,$A106,Evaluations!$S$3:$S$10000,0)),2),""))</f>
        <v/>
      </c>
      <c r="J106" s="79" t="str">
        <f>IF($A106="","",IFERROR(ROUND(100*COUNTIFS(Evaluations!$H$3:$H$10000,$A106,Evaluations!$T$3:$T$10000,1)/(COUNTIFS(Evaluations!$H$3:$H$10000,$A106,Evaluations!$T$3:$T$10000,1)+COUNTIFS(Evaluations!$H$3:$H$10000,$A106,Evaluations!$T$3:$T$10000,0)),2),""))</f>
        <v/>
      </c>
      <c r="K106" s="79" t="str">
        <f>IF($A106="","",COUNTIFS(Evaluations!$H$3:$H$10000,$A106,Evaluations!$M$3:$M$10000,"عدم پاسخ"))</f>
        <v/>
      </c>
      <c r="L106" s="79" t="str">
        <f>IF($A106="","",COUNTIFS(Evaluations!$H$3:$H$10000,$A106,Evaluations!$O$3:$O$10000,"رعایت نشده"))</f>
        <v/>
      </c>
    </row>
    <row r="107">
      <c r="A107" s="79"/>
      <c r="B107" s="79" t="str">
        <f>IF($A107="","",COUNTIFS(Evaluations!$H$3:$H$10000,$A107,Evaluations!$U$3:$U$10000,"&gt;=0",Evaluations!$U$3:$U$10000,"&lt;=100"))</f>
        <v/>
      </c>
      <c r="C107" s="79" t="str">
        <f>IF($A107="","",COUNTIFS('Agent Report'!$B$4:$B$53,$A107,'Agent Report'!$C$4:$C$53,"&gt;0"))</f>
        <v/>
      </c>
      <c r="D107" s="79" t="str">
        <f>IF(OR($A107="",B107=0),"",ROUND(SUMIFS(Evaluations!$U$3:$U$10000,Evaluations!$H$3:$H$10000,$A107)/B107,2))</f>
        <v/>
      </c>
      <c r="E107" s="79" t="str">
        <f>IF($A107="","",COUNTIFS(Evaluations!$H$3:$H$10000,$A107,Evaluations!$M$3:$M$10000,"پاسخ داده شده"))</f>
        <v/>
      </c>
      <c r="F107" s="79" t="str">
        <f>IF($A107="","",IFERROR(COUNTIFS(Evaluations!$H$3:$H$10000,$A107,Evaluations!$O$3:$O$10000,"رعایت شده")/(COUNTIFS(Evaluations!$H$3:$H$10000,$A107,Evaluations!$O$3:$O$10000,"رعایت شده")+COUNTIFS(Evaluations!$H$3:$H$10000,$A107,Evaluations!$O$3:$O$10000,"رعایت نشده")),""))</f>
        <v/>
      </c>
      <c r="G107" s="79" t="str">
        <f>IF($A107="","",IFERROR(ROUND(100*COUNTIFS(Evaluations!$H$3:$H$10000,$A107,Evaluations!$Q$3:$Q$10000,1)/(COUNTIFS(Evaluations!$H$3:$H$10000,$A107,Evaluations!$Q$3:$Q$10000,1)+COUNTIFS(Evaluations!$H$3:$H$10000,$A107,Evaluations!$Q$3:$Q$10000,0)),2),""))</f>
        <v/>
      </c>
      <c r="H107" s="79" t="str">
        <f>IF($A107="","",IFERROR(ROUND(100*COUNTIFS(Evaluations!$H$3:$H$10000,$A107,Evaluations!$R$3:$R$10000,1)/(COUNTIFS(Evaluations!$H$3:$H$10000,$A107,Evaluations!$R$3:$R$10000,1)+COUNTIFS(Evaluations!$H$3:$H$10000,$A107,Evaluations!$R$3:$R$10000,0)),2),""))</f>
        <v/>
      </c>
      <c r="I107" s="79" t="str">
        <f>IF($A107="","",IFERROR(ROUND(100*COUNTIFS(Evaluations!$H$3:$H$10000,$A107,Evaluations!$S$3:$S$10000,1)/(COUNTIFS(Evaluations!$H$3:$H$10000,$A107,Evaluations!$S$3:$S$10000,1)+COUNTIFS(Evaluations!$H$3:$H$10000,$A107,Evaluations!$S$3:$S$10000,0)),2),""))</f>
        <v/>
      </c>
      <c r="J107" s="79" t="str">
        <f>IF($A107="","",IFERROR(ROUND(100*COUNTIFS(Evaluations!$H$3:$H$10000,$A107,Evaluations!$T$3:$T$10000,1)/(COUNTIFS(Evaluations!$H$3:$H$10000,$A107,Evaluations!$T$3:$T$10000,1)+COUNTIFS(Evaluations!$H$3:$H$10000,$A107,Evaluations!$T$3:$T$10000,0)),2),""))</f>
        <v/>
      </c>
      <c r="K107" s="79" t="str">
        <f>IF($A107="","",COUNTIFS(Evaluations!$H$3:$H$10000,$A107,Evaluations!$M$3:$M$10000,"عدم پاسخ"))</f>
        <v/>
      </c>
      <c r="L107" s="79" t="str">
        <f>IF($A107="","",COUNTIFS(Evaluations!$H$3:$H$10000,$A107,Evaluations!$O$3:$O$10000,"رعایت نشده"))</f>
        <v/>
      </c>
    </row>
    <row r="108">
      <c r="A108" s="79"/>
      <c r="B108" s="79" t="str">
        <f>IF($A108="","",COUNTIFS(Evaluations!$H$3:$H$10000,$A108,Evaluations!$U$3:$U$10000,"&gt;=0",Evaluations!$U$3:$U$10000,"&lt;=100"))</f>
        <v/>
      </c>
      <c r="C108" s="79" t="str">
        <f>IF($A108="","",COUNTIFS('Agent Report'!$B$4:$B$53,$A108,'Agent Report'!$C$4:$C$53,"&gt;0"))</f>
        <v/>
      </c>
      <c r="D108" s="79" t="str">
        <f>IF(OR($A108="",B108=0),"",ROUND(SUMIFS(Evaluations!$U$3:$U$10000,Evaluations!$H$3:$H$10000,$A108)/B108,2))</f>
        <v/>
      </c>
      <c r="E108" s="79" t="str">
        <f>IF($A108="","",COUNTIFS(Evaluations!$H$3:$H$10000,$A108,Evaluations!$M$3:$M$10000,"پاسخ داده شده"))</f>
        <v/>
      </c>
      <c r="F108" s="79" t="str">
        <f>IF($A108="","",IFERROR(COUNTIFS(Evaluations!$H$3:$H$10000,$A108,Evaluations!$O$3:$O$10000,"رعایت شده")/(COUNTIFS(Evaluations!$H$3:$H$10000,$A108,Evaluations!$O$3:$O$10000,"رعایت شده")+COUNTIFS(Evaluations!$H$3:$H$10000,$A108,Evaluations!$O$3:$O$10000,"رعایت نشده")),""))</f>
        <v/>
      </c>
      <c r="G108" s="79" t="str">
        <f>IF($A108="","",IFERROR(ROUND(100*COUNTIFS(Evaluations!$H$3:$H$10000,$A108,Evaluations!$Q$3:$Q$10000,1)/(COUNTIFS(Evaluations!$H$3:$H$10000,$A108,Evaluations!$Q$3:$Q$10000,1)+COUNTIFS(Evaluations!$H$3:$H$10000,$A108,Evaluations!$Q$3:$Q$10000,0)),2),""))</f>
        <v/>
      </c>
      <c r="H108" s="79" t="str">
        <f>IF($A108="","",IFERROR(ROUND(100*COUNTIFS(Evaluations!$H$3:$H$10000,$A108,Evaluations!$R$3:$R$10000,1)/(COUNTIFS(Evaluations!$H$3:$H$10000,$A108,Evaluations!$R$3:$R$10000,1)+COUNTIFS(Evaluations!$H$3:$H$10000,$A108,Evaluations!$R$3:$R$10000,0)),2),""))</f>
        <v/>
      </c>
      <c r="I108" s="79" t="str">
        <f>IF($A108="","",IFERROR(ROUND(100*COUNTIFS(Evaluations!$H$3:$H$10000,$A108,Evaluations!$S$3:$S$10000,1)/(COUNTIFS(Evaluations!$H$3:$H$10000,$A108,Evaluations!$S$3:$S$10000,1)+COUNTIFS(Evaluations!$H$3:$H$10000,$A108,Evaluations!$S$3:$S$10000,0)),2),""))</f>
        <v/>
      </c>
      <c r="J108" s="79" t="str">
        <f>IF($A108="","",IFERROR(ROUND(100*COUNTIFS(Evaluations!$H$3:$H$10000,$A108,Evaluations!$T$3:$T$10000,1)/(COUNTIFS(Evaluations!$H$3:$H$10000,$A108,Evaluations!$T$3:$T$10000,1)+COUNTIFS(Evaluations!$H$3:$H$10000,$A108,Evaluations!$T$3:$T$10000,0)),2),""))</f>
        <v/>
      </c>
      <c r="K108" s="79" t="str">
        <f>IF($A108="","",COUNTIFS(Evaluations!$H$3:$H$10000,$A108,Evaluations!$M$3:$M$10000,"عدم پاسخ"))</f>
        <v/>
      </c>
      <c r="L108" s="79" t="str">
        <f>IF($A108="","",COUNTIFS(Evaluations!$H$3:$H$10000,$A108,Evaluations!$O$3:$O$10000,"رعایت نشده"))</f>
        <v/>
      </c>
    </row>
    <row r="109">
      <c r="A109" s="79"/>
      <c r="B109" s="79" t="str">
        <f>IF($A109="","",COUNTIFS(Evaluations!$H$3:$H$10000,$A109,Evaluations!$U$3:$U$10000,"&gt;=0",Evaluations!$U$3:$U$10000,"&lt;=100"))</f>
        <v/>
      </c>
      <c r="C109" s="79" t="str">
        <f>IF($A109="","",COUNTIFS('Agent Report'!$B$4:$B$53,$A109,'Agent Report'!$C$4:$C$53,"&gt;0"))</f>
        <v/>
      </c>
      <c r="D109" s="79" t="str">
        <f>IF(OR($A109="",B109=0),"",ROUND(SUMIFS(Evaluations!$U$3:$U$10000,Evaluations!$H$3:$H$10000,$A109)/B109,2))</f>
        <v/>
      </c>
      <c r="E109" s="79" t="str">
        <f>IF($A109="","",COUNTIFS(Evaluations!$H$3:$H$10000,$A109,Evaluations!$M$3:$M$10000,"پاسخ داده شده"))</f>
        <v/>
      </c>
      <c r="F109" s="79" t="str">
        <f>IF($A109="","",IFERROR(COUNTIFS(Evaluations!$H$3:$H$10000,$A109,Evaluations!$O$3:$O$10000,"رعایت شده")/(COUNTIFS(Evaluations!$H$3:$H$10000,$A109,Evaluations!$O$3:$O$10000,"رعایت شده")+COUNTIFS(Evaluations!$H$3:$H$10000,$A109,Evaluations!$O$3:$O$10000,"رعایت نشده")),""))</f>
        <v/>
      </c>
      <c r="G109" s="79" t="str">
        <f>IF($A109="","",IFERROR(ROUND(100*COUNTIFS(Evaluations!$H$3:$H$10000,$A109,Evaluations!$Q$3:$Q$10000,1)/(COUNTIFS(Evaluations!$H$3:$H$10000,$A109,Evaluations!$Q$3:$Q$10000,1)+COUNTIFS(Evaluations!$H$3:$H$10000,$A109,Evaluations!$Q$3:$Q$10000,0)),2),""))</f>
        <v/>
      </c>
      <c r="H109" s="79" t="str">
        <f>IF($A109="","",IFERROR(ROUND(100*COUNTIFS(Evaluations!$H$3:$H$10000,$A109,Evaluations!$R$3:$R$10000,1)/(COUNTIFS(Evaluations!$H$3:$H$10000,$A109,Evaluations!$R$3:$R$10000,1)+COUNTIFS(Evaluations!$H$3:$H$10000,$A109,Evaluations!$R$3:$R$10000,0)),2),""))</f>
        <v/>
      </c>
      <c r="I109" s="79" t="str">
        <f>IF($A109="","",IFERROR(ROUND(100*COUNTIFS(Evaluations!$H$3:$H$10000,$A109,Evaluations!$S$3:$S$10000,1)/(COUNTIFS(Evaluations!$H$3:$H$10000,$A109,Evaluations!$S$3:$S$10000,1)+COUNTIFS(Evaluations!$H$3:$H$10000,$A109,Evaluations!$S$3:$S$10000,0)),2),""))</f>
        <v/>
      </c>
      <c r="J109" s="79" t="str">
        <f>IF($A109="","",IFERROR(ROUND(100*COUNTIFS(Evaluations!$H$3:$H$10000,$A109,Evaluations!$T$3:$T$10000,1)/(COUNTIFS(Evaluations!$H$3:$H$10000,$A109,Evaluations!$T$3:$T$10000,1)+COUNTIFS(Evaluations!$H$3:$H$10000,$A109,Evaluations!$T$3:$T$10000,0)),2),""))</f>
        <v/>
      </c>
      <c r="K109" s="79" t="str">
        <f>IF($A109="","",COUNTIFS(Evaluations!$H$3:$H$10000,$A109,Evaluations!$M$3:$M$10000,"عدم پاسخ"))</f>
        <v/>
      </c>
      <c r="L109" s="79" t="str">
        <f>IF($A109="","",COUNTIFS(Evaluations!$H$3:$H$10000,$A109,Evaluations!$O$3:$O$10000,"رعایت نشده"))</f>
        <v/>
      </c>
    </row>
    <row r="110">
      <c r="A110" s="79"/>
      <c r="B110" s="79" t="str">
        <f>IF($A110="","",COUNTIFS(Evaluations!$H$3:$H$10000,$A110,Evaluations!$U$3:$U$10000,"&gt;=0",Evaluations!$U$3:$U$10000,"&lt;=100"))</f>
        <v/>
      </c>
      <c r="C110" s="79" t="str">
        <f>IF($A110="","",COUNTIFS('Agent Report'!$B$4:$B$53,$A110,'Agent Report'!$C$4:$C$53,"&gt;0"))</f>
        <v/>
      </c>
      <c r="D110" s="79" t="str">
        <f>IF(OR($A110="",B110=0),"",ROUND(SUMIFS(Evaluations!$U$3:$U$10000,Evaluations!$H$3:$H$10000,$A110)/B110,2))</f>
        <v/>
      </c>
      <c r="E110" s="79" t="str">
        <f>IF($A110="","",COUNTIFS(Evaluations!$H$3:$H$10000,$A110,Evaluations!$M$3:$M$10000,"پاسخ داده شده"))</f>
        <v/>
      </c>
      <c r="F110" s="79" t="str">
        <f>IF($A110="","",IFERROR(COUNTIFS(Evaluations!$H$3:$H$10000,$A110,Evaluations!$O$3:$O$10000,"رعایت شده")/(COUNTIFS(Evaluations!$H$3:$H$10000,$A110,Evaluations!$O$3:$O$10000,"رعایت شده")+COUNTIFS(Evaluations!$H$3:$H$10000,$A110,Evaluations!$O$3:$O$10000,"رعایت نشده")),""))</f>
        <v/>
      </c>
      <c r="G110" s="79" t="str">
        <f>IF($A110="","",IFERROR(ROUND(100*COUNTIFS(Evaluations!$H$3:$H$10000,$A110,Evaluations!$Q$3:$Q$10000,1)/(COUNTIFS(Evaluations!$H$3:$H$10000,$A110,Evaluations!$Q$3:$Q$10000,1)+COUNTIFS(Evaluations!$H$3:$H$10000,$A110,Evaluations!$Q$3:$Q$10000,0)),2),""))</f>
        <v/>
      </c>
      <c r="H110" s="79" t="str">
        <f>IF($A110="","",IFERROR(ROUND(100*COUNTIFS(Evaluations!$H$3:$H$10000,$A110,Evaluations!$R$3:$R$10000,1)/(COUNTIFS(Evaluations!$H$3:$H$10000,$A110,Evaluations!$R$3:$R$10000,1)+COUNTIFS(Evaluations!$H$3:$H$10000,$A110,Evaluations!$R$3:$R$10000,0)),2),""))</f>
        <v/>
      </c>
      <c r="I110" s="79" t="str">
        <f>IF($A110="","",IFERROR(ROUND(100*COUNTIFS(Evaluations!$H$3:$H$10000,$A110,Evaluations!$S$3:$S$10000,1)/(COUNTIFS(Evaluations!$H$3:$H$10000,$A110,Evaluations!$S$3:$S$10000,1)+COUNTIFS(Evaluations!$H$3:$H$10000,$A110,Evaluations!$S$3:$S$10000,0)),2),""))</f>
        <v/>
      </c>
      <c r="J110" s="79" t="str">
        <f>IF($A110="","",IFERROR(ROUND(100*COUNTIFS(Evaluations!$H$3:$H$10000,$A110,Evaluations!$T$3:$T$10000,1)/(COUNTIFS(Evaluations!$H$3:$H$10000,$A110,Evaluations!$T$3:$T$10000,1)+COUNTIFS(Evaluations!$H$3:$H$10000,$A110,Evaluations!$T$3:$T$10000,0)),2),""))</f>
        <v/>
      </c>
      <c r="K110" s="79" t="str">
        <f>IF($A110="","",COUNTIFS(Evaluations!$H$3:$H$10000,$A110,Evaluations!$M$3:$M$10000,"عدم پاسخ"))</f>
        <v/>
      </c>
      <c r="L110" s="79" t="str">
        <f>IF($A110="","",COUNTIFS(Evaluations!$H$3:$H$10000,$A110,Evaluations!$O$3:$O$10000,"رعایت نشده"))</f>
        <v/>
      </c>
    </row>
    <row r="111">
      <c r="A111" s="79"/>
      <c r="B111" s="79" t="str">
        <f>IF($A111="","",COUNTIFS(Evaluations!$H$3:$H$10000,$A111,Evaluations!$U$3:$U$10000,"&gt;=0",Evaluations!$U$3:$U$10000,"&lt;=100"))</f>
        <v/>
      </c>
      <c r="C111" s="79" t="str">
        <f>IF($A111="","",COUNTIFS('Agent Report'!$B$4:$B$53,$A111,'Agent Report'!$C$4:$C$53,"&gt;0"))</f>
        <v/>
      </c>
      <c r="D111" s="79" t="str">
        <f>IF(OR($A111="",B111=0),"",ROUND(SUMIFS(Evaluations!$U$3:$U$10000,Evaluations!$H$3:$H$10000,$A111)/B111,2))</f>
        <v/>
      </c>
      <c r="E111" s="79" t="str">
        <f>IF($A111="","",COUNTIFS(Evaluations!$H$3:$H$10000,$A111,Evaluations!$M$3:$M$10000,"پاسخ داده شده"))</f>
        <v/>
      </c>
      <c r="F111" s="79" t="str">
        <f>IF($A111="","",IFERROR(COUNTIFS(Evaluations!$H$3:$H$10000,$A111,Evaluations!$O$3:$O$10000,"رعایت شده")/(COUNTIFS(Evaluations!$H$3:$H$10000,$A111,Evaluations!$O$3:$O$10000,"رعایت شده")+COUNTIFS(Evaluations!$H$3:$H$10000,$A111,Evaluations!$O$3:$O$10000,"رعایت نشده")),""))</f>
        <v/>
      </c>
      <c r="G111" s="79" t="str">
        <f>IF($A111="","",IFERROR(ROUND(100*COUNTIFS(Evaluations!$H$3:$H$10000,$A111,Evaluations!$Q$3:$Q$10000,1)/(COUNTIFS(Evaluations!$H$3:$H$10000,$A111,Evaluations!$Q$3:$Q$10000,1)+COUNTIFS(Evaluations!$H$3:$H$10000,$A111,Evaluations!$Q$3:$Q$10000,0)),2),""))</f>
        <v/>
      </c>
      <c r="H111" s="79" t="str">
        <f>IF($A111="","",IFERROR(ROUND(100*COUNTIFS(Evaluations!$H$3:$H$10000,$A111,Evaluations!$R$3:$R$10000,1)/(COUNTIFS(Evaluations!$H$3:$H$10000,$A111,Evaluations!$R$3:$R$10000,1)+COUNTIFS(Evaluations!$H$3:$H$10000,$A111,Evaluations!$R$3:$R$10000,0)),2),""))</f>
        <v/>
      </c>
      <c r="I111" s="79" t="str">
        <f>IF($A111="","",IFERROR(ROUND(100*COUNTIFS(Evaluations!$H$3:$H$10000,$A111,Evaluations!$S$3:$S$10000,1)/(COUNTIFS(Evaluations!$H$3:$H$10000,$A111,Evaluations!$S$3:$S$10000,1)+COUNTIFS(Evaluations!$H$3:$H$10000,$A111,Evaluations!$S$3:$S$10000,0)),2),""))</f>
        <v/>
      </c>
      <c r="J111" s="79" t="str">
        <f>IF($A111="","",IFERROR(ROUND(100*COUNTIFS(Evaluations!$H$3:$H$10000,$A111,Evaluations!$T$3:$T$10000,1)/(COUNTIFS(Evaluations!$H$3:$H$10000,$A111,Evaluations!$T$3:$T$10000,1)+COUNTIFS(Evaluations!$H$3:$H$10000,$A111,Evaluations!$T$3:$T$10000,0)),2),""))</f>
        <v/>
      </c>
      <c r="K111" s="79" t="str">
        <f>IF($A111="","",COUNTIFS(Evaluations!$H$3:$H$10000,$A111,Evaluations!$M$3:$M$10000,"عدم پاسخ"))</f>
        <v/>
      </c>
      <c r="L111" s="79" t="str">
        <f>IF($A111="","",COUNTIFS(Evaluations!$H$3:$H$10000,$A111,Evaluations!$O$3:$O$10000,"رعایت نشده"))</f>
        <v/>
      </c>
    </row>
    <row r="112">
      <c r="A112" s="79"/>
      <c r="B112" s="79" t="str">
        <f>IF($A112="","",COUNTIFS(Evaluations!$H$3:$H$10000,$A112,Evaluations!$U$3:$U$10000,"&gt;=0",Evaluations!$U$3:$U$10000,"&lt;=100"))</f>
        <v/>
      </c>
      <c r="C112" s="79" t="str">
        <f>IF($A112="","",COUNTIFS('Agent Report'!$B$4:$B$53,$A112,'Agent Report'!$C$4:$C$53,"&gt;0"))</f>
        <v/>
      </c>
      <c r="D112" s="79" t="str">
        <f>IF(OR($A112="",B112=0),"",ROUND(SUMIFS(Evaluations!$U$3:$U$10000,Evaluations!$H$3:$H$10000,$A112)/B112,2))</f>
        <v/>
      </c>
      <c r="E112" s="79" t="str">
        <f>IF($A112="","",COUNTIFS(Evaluations!$H$3:$H$10000,$A112,Evaluations!$M$3:$M$10000,"پاسخ داده شده"))</f>
        <v/>
      </c>
      <c r="F112" s="79" t="str">
        <f>IF($A112="","",IFERROR(COUNTIFS(Evaluations!$H$3:$H$10000,$A112,Evaluations!$O$3:$O$10000,"رعایت شده")/(COUNTIFS(Evaluations!$H$3:$H$10000,$A112,Evaluations!$O$3:$O$10000,"رعایت شده")+COUNTIFS(Evaluations!$H$3:$H$10000,$A112,Evaluations!$O$3:$O$10000,"رعایت نشده")),""))</f>
        <v/>
      </c>
      <c r="G112" s="79" t="str">
        <f>IF($A112="","",IFERROR(ROUND(100*COUNTIFS(Evaluations!$H$3:$H$10000,$A112,Evaluations!$Q$3:$Q$10000,1)/(COUNTIFS(Evaluations!$H$3:$H$10000,$A112,Evaluations!$Q$3:$Q$10000,1)+COUNTIFS(Evaluations!$H$3:$H$10000,$A112,Evaluations!$Q$3:$Q$10000,0)),2),""))</f>
        <v/>
      </c>
      <c r="H112" s="79" t="str">
        <f>IF($A112="","",IFERROR(ROUND(100*COUNTIFS(Evaluations!$H$3:$H$10000,$A112,Evaluations!$R$3:$R$10000,1)/(COUNTIFS(Evaluations!$H$3:$H$10000,$A112,Evaluations!$R$3:$R$10000,1)+COUNTIFS(Evaluations!$H$3:$H$10000,$A112,Evaluations!$R$3:$R$10000,0)),2),""))</f>
        <v/>
      </c>
      <c r="I112" s="79" t="str">
        <f>IF($A112="","",IFERROR(ROUND(100*COUNTIFS(Evaluations!$H$3:$H$10000,$A112,Evaluations!$S$3:$S$10000,1)/(COUNTIFS(Evaluations!$H$3:$H$10000,$A112,Evaluations!$S$3:$S$10000,1)+COUNTIFS(Evaluations!$H$3:$H$10000,$A112,Evaluations!$S$3:$S$10000,0)),2),""))</f>
        <v/>
      </c>
      <c r="J112" s="79" t="str">
        <f>IF($A112="","",IFERROR(ROUND(100*COUNTIFS(Evaluations!$H$3:$H$10000,$A112,Evaluations!$T$3:$T$10000,1)/(COUNTIFS(Evaluations!$H$3:$H$10000,$A112,Evaluations!$T$3:$T$10000,1)+COUNTIFS(Evaluations!$H$3:$H$10000,$A112,Evaluations!$T$3:$T$10000,0)),2),""))</f>
        <v/>
      </c>
      <c r="K112" s="79" t="str">
        <f>IF($A112="","",COUNTIFS(Evaluations!$H$3:$H$10000,$A112,Evaluations!$M$3:$M$10000,"عدم پاسخ"))</f>
        <v/>
      </c>
      <c r="L112" s="79" t="str">
        <f>IF($A112="","",COUNTIFS(Evaluations!$H$3:$H$10000,$A112,Evaluations!$O$3:$O$10000,"رعایت نشده"))</f>
        <v/>
      </c>
    </row>
    <row r="113">
      <c r="A113" s="79"/>
      <c r="B113" s="79" t="str">
        <f>IF($A113="","",COUNTIFS(Evaluations!$H$3:$H$10000,$A113,Evaluations!$U$3:$U$10000,"&gt;=0",Evaluations!$U$3:$U$10000,"&lt;=100"))</f>
        <v/>
      </c>
      <c r="C113" s="79" t="str">
        <f>IF($A113="","",COUNTIFS('Agent Report'!$B$4:$B$53,$A113,'Agent Report'!$C$4:$C$53,"&gt;0"))</f>
        <v/>
      </c>
      <c r="D113" s="79" t="str">
        <f>IF(OR($A113="",B113=0),"",ROUND(SUMIFS(Evaluations!$U$3:$U$10000,Evaluations!$H$3:$H$10000,$A113)/B113,2))</f>
        <v/>
      </c>
      <c r="E113" s="79" t="str">
        <f>IF($A113="","",COUNTIFS(Evaluations!$H$3:$H$10000,$A113,Evaluations!$M$3:$M$10000,"پاسخ داده شده"))</f>
        <v/>
      </c>
      <c r="F113" s="79" t="str">
        <f>IF($A113="","",IFERROR(COUNTIFS(Evaluations!$H$3:$H$10000,$A113,Evaluations!$O$3:$O$10000,"رعایت شده")/(COUNTIFS(Evaluations!$H$3:$H$10000,$A113,Evaluations!$O$3:$O$10000,"رعایت شده")+COUNTIFS(Evaluations!$H$3:$H$10000,$A113,Evaluations!$O$3:$O$10000,"رعایت نشده")),""))</f>
        <v/>
      </c>
      <c r="G113" s="79" t="str">
        <f>IF($A113="","",IFERROR(ROUND(100*COUNTIFS(Evaluations!$H$3:$H$10000,$A113,Evaluations!$Q$3:$Q$10000,1)/(COUNTIFS(Evaluations!$H$3:$H$10000,$A113,Evaluations!$Q$3:$Q$10000,1)+COUNTIFS(Evaluations!$H$3:$H$10000,$A113,Evaluations!$Q$3:$Q$10000,0)),2),""))</f>
        <v/>
      </c>
      <c r="H113" s="79" t="str">
        <f>IF($A113="","",IFERROR(ROUND(100*COUNTIFS(Evaluations!$H$3:$H$10000,$A113,Evaluations!$R$3:$R$10000,1)/(COUNTIFS(Evaluations!$H$3:$H$10000,$A113,Evaluations!$R$3:$R$10000,1)+COUNTIFS(Evaluations!$H$3:$H$10000,$A113,Evaluations!$R$3:$R$10000,0)),2),""))</f>
        <v/>
      </c>
      <c r="I113" s="79" t="str">
        <f>IF($A113="","",IFERROR(ROUND(100*COUNTIFS(Evaluations!$H$3:$H$10000,$A113,Evaluations!$S$3:$S$10000,1)/(COUNTIFS(Evaluations!$H$3:$H$10000,$A113,Evaluations!$S$3:$S$10000,1)+COUNTIFS(Evaluations!$H$3:$H$10000,$A113,Evaluations!$S$3:$S$10000,0)),2),""))</f>
        <v/>
      </c>
      <c r="J113" s="79" t="str">
        <f>IF($A113="","",IFERROR(ROUND(100*COUNTIFS(Evaluations!$H$3:$H$10000,$A113,Evaluations!$T$3:$T$10000,1)/(COUNTIFS(Evaluations!$H$3:$H$10000,$A113,Evaluations!$T$3:$T$10000,1)+COUNTIFS(Evaluations!$H$3:$H$10000,$A113,Evaluations!$T$3:$T$10000,0)),2),""))</f>
        <v/>
      </c>
      <c r="K113" s="79" t="str">
        <f>IF($A113="","",COUNTIFS(Evaluations!$H$3:$H$10000,$A113,Evaluations!$M$3:$M$10000,"عدم پاسخ"))</f>
        <v/>
      </c>
      <c r="L113" s="79" t="str">
        <f>IF($A113="","",COUNTIFS(Evaluations!$H$3:$H$10000,$A113,Evaluations!$O$3:$O$10000,"رعایت نشده"))</f>
        <v/>
      </c>
    </row>
    <row r="114">
      <c r="A114" s="79"/>
      <c r="B114" s="79" t="str">
        <f>IF($A114="","",COUNTIFS(Evaluations!$H$3:$H$10000,$A114,Evaluations!$U$3:$U$10000,"&gt;=0",Evaluations!$U$3:$U$10000,"&lt;=100"))</f>
        <v/>
      </c>
      <c r="C114" s="79" t="str">
        <f>IF($A114="","",COUNTIFS('Agent Report'!$B$4:$B$53,$A114,'Agent Report'!$C$4:$C$53,"&gt;0"))</f>
        <v/>
      </c>
      <c r="D114" s="79" t="str">
        <f>IF(OR($A114="",B114=0),"",ROUND(SUMIFS(Evaluations!$U$3:$U$10000,Evaluations!$H$3:$H$10000,$A114)/B114,2))</f>
        <v/>
      </c>
      <c r="E114" s="79" t="str">
        <f>IF($A114="","",COUNTIFS(Evaluations!$H$3:$H$10000,$A114,Evaluations!$M$3:$M$10000,"پاسخ داده شده"))</f>
        <v/>
      </c>
      <c r="F114" s="79" t="str">
        <f>IF($A114="","",IFERROR(COUNTIFS(Evaluations!$H$3:$H$10000,$A114,Evaluations!$O$3:$O$10000,"رعایت شده")/(COUNTIFS(Evaluations!$H$3:$H$10000,$A114,Evaluations!$O$3:$O$10000,"رعایت شده")+COUNTIFS(Evaluations!$H$3:$H$10000,$A114,Evaluations!$O$3:$O$10000,"رعایت نشده")),""))</f>
        <v/>
      </c>
      <c r="G114" s="79" t="str">
        <f>IF($A114="","",IFERROR(ROUND(100*COUNTIFS(Evaluations!$H$3:$H$10000,$A114,Evaluations!$Q$3:$Q$10000,1)/(COUNTIFS(Evaluations!$H$3:$H$10000,$A114,Evaluations!$Q$3:$Q$10000,1)+COUNTIFS(Evaluations!$H$3:$H$10000,$A114,Evaluations!$Q$3:$Q$10000,0)),2),""))</f>
        <v/>
      </c>
      <c r="H114" s="79" t="str">
        <f>IF($A114="","",IFERROR(ROUND(100*COUNTIFS(Evaluations!$H$3:$H$10000,$A114,Evaluations!$R$3:$R$10000,1)/(COUNTIFS(Evaluations!$H$3:$H$10000,$A114,Evaluations!$R$3:$R$10000,1)+COUNTIFS(Evaluations!$H$3:$H$10000,$A114,Evaluations!$R$3:$R$10000,0)),2),""))</f>
        <v/>
      </c>
      <c r="I114" s="79" t="str">
        <f>IF($A114="","",IFERROR(ROUND(100*COUNTIFS(Evaluations!$H$3:$H$10000,$A114,Evaluations!$S$3:$S$10000,1)/(COUNTIFS(Evaluations!$H$3:$H$10000,$A114,Evaluations!$S$3:$S$10000,1)+COUNTIFS(Evaluations!$H$3:$H$10000,$A114,Evaluations!$S$3:$S$10000,0)),2),""))</f>
        <v/>
      </c>
      <c r="J114" s="79" t="str">
        <f>IF($A114="","",IFERROR(ROUND(100*COUNTIFS(Evaluations!$H$3:$H$10000,$A114,Evaluations!$T$3:$T$10000,1)/(COUNTIFS(Evaluations!$H$3:$H$10000,$A114,Evaluations!$T$3:$T$10000,1)+COUNTIFS(Evaluations!$H$3:$H$10000,$A114,Evaluations!$T$3:$T$10000,0)),2),""))</f>
        <v/>
      </c>
      <c r="K114" s="79" t="str">
        <f>IF($A114="","",COUNTIFS(Evaluations!$H$3:$H$10000,$A114,Evaluations!$M$3:$M$10000,"عدم پاسخ"))</f>
        <v/>
      </c>
      <c r="L114" s="79" t="str">
        <f>IF($A114="","",COUNTIFS(Evaluations!$H$3:$H$10000,$A114,Evaluations!$O$3:$O$10000,"رعایت نشده"))</f>
        <v/>
      </c>
    </row>
    <row r="115">
      <c r="A115" s="79"/>
      <c r="B115" s="79" t="str">
        <f>IF($A115="","",COUNTIFS(Evaluations!$H$3:$H$10000,$A115,Evaluations!$U$3:$U$10000,"&gt;=0",Evaluations!$U$3:$U$10000,"&lt;=100"))</f>
        <v/>
      </c>
      <c r="C115" s="79" t="str">
        <f>IF($A115="","",COUNTIFS('Agent Report'!$B$4:$B$53,$A115,'Agent Report'!$C$4:$C$53,"&gt;0"))</f>
        <v/>
      </c>
      <c r="D115" s="79" t="str">
        <f>IF(OR($A115="",B115=0),"",ROUND(SUMIFS(Evaluations!$U$3:$U$10000,Evaluations!$H$3:$H$10000,$A115)/B115,2))</f>
        <v/>
      </c>
      <c r="E115" s="79" t="str">
        <f>IF($A115="","",COUNTIFS(Evaluations!$H$3:$H$10000,$A115,Evaluations!$M$3:$M$10000,"پاسخ داده شده"))</f>
        <v/>
      </c>
      <c r="F115" s="79" t="str">
        <f>IF($A115="","",IFERROR(COUNTIFS(Evaluations!$H$3:$H$10000,$A115,Evaluations!$O$3:$O$10000,"رعایت شده")/(COUNTIFS(Evaluations!$H$3:$H$10000,$A115,Evaluations!$O$3:$O$10000,"رعایت شده")+COUNTIFS(Evaluations!$H$3:$H$10000,$A115,Evaluations!$O$3:$O$10000,"رعایت نشده")),""))</f>
        <v/>
      </c>
      <c r="G115" s="79" t="str">
        <f>IF($A115="","",IFERROR(ROUND(100*COUNTIFS(Evaluations!$H$3:$H$10000,$A115,Evaluations!$Q$3:$Q$10000,1)/(COUNTIFS(Evaluations!$H$3:$H$10000,$A115,Evaluations!$Q$3:$Q$10000,1)+COUNTIFS(Evaluations!$H$3:$H$10000,$A115,Evaluations!$Q$3:$Q$10000,0)),2),""))</f>
        <v/>
      </c>
      <c r="H115" s="79" t="str">
        <f>IF($A115="","",IFERROR(ROUND(100*COUNTIFS(Evaluations!$H$3:$H$10000,$A115,Evaluations!$R$3:$R$10000,1)/(COUNTIFS(Evaluations!$H$3:$H$10000,$A115,Evaluations!$R$3:$R$10000,1)+COUNTIFS(Evaluations!$H$3:$H$10000,$A115,Evaluations!$R$3:$R$10000,0)),2),""))</f>
        <v/>
      </c>
      <c r="I115" s="79" t="str">
        <f>IF($A115="","",IFERROR(ROUND(100*COUNTIFS(Evaluations!$H$3:$H$10000,$A115,Evaluations!$S$3:$S$10000,1)/(COUNTIFS(Evaluations!$H$3:$H$10000,$A115,Evaluations!$S$3:$S$10000,1)+COUNTIFS(Evaluations!$H$3:$H$10000,$A115,Evaluations!$S$3:$S$10000,0)),2),""))</f>
        <v/>
      </c>
      <c r="J115" s="79" t="str">
        <f>IF($A115="","",IFERROR(ROUND(100*COUNTIFS(Evaluations!$H$3:$H$10000,$A115,Evaluations!$T$3:$T$10000,1)/(COUNTIFS(Evaluations!$H$3:$H$10000,$A115,Evaluations!$T$3:$T$10000,1)+COUNTIFS(Evaluations!$H$3:$H$10000,$A115,Evaluations!$T$3:$T$10000,0)),2),""))</f>
        <v/>
      </c>
      <c r="K115" s="79" t="str">
        <f>IF($A115="","",COUNTIFS(Evaluations!$H$3:$H$10000,$A115,Evaluations!$M$3:$M$10000,"عدم پاسخ"))</f>
        <v/>
      </c>
      <c r="L115" s="79" t="str">
        <f>IF($A115="","",COUNTIFS(Evaluations!$H$3:$H$10000,$A115,Evaluations!$O$3:$O$10000,"رعایت نشده"))</f>
        <v/>
      </c>
    </row>
    <row r="116">
      <c r="A116" s="79"/>
      <c r="B116" s="79" t="str">
        <f>IF($A116="","",COUNTIFS(Evaluations!$H$3:$H$10000,$A116,Evaluations!$U$3:$U$10000,"&gt;=0",Evaluations!$U$3:$U$10000,"&lt;=100"))</f>
        <v/>
      </c>
      <c r="C116" s="79" t="str">
        <f>IF($A116="","",COUNTIFS('Agent Report'!$B$4:$B$53,$A116,'Agent Report'!$C$4:$C$53,"&gt;0"))</f>
        <v/>
      </c>
      <c r="D116" s="79" t="str">
        <f>IF(OR($A116="",B116=0),"",ROUND(SUMIFS(Evaluations!$U$3:$U$10000,Evaluations!$H$3:$H$10000,$A116)/B116,2))</f>
        <v/>
      </c>
      <c r="E116" s="79" t="str">
        <f>IF($A116="","",COUNTIFS(Evaluations!$H$3:$H$10000,$A116,Evaluations!$M$3:$M$10000,"پاسخ داده شده"))</f>
        <v/>
      </c>
      <c r="F116" s="79" t="str">
        <f>IF($A116="","",IFERROR(COUNTIFS(Evaluations!$H$3:$H$10000,$A116,Evaluations!$O$3:$O$10000,"رعایت شده")/(COUNTIFS(Evaluations!$H$3:$H$10000,$A116,Evaluations!$O$3:$O$10000,"رعایت شده")+COUNTIFS(Evaluations!$H$3:$H$10000,$A116,Evaluations!$O$3:$O$10000,"رعایت نشده")),""))</f>
        <v/>
      </c>
      <c r="G116" s="79" t="str">
        <f>IF($A116="","",IFERROR(ROUND(100*COUNTIFS(Evaluations!$H$3:$H$10000,$A116,Evaluations!$Q$3:$Q$10000,1)/(COUNTIFS(Evaluations!$H$3:$H$10000,$A116,Evaluations!$Q$3:$Q$10000,1)+COUNTIFS(Evaluations!$H$3:$H$10000,$A116,Evaluations!$Q$3:$Q$10000,0)),2),""))</f>
        <v/>
      </c>
      <c r="H116" s="79" t="str">
        <f>IF($A116="","",IFERROR(ROUND(100*COUNTIFS(Evaluations!$H$3:$H$10000,$A116,Evaluations!$R$3:$R$10000,1)/(COUNTIFS(Evaluations!$H$3:$H$10000,$A116,Evaluations!$R$3:$R$10000,1)+COUNTIFS(Evaluations!$H$3:$H$10000,$A116,Evaluations!$R$3:$R$10000,0)),2),""))</f>
        <v/>
      </c>
      <c r="I116" s="79" t="str">
        <f>IF($A116="","",IFERROR(ROUND(100*COUNTIFS(Evaluations!$H$3:$H$10000,$A116,Evaluations!$S$3:$S$10000,1)/(COUNTIFS(Evaluations!$H$3:$H$10000,$A116,Evaluations!$S$3:$S$10000,1)+COUNTIFS(Evaluations!$H$3:$H$10000,$A116,Evaluations!$S$3:$S$10000,0)),2),""))</f>
        <v/>
      </c>
      <c r="J116" s="79" t="str">
        <f>IF($A116="","",IFERROR(ROUND(100*COUNTIFS(Evaluations!$H$3:$H$10000,$A116,Evaluations!$T$3:$T$10000,1)/(COUNTIFS(Evaluations!$H$3:$H$10000,$A116,Evaluations!$T$3:$T$10000,1)+COUNTIFS(Evaluations!$H$3:$H$10000,$A116,Evaluations!$T$3:$T$10000,0)),2),""))</f>
        <v/>
      </c>
      <c r="K116" s="79" t="str">
        <f>IF($A116="","",COUNTIFS(Evaluations!$H$3:$H$10000,$A116,Evaluations!$M$3:$M$10000,"عدم پاسخ"))</f>
        <v/>
      </c>
      <c r="L116" s="79" t="str">
        <f>IF($A116="","",COUNTIFS(Evaluations!$H$3:$H$10000,$A116,Evaluations!$O$3:$O$10000,"رعایت نشده"))</f>
        <v/>
      </c>
    </row>
    <row r="117">
      <c r="A117" s="79"/>
      <c r="B117" s="79" t="str">
        <f>IF($A117="","",COUNTIFS(Evaluations!$H$3:$H$10000,$A117,Evaluations!$U$3:$U$10000,"&gt;=0",Evaluations!$U$3:$U$10000,"&lt;=100"))</f>
        <v/>
      </c>
      <c r="C117" s="79" t="str">
        <f>IF($A117="","",COUNTIFS('Agent Report'!$B$4:$B$53,$A117,'Agent Report'!$C$4:$C$53,"&gt;0"))</f>
        <v/>
      </c>
      <c r="D117" s="79" t="str">
        <f>IF(OR($A117="",B117=0),"",ROUND(SUMIFS(Evaluations!$U$3:$U$10000,Evaluations!$H$3:$H$10000,$A117)/B117,2))</f>
        <v/>
      </c>
      <c r="E117" s="79" t="str">
        <f>IF($A117="","",COUNTIFS(Evaluations!$H$3:$H$10000,$A117,Evaluations!$M$3:$M$10000,"پاسخ داده شده"))</f>
        <v/>
      </c>
      <c r="F117" s="79" t="str">
        <f>IF($A117="","",IFERROR(COUNTIFS(Evaluations!$H$3:$H$10000,$A117,Evaluations!$O$3:$O$10000,"رعایت شده")/(COUNTIFS(Evaluations!$H$3:$H$10000,$A117,Evaluations!$O$3:$O$10000,"رعایت شده")+COUNTIFS(Evaluations!$H$3:$H$10000,$A117,Evaluations!$O$3:$O$10000,"رعایت نشده")),""))</f>
        <v/>
      </c>
      <c r="G117" s="79" t="str">
        <f>IF($A117="","",IFERROR(ROUND(100*COUNTIFS(Evaluations!$H$3:$H$10000,$A117,Evaluations!$Q$3:$Q$10000,1)/(COUNTIFS(Evaluations!$H$3:$H$10000,$A117,Evaluations!$Q$3:$Q$10000,1)+COUNTIFS(Evaluations!$H$3:$H$10000,$A117,Evaluations!$Q$3:$Q$10000,0)),2),""))</f>
        <v/>
      </c>
      <c r="H117" s="79" t="str">
        <f>IF($A117="","",IFERROR(ROUND(100*COUNTIFS(Evaluations!$H$3:$H$10000,$A117,Evaluations!$R$3:$R$10000,1)/(COUNTIFS(Evaluations!$H$3:$H$10000,$A117,Evaluations!$R$3:$R$10000,1)+COUNTIFS(Evaluations!$H$3:$H$10000,$A117,Evaluations!$R$3:$R$10000,0)),2),""))</f>
        <v/>
      </c>
      <c r="I117" s="79" t="str">
        <f>IF($A117="","",IFERROR(ROUND(100*COUNTIFS(Evaluations!$H$3:$H$10000,$A117,Evaluations!$S$3:$S$10000,1)/(COUNTIFS(Evaluations!$H$3:$H$10000,$A117,Evaluations!$S$3:$S$10000,1)+COUNTIFS(Evaluations!$H$3:$H$10000,$A117,Evaluations!$S$3:$S$10000,0)),2),""))</f>
        <v/>
      </c>
      <c r="J117" s="79" t="str">
        <f>IF($A117="","",IFERROR(ROUND(100*COUNTIFS(Evaluations!$H$3:$H$10000,$A117,Evaluations!$T$3:$T$10000,1)/(COUNTIFS(Evaluations!$H$3:$H$10000,$A117,Evaluations!$T$3:$T$10000,1)+COUNTIFS(Evaluations!$H$3:$H$10000,$A117,Evaluations!$T$3:$T$10000,0)),2),""))</f>
        <v/>
      </c>
      <c r="K117" s="79" t="str">
        <f>IF($A117="","",COUNTIFS(Evaluations!$H$3:$H$10000,$A117,Evaluations!$M$3:$M$10000,"عدم پاسخ"))</f>
        <v/>
      </c>
      <c r="L117" s="79" t="str">
        <f>IF($A117="","",COUNTIFS(Evaluations!$H$3:$H$10000,$A117,Evaluations!$O$3:$O$10000,"رعایت نشده"))</f>
        <v/>
      </c>
    </row>
    <row r="118">
      <c r="A118" s="79"/>
      <c r="B118" s="79" t="str">
        <f>IF($A118="","",COUNTIFS(Evaluations!$H$3:$H$10000,$A118,Evaluations!$U$3:$U$10000,"&gt;=0",Evaluations!$U$3:$U$10000,"&lt;=100"))</f>
        <v/>
      </c>
      <c r="C118" s="79" t="str">
        <f>IF($A118="","",COUNTIFS('Agent Report'!$B$4:$B$53,$A118,'Agent Report'!$C$4:$C$53,"&gt;0"))</f>
        <v/>
      </c>
      <c r="D118" s="79" t="str">
        <f>IF(OR($A118="",B118=0),"",ROUND(SUMIFS(Evaluations!$U$3:$U$10000,Evaluations!$H$3:$H$10000,$A118)/B118,2))</f>
        <v/>
      </c>
      <c r="E118" s="79" t="str">
        <f>IF($A118="","",COUNTIFS(Evaluations!$H$3:$H$10000,$A118,Evaluations!$M$3:$M$10000,"پاسخ داده شده"))</f>
        <v/>
      </c>
      <c r="F118" s="79" t="str">
        <f>IF($A118="","",IFERROR(COUNTIFS(Evaluations!$H$3:$H$10000,$A118,Evaluations!$O$3:$O$10000,"رعایت شده")/(COUNTIFS(Evaluations!$H$3:$H$10000,$A118,Evaluations!$O$3:$O$10000,"رعایت شده")+COUNTIFS(Evaluations!$H$3:$H$10000,$A118,Evaluations!$O$3:$O$10000,"رعایت نشده")),""))</f>
        <v/>
      </c>
      <c r="G118" s="79" t="str">
        <f>IF($A118="","",IFERROR(ROUND(100*COUNTIFS(Evaluations!$H$3:$H$10000,$A118,Evaluations!$Q$3:$Q$10000,1)/(COUNTIFS(Evaluations!$H$3:$H$10000,$A118,Evaluations!$Q$3:$Q$10000,1)+COUNTIFS(Evaluations!$H$3:$H$10000,$A118,Evaluations!$Q$3:$Q$10000,0)),2),""))</f>
        <v/>
      </c>
      <c r="H118" s="79" t="str">
        <f>IF($A118="","",IFERROR(ROUND(100*COUNTIFS(Evaluations!$H$3:$H$10000,$A118,Evaluations!$R$3:$R$10000,1)/(COUNTIFS(Evaluations!$H$3:$H$10000,$A118,Evaluations!$R$3:$R$10000,1)+COUNTIFS(Evaluations!$H$3:$H$10000,$A118,Evaluations!$R$3:$R$10000,0)),2),""))</f>
        <v/>
      </c>
      <c r="I118" s="79" t="str">
        <f>IF($A118="","",IFERROR(ROUND(100*COUNTIFS(Evaluations!$H$3:$H$10000,$A118,Evaluations!$S$3:$S$10000,1)/(COUNTIFS(Evaluations!$H$3:$H$10000,$A118,Evaluations!$S$3:$S$10000,1)+COUNTIFS(Evaluations!$H$3:$H$10000,$A118,Evaluations!$S$3:$S$10000,0)),2),""))</f>
        <v/>
      </c>
      <c r="J118" s="79" t="str">
        <f>IF($A118="","",IFERROR(ROUND(100*COUNTIFS(Evaluations!$H$3:$H$10000,$A118,Evaluations!$T$3:$T$10000,1)/(COUNTIFS(Evaluations!$H$3:$H$10000,$A118,Evaluations!$T$3:$T$10000,1)+COUNTIFS(Evaluations!$H$3:$H$10000,$A118,Evaluations!$T$3:$T$10000,0)),2),""))</f>
        <v/>
      </c>
      <c r="K118" s="79" t="str">
        <f>IF($A118="","",COUNTIFS(Evaluations!$H$3:$H$10000,$A118,Evaluations!$M$3:$M$10000,"عدم پاسخ"))</f>
        <v/>
      </c>
      <c r="L118" s="79" t="str">
        <f>IF($A118="","",COUNTIFS(Evaluations!$H$3:$H$10000,$A118,Evaluations!$O$3:$O$10000,"رعایت نشده"))</f>
        <v/>
      </c>
    </row>
    <row r="119">
      <c r="A119" s="79"/>
      <c r="B119" s="79" t="str">
        <f>IF($A119="","",COUNTIFS(Evaluations!$H$3:$H$10000,$A119,Evaluations!$U$3:$U$10000,"&gt;=0",Evaluations!$U$3:$U$10000,"&lt;=100"))</f>
        <v/>
      </c>
      <c r="C119" s="79" t="str">
        <f>IF($A119="","",COUNTIFS('Agent Report'!$B$4:$B$53,$A119,'Agent Report'!$C$4:$C$53,"&gt;0"))</f>
        <v/>
      </c>
      <c r="D119" s="79" t="str">
        <f>IF(OR($A119="",B119=0),"",ROUND(SUMIFS(Evaluations!$U$3:$U$10000,Evaluations!$H$3:$H$10000,$A119)/B119,2))</f>
        <v/>
      </c>
      <c r="E119" s="79" t="str">
        <f>IF($A119="","",COUNTIFS(Evaluations!$H$3:$H$10000,$A119,Evaluations!$M$3:$M$10000,"پاسخ داده شده"))</f>
        <v/>
      </c>
      <c r="F119" s="79" t="str">
        <f>IF($A119="","",IFERROR(COUNTIFS(Evaluations!$H$3:$H$10000,$A119,Evaluations!$O$3:$O$10000,"رعایت شده")/(COUNTIFS(Evaluations!$H$3:$H$10000,$A119,Evaluations!$O$3:$O$10000,"رعایت شده")+COUNTIFS(Evaluations!$H$3:$H$10000,$A119,Evaluations!$O$3:$O$10000,"رعایت نشده")),""))</f>
        <v/>
      </c>
      <c r="G119" s="79" t="str">
        <f>IF($A119="","",IFERROR(ROUND(100*COUNTIFS(Evaluations!$H$3:$H$10000,$A119,Evaluations!$Q$3:$Q$10000,1)/(COUNTIFS(Evaluations!$H$3:$H$10000,$A119,Evaluations!$Q$3:$Q$10000,1)+COUNTIFS(Evaluations!$H$3:$H$10000,$A119,Evaluations!$Q$3:$Q$10000,0)),2),""))</f>
        <v/>
      </c>
      <c r="H119" s="79" t="str">
        <f>IF($A119="","",IFERROR(ROUND(100*COUNTIFS(Evaluations!$H$3:$H$10000,$A119,Evaluations!$R$3:$R$10000,1)/(COUNTIFS(Evaluations!$H$3:$H$10000,$A119,Evaluations!$R$3:$R$10000,1)+COUNTIFS(Evaluations!$H$3:$H$10000,$A119,Evaluations!$R$3:$R$10000,0)),2),""))</f>
        <v/>
      </c>
      <c r="I119" s="79" t="str">
        <f>IF($A119="","",IFERROR(ROUND(100*COUNTIFS(Evaluations!$H$3:$H$10000,$A119,Evaluations!$S$3:$S$10000,1)/(COUNTIFS(Evaluations!$H$3:$H$10000,$A119,Evaluations!$S$3:$S$10000,1)+COUNTIFS(Evaluations!$H$3:$H$10000,$A119,Evaluations!$S$3:$S$10000,0)),2),""))</f>
        <v/>
      </c>
      <c r="J119" s="79" t="str">
        <f>IF($A119="","",IFERROR(ROUND(100*COUNTIFS(Evaluations!$H$3:$H$10000,$A119,Evaluations!$T$3:$T$10000,1)/(COUNTIFS(Evaluations!$H$3:$H$10000,$A119,Evaluations!$T$3:$T$10000,1)+COUNTIFS(Evaluations!$H$3:$H$10000,$A119,Evaluations!$T$3:$T$10000,0)),2),""))</f>
        <v/>
      </c>
      <c r="K119" s="79" t="str">
        <f>IF($A119="","",COUNTIFS(Evaluations!$H$3:$H$10000,$A119,Evaluations!$M$3:$M$10000,"عدم پاسخ"))</f>
        <v/>
      </c>
      <c r="L119" s="79" t="str">
        <f>IF($A119="","",COUNTIFS(Evaluations!$H$3:$H$10000,$A119,Evaluations!$O$3:$O$10000,"رعایت نشده"))</f>
        <v/>
      </c>
    </row>
    <row r="120">
      <c r="A120" s="79"/>
      <c r="B120" s="79" t="str">
        <f>IF($A120="","",COUNTIFS(Evaluations!$H$3:$H$10000,$A120,Evaluations!$U$3:$U$10000,"&gt;=0",Evaluations!$U$3:$U$10000,"&lt;=100"))</f>
        <v/>
      </c>
      <c r="C120" s="79" t="str">
        <f>IF($A120="","",COUNTIFS('Agent Report'!$B$4:$B$53,$A120,'Agent Report'!$C$4:$C$53,"&gt;0"))</f>
        <v/>
      </c>
      <c r="D120" s="79" t="str">
        <f>IF(OR($A120="",B120=0),"",ROUND(SUMIFS(Evaluations!$U$3:$U$10000,Evaluations!$H$3:$H$10000,$A120)/B120,2))</f>
        <v/>
      </c>
      <c r="E120" s="79" t="str">
        <f>IF($A120="","",COUNTIFS(Evaluations!$H$3:$H$10000,$A120,Evaluations!$M$3:$M$10000,"پاسخ داده شده"))</f>
        <v/>
      </c>
      <c r="F120" s="79" t="str">
        <f>IF($A120="","",IFERROR(COUNTIFS(Evaluations!$H$3:$H$10000,$A120,Evaluations!$O$3:$O$10000,"رعایت شده")/(COUNTIFS(Evaluations!$H$3:$H$10000,$A120,Evaluations!$O$3:$O$10000,"رعایت شده")+COUNTIFS(Evaluations!$H$3:$H$10000,$A120,Evaluations!$O$3:$O$10000,"رعایت نشده")),""))</f>
        <v/>
      </c>
      <c r="G120" s="79" t="str">
        <f>IF($A120="","",IFERROR(ROUND(100*COUNTIFS(Evaluations!$H$3:$H$10000,$A120,Evaluations!$Q$3:$Q$10000,1)/(COUNTIFS(Evaluations!$H$3:$H$10000,$A120,Evaluations!$Q$3:$Q$10000,1)+COUNTIFS(Evaluations!$H$3:$H$10000,$A120,Evaluations!$Q$3:$Q$10000,0)),2),""))</f>
        <v/>
      </c>
      <c r="H120" s="79" t="str">
        <f>IF($A120="","",IFERROR(ROUND(100*COUNTIFS(Evaluations!$H$3:$H$10000,$A120,Evaluations!$R$3:$R$10000,1)/(COUNTIFS(Evaluations!$H$3:$H$10000,$A120,Evaluations!$R$3:$R$10000,1)+COUNTIFS(Evaluations!$H$3:$H$10000,$A120,Evaluations!$R$3:$R$10000,0)),2),""))</f>
        <v/>
      </c>
      <c r="I120" s="79" t="str">
        <f>IF($A120="","",IFERROR(ROUND(100*COUNTIFS(Evaluations!$H$3:$H$10000,$A120,Evaluations!$S$3:$S$10000,1)/(COUNTIFS(Evaluations!$H$3:$H$10000,$A120,Evaluations!$S$3:$S$10000,1)+COUNTIFS(Evaluations!$H$3:$H$10000,$A120,Evaluations!$S$3:$S$10000,0)),2),""))</f>
        <v/>
      </c>
      <c r="J120" s="79" t="str">
        <f>IF($A120="","",IFERROR(ROUND(100*COUNTIFS(Evaluations!$H$3:$H$10000,$A120,Evaluations!$T$3:$T$10000,1)/(COUNTIFS(Evaluations!$H$3:$H$10000,$A120,Evaluations!$T$3:$T$10000,1)+COUNTIFS(Evaluations!$H$3:$H$10000,$A120,Evaluations!$T$3:$T$10000,0)),2),""))</f>
        <v/>
      </c>
      <c r="K120" s="79" t="str">
        <f>IF($A120="","",COUNTIFS(Evaluations!$H$3:$H$10000,$A120,Evaluations!$M$3:$M$10000,"عدم پاسخ"))</f>
        <v/>
      </c>
      <c r="L120" s="79" t="str">
        <f>IF($A120="","",COUNTIFS(Evaluations!$H$3:$H$10000,$A120,Evaluations!$O$3:$O$10000,"رعایت نشده"))</f>
        <v/>
      </c>
    </row>
    <row r="121">
      <c r="A121" s="79"/>
      <c r="B121" s="79" t="str">
        <f>IF($A121="","",COUNTIFS(Evaluations!$H$3:$H$10000,$A121,Evaluations!$U$3:$U$10000,"&gt;=0",Evaluations!$U$3:$U$10000,"&lt;=100"))</f>
        <v/>
      </c>
      <c r="C121" s="79" t="str">
        <f>IF($A121="","",COUNTIFS('Agent Report'!$B$4:$B$53,$A121,'Agent Report'!$C$4:$C$53,"&gt;0"))</f>
        <v/>
      </c>
      <c r="D121" s="79" t="str">
        <f>IF(OR($A121="",B121=0),"",ROUND(SUMIFS(Evaluations!$U$3:$U$10000,Evaluations!$H$3:$H$10000,$A121)/B121,2))</f>
        <v/>
      </c>
      <c r="E121" s="79" t="str">
        <f>IF($A121="","",COUNTIFS(Evaluations!$H$3:$H$10000,$A121,Evaluations!$M$3:$M$10000,"پاسخ داده شده"))</f>
        <v/>
      </c>
      <c r="F121" s="79" t="str">
        <f>IF($A121="","",IFERROR(COUNTIFS(Evaluations!$H$3:$H$10000,$A121,Evaluations!$O$3:$O$10000,"رعایت شده")/(COUNTIFS(Evaluations!$H$3:$H$10000,$A121,Evaluations!$O$3:$O$10000,"رعایت شده")+COUNTIFS(Evaluations!$H$3:$H$10000,$A121,Evaluations!$O$3:$O$10000,"رعایت نشده")),""))</f>
        <v/>
      </c>
      <c r="G121" s="79" t="str">
        <f>IF($A121="","",IFERROR(ROUND(100*COUNTIFS(Evaluations!$H$3:$H$10000,$A121,Evaluations!$Q$3:$Q$10000,1)/(COUNTIFS(Evaluations!$H$3:$H$10000,$A121,Evaluations!$Q$3:$Q$10000,1)+COUNTIFS(Evaluations!$H$3:$H$10000,$A121,Evaluations!$Q$3:$Q$10000,0)),2),""))</f>
        <v/>
      </c>
      <c r="H121" s="79" t="str">
        <f>IF($A121="","",IFERROR(ROUND(100*COUNTIFS(Evaluations!$H$3:$H$10000,$A121,Evaluations!$R$3:$R$10000,1)/(COUNTIFS(Evaluations!$H$3:$H$10000,$A121,Evaluations!$R$3:$R$10000,1)+COUNTIFS(Evaluations!$H$3:$H$10000,$A121,Evaluations!$R$3:$R$10000,0)),2),""))</f>
        <v/>
      </c>
      <c r="I121" s="79" t="str">
        <f>IF($A121="","",IFERROR(ROUND(100*COUNTIFS(Evaluations!$H$3:$H$10000,$A121,Evaluations!$S$3:$S$10000,1)/(COUNTIFS(Evaluations!$H$3:$H$10000,$A121,Evaluations!$S$3:$S$10000,1)+COUNTIFS(Evaluations!$H$3:$H$10000,$A121,Evaluations!$S$3:$S$10000,0)),2),""))</f>
        <v/>
      </c>
      <c r="J121" s="79" t="str">
        <f>IF($A121="","",IFERROR(ROUND(100*COUNTIFS(Evaluations!$H$3:$H$10000,$A121,Evaluations!$T$3:$T$10000,1)/(COUNTIFS(Evaluations!$H$3:$H$10000,$A121,Evaluations!$T$3:$T$10000,1)+COUNTIFS(Evaluations!$H$3:$H$10000,$A121,Evaluations!$T$3:$T$10000,0)),2),""))</f>
        <v/>
      </c>
      <c r="K121" s="79" t="str">
        <f>IF($A121="","",COUNTIFS(Evaluations!$H$3:$H$10000,$A121,Evaluations!$M$3:$M$10000,"عدم پاسخ"))</f>
        <v/>
      </c>
      <c r="L121" s="79" t="str">
        <f>IF($A121="","",COUNTIFS(Evaluations!$H$3:$H$10000,$A121,Evaluations!$O$3:$O$10000,"رعایت نشده"))</f>
        <v/>
      </c>
    </row>
    <row r="122">
      <c r="A122" s="79"/>
      <c r="B122" s="79" t="str">
        <f>IF($A122="","",COUNTIFS(Evaluations!$H$3:$H$10000,$A122,Evaluations!$U$3:$U$10000,"&gt;=0",Evaluations!$U$3:$U$10000,"&lt;=100"))</f>
        <v/>
      </c>
      <c r="C122" s="79" t="str">
        <f>IF($A122="","",COUNTIFS('Agent Report'!$B$4:$B$53,$A122,'Agent Report'!$C$4:$C$53,"&gt;0"))</f>
        <v/>
      </c>
      <c r="D122" s="79" t="str">
        <f>IF(OR($A122="",B122=0),"",ROUND(SUMIFS(Evaluations!$U$3:$U$10000,Evaluations!$H$3:$H$10000,$A122)/B122,2))</f>
        <v/>
      </c>
      <c r="E122" s="79" t="str">
        <f>IF($A122="","",COUNTIFS(Evaluations!$H$3:$H$10000,$A122,Evaluations!$M$3:$M$10000,"پاسخ داده شده"))</f>
        <v/>
      </c>
      <c r="F122" s="79" t="str">
        <f>IF($A122="","",IFERROR(COUNTIFS(Evaluations!$H$3:$H$10000,$A122,Evaluations!$O$3:$O$10000,"رعایت شده")/(COUNTIFS(Evaluations!$H$3:$H$10000,$A122,Evaluations!$O$3:$O$10000,"رعایت شده")+COUNTIFS(Evaluations!$H$3:$H$10000,$A122,Evaluations!$O$3:$O$10000,"رعایت نشده")),""))</f>
        <v/>
      </c>
      <c r="G122" s="79" t="str">
        <f>IF($A122="","",IFERROR(ROUND(100*COUNTIFS(Evaluations!$H$3:$H$10000,$A122,Evaluations!$Q$3:$Q$10000,1)/(COUNTIFS(Evaluations!$H$3:$H$10000,$A122,Evaluations!$Q$3:$Q$10000,1)+COUNTIFS(Evaluations!$H$3:$H$10000,$A122,Evaluations!$Q$3:$Q$10000,0)),2),""))</f>
        <v/>
      </c>
      <c r="H122" s="79" t="str">
        <f>IF($A122="","",IFERROR(ROUND(100*COUNTIFS(Evaluations!$H$3:$H$10000,$A122,Evaluations!$R$3:$R$10000,1)/(COUNTIFS(Evaluations!$H$3:$H$10000,$A122,Evaluations!$R$3:$R$10000,1)+COUNTIFS(Evaluations!$H$3:$H$10000,$A122,Evaluations!$R$3:$R$10000,0)),2),""))</f>
        <v/>
      </c>
      <c r="I122" s="79" t="str">
        <f>IF($A122="","",IFERROR(ROUND(100*COUNTIFS(Evaluations!$H$3:$H$10000,$A122,Evaluations!$S$3:$S$10000,1)/(COUNTIFS(Evaluations!$H$3:$H$10000,$A122,Evaluations!$S$3:$S$10000,1)+COUNTIFS(Evaluations!$H$3:$H$10000,$A122,Evaluations!$S$3:$S$10000,0)),2),""))</f>
        <v/>
      </c>
      <c r="J122" s="79" t="str">
        <f>IF($A122="","",IFERROR(ROUND(100*COUNTIFS(Evaluations!$H$3:$H$10000,$A122,Evaluations!$T$3:$T$10000,1)/(COUNTIFS(Evaluations!$H$3:$H$10000,$A122,Evaluations!$T$3:$T$10000,1)+COUNTIFS(Evaluations!$H$3:$H$10000,$A122,Evaluations!$T$3:$T$10000,0)),2),""))</f>
        <v/>
      </c>
      <c r="K122" s="79" t="str">
        <f>IF($A122="","",COUNTIFS(Evaluations!$H$3:$H$10000,$A122,Evaluations!$M$3:$M$10000,"عدم پاسخ"))</f>
        <v/>
      </c>
      <c r="L122" s="79" t="str">
        <f>IF($A122="","",COUNTIFS(Evaluations!$H$3:$H$10000,$A122,Evaluations!$O$3:$O$10000,"رعایت نشده"))</f>
        <v/>
      </c>
    </row>
    <row r="123">
      <c r="A123" s="79"/>
      <c r="B123" s="79" t="str">
        <f>IF($A123="","",COUNTIFS(Evaluations!$H$3:$H$10000,$A123,Evaluations!$U$3:$U$10000,"&gt;=0",Evaluations!$U$3:$U$10000,"&lt;=100"))</f>
        <v/>
      </c>
      <c r="C123" s="79" t="str">
        <f>IF($A123="","",COUNTIFS('Agent Report'!$B$4:$B$53,$A123,'Agent Report'!$C$4:$C$53,"&gt;0"))</f>
        <v/>
      </c>
      <c r="D123" s="79" t="str">
        <f>IF(OR($A123="",B123=0),"",ROUND(SUMIFS(Evaluations!$U$3:$U$10000,Evaluations!$H$3:$H$10000,$A123)/B123,2))</f>
        <v/>
      </c>
      <c r="E123" s="79" t="str">
        <f>IF($A123="","",COUNTIFS(Evaluations!$H$3:$H$10000,$A123,Evaluations!$M$3:$M$10000,"پاسخ داده شده"))</f>
        <v/>
      </c>
      <c r="F123" s="79" t="str">
        <f>IF($A123="","",IFERROR(COUNTIFS(Evaluations!$H$3:$H$10000,$A123,Evaluations!$O$3:$O$10000,"رعایت شده")/(COUNTIFS(Evaluations!$H$3:$H$10000,$A123,Evaluations!$O$3:$O$10000,"رعایت شده")+COUNTIFS(Evaluations!$H$3:$H$10000,$A123,Evaluations!$O$3:$O$10000,"رعایت نشده")),""))</f>
        <v/>
      </c>
      <c r="G123" s="79" t="str">
        <f>IF($A123="","",IFERROR(ROUND(100*COUNTIFS(Evaluations!$H$3:$H$10000,$A123,Evaluations!$Q$3:$Q$10000,1)/(COUNTIFS(Evaluations!$H$3:$H$10000,$A123,Evaluations!$Q$3:$Q$10000,1)+COUNTIFS(Evaluations!$H$3:$H$10000,$A123,Evaluations!$Q$3:$Q$10000,0)),2),""))</f>
        <v/>
      </c>
      <c r="H123" s="79" t="str">
        <f>IF($A123="","",IFERROR(ROUND(100*COUNTIFS(Evaluations!$H$3:$H$10000,$A123,Evaluations!$R$3:$R$10000,1)/(COUNTIFS(Evaluations!$H$3:$H$10000,$A123,Evaluations!$R$3:$R$10000,1)+COUNTIFS(Evaluations!$H$3:$H$10000,$A123,Evaluations!$R$3:$R$10000,0)),2),""))</f>
        <v/>
      </c>
      <c r="I123" s="79" t="str">
        <f>IF($A123="","",IFERROR(ROUND(100*COUNTIFS(Evaluations!$H$3:$H$10000,$A123,Evaluations!$S$3:$S$10000,1)/(COUNTIFS(Evaluations!$H$3:$H$10000,$A123,Evaluations!$S$3:$S$10000,1)+COUNTIFS(Evaluations!$H$3:$H$10000,$A123,Evaluations!$S$3:$S$10000,0)),2),""))</f>
        <v/>
      </c>
      <c r="J123" s="79" t="str">
        <f>IF($A123="","",IFERROR(ROUND(100*COUNTIFS(Evaluations!$H$3:$H$10000,$A123,Evaluations!$T$3:$T$10000,1)/(COUNTIFS(Evaluations!$H$3:$H$10000,$A123,Evaluations!$T$3:$T$10000,1)+COUNTIFS(Evaluations!$H$3:$H$10000,$A123,Evaluations!$T$3:$T$10000,0)),2),""))</f>
        <v/>
      </c>
      <c r="K123" s="79" t="str">
        <f>IF($A123="","",COUNTIFS(Evaluations!$H$3:$H$10000,$A123,Evaluations!$M$3:$M$10000,"عدم پاسخ"))</f>
        <v/>
      </c>
      <c r="L123" s="79" t="str">
        <f>IF($A123="","",COUNTIFS(Evaluations!$H$3:$H$10000,$A123,Evaluations!$O$3:$O$10000,"رعایت نشده"))</f>
        <v/>
      </c>
    </row>
    <row r="124">
      <c r="A124" s="79"/>
      <c r="B124" s="79" t="str">
        <f>IF($A124="","",COUNTIFS(Evaluations!$H$3:$H$10000,$A124,Evaluations!$U$3:$U$10000,"&gt;=0",Evaluations!$U$3:$U$10000,"&lt;=100"))</f>
        <v/>
      </c>
      <c r="C124" s="79" t="str">
        <f>IF($A124="","",COUNTIFS('Agent Report'!$B$4:$B$53,$A124,'Agent Report'!$C$4:$C$53,"&gt;0"))</f>
        <v/>
      </c>
      <c r="D124" s="79" t="str">
        <f>IF(OR($A124="",B124=0),"",ROUND(SUMIFS(Evaluations!$U$3:$U$10000,Evaluations!$H$3:$H$10000,$A124)/B124,2))</f>
        <v/>
      </c>
      <c r="E124" s="79" t="str">
        <f>IF($A124="","",COUNTIFS(Evaluations!$H$3:$H$10000,$A124,Evaluations!$M$3:$M$10000,"پاسخ داده شده"))</f>
        <v/>
      </c>
      <c r="F124" s="79" t="str">
        <f>IF($A124="","",IFERROR(COUNTIFS(Evaluations!$H$3:$H$10000,$A124,Evaluations!$O$3:$O$10000,"رعایت شده")/(COUNTIFS(Evaluations!$H$3:$H$10000,$A124,Evaluations!$O$3:$O$10000,"رعایت شده")+COUNTIFS(Evaluations!$H$3:$H$10000,$A124,Evaluations!$O$3:$O$10000,"رعایت نشده")),""))</f>
        <v/>
      </c>
      <c r="G124" s="79" t="str">
        <f>IF($A124="","",IFERROR(ROUND(100*COUNTIFS(Evaluations!$H$3:$H$10000,$A124,Evaluations!$Q$3:$Q$10000,1)/(COUNTIFS(Evaluations!$H$3:$H$10000,$A124,Evaluations!$Q$3:$Q$10000,1)+COUNTIFS(Evaluations!$H$3:$H$10000,$A124,Evaluations!$Q$3:$Q$10000,0)),2),""))</f>
        <v/>
      </c>
      <c r="H124" s="79" t="str">
        <f>IF($A124="","",IFERROR(ROUND(100*COUNTIFS(Evaluations!$H$3:$H$10000,$A124,Evaluations!$R$3:$R$10000,1)/(COUNTIFS(Evaluations!$H$3:$H$10000,$A124,Evaluations!$R$3:$R$10000,1)+COUNTIFS(Evaluations!$H$3:$H$10000,$A124,Evaluations!$R$3:$R$10000,0)),2),""))</f>
        <v/>
      </c>
      <c r="I124" s="79" t="str">
        <f>IF($A124="","",IFERROR(ROUND(100*COUNTIFS(Evaluations!$H$3:$H$10000,$A124,Evaluations!$S$3:$S$10000,1)/(COUNTIFS(Evaluations!$H$3:$H$10000,$A124,Evaluations!$S$3:$S$10000,1)+COUNTIFS(Evaluations!$H$3:$H$10000,$A124,Evaluations!$S$3:$S$10000,0)),2),""))</f>
        <v/>
      </c>
      <c r="J124" s="79" t="str">
        <f>IF($A124="","",IFERROR(ROUND(100*COUNTIFS(Evaluations!$H$3:$H$10000,$A124,Evaluations!$T$3:$T$10000,1)/(COUNTIFS(Evaluations!$H$3:$H$10000,$A124,Evaluations!$T$3:$T$10000,1)+COUNTIFS(Evaluations!$H$3:$H$10000,$A124,Evaluations!$T$3:$T$10000,0)),2),""))</f>
        <v/>
      </c>
      <c r="K124" s="79" t="str">
        <f>IF($A124="","",COUNTIFS(Evaluations!$H$3:$H$10000,$A124,Evaluations!$M$3:$M$10000,"عدم پاسخ"))</f>
        <v/>
      </c>
      <c r="L124" s="79" t="str">
        <f>IF($A124="","",COUNTIFS(Evaluations!$H$3:$H$10000,$A124,Evaluations!$O$3:$O$10000,"رعایت نشده"))</f>
        <v/>
      </c>
    </row>
    <row r="125">
      <c r="A125" s="79"/>
      <c r="B125" s="79" t="str">
        <f>IF($A125="","",COUNTIFS(Evaluations!$H$3:$H$10000,$A125,Evaluations!$U$3:$U$10000,"&gt;=0",Evaluations!$U$3:$U$10000,"&lt;=100"))</f>
        <v/>
      </c>
      <c r="C125" s="79" t="str">
        <f>IF($A125="","",COUNTIFS('Agent Report'!$B$4:$B$53,$A125,'Agent Report'!$C$4:$C$53,"&gt;0"))</f>
        <v/>
      </c>
      <c r="D125" s="79" t="str">
        <f>IF(OR($A125="",B125=0),"",ROUND(SUMIFS(Evaluations!$U$3:$U$10000,Evaluations!$H$3:$H$10000,$A125)/B125,2))</f>
        <v/>
      </c>
      <c r="E125" s="79" t="str">
        <f>IF($A125="","",COUNTIFS(Evaluations!$H$3:$H$10000,$A125,Evaluations!$M$3:$M$10000,"پاسخ داده شده"))</f>
        <v/>
      </c>
      <c r="F125" s="79" t="str">
        <f>IF($A125="","",IFERROR(COUNTIFS(Evaluations!$H$3:$H$10000,$A125,Evaluations!$O$3:$O$10000,"رعایت شده")/(COUNTIFS(Evaluations!$H$3:$H$10000,$A125,Evaluations!$O$3:$O$10000,"رعایت شده")+COUNTIFS(Evaluations!$H$3:$H$10000,$A125,Evaluations!$O$3:$O$10000,"رعایت نشده")),""))</f>
        <v/>
      </c>
      <c r="G125" s="79" t="str">
        <f>IF($A125="","",IFERROR(ROUND(100*COUNTIFS(Evaluations!$H$3:$H$10000,$A125,Evaluations!$Q$3:$Q$10000,1)/(COUNTIFS(Evaluations!$H$3:$H$10000,$A125,Evaluations!$Q$3:$Q$10000,1)+COUNTIFS(Evaluations!$H$3:$H$10000,$A125,Evaluations!$Q$3:$Q$10000,0)),2),""))</f>
        <v/>
      </c>
      <c r="H125" s="79" t="str">
        <f>IF($A125="","",IFERROR(ROUND(100*COUNTIFS(Evaluations!$H$3:$H$10000,$A125,Evaluations!$R$3:$R$10000,1)/(COUNTIFS(Evaluations!$H$3:$H$10000,$A125,Evaluations!$R$3:$R$10000,1)+COUNTIFS(Evaluations!$H$3:$H$10000,$A125,Evaluations!$R$3:$R$10000,0)),2),""))</f>
        <v/>
      </c>
      <c r="I125" s="79" t="str">
        <f>IF($A125="","",IFERROR(ROUND(100*COUNTIFS(Evaluations!$H$3:$H$10000,$A125,Evaluations!$S$3:$S$10000,1)/(COUNTIFS(Evaluations!$H$3:$H$10000,$A125,Evaluations!$S$3:$S$10000,1)+COUNTIFS(Evaluations!$H$3:$H$10000,$A125,Evaluations!$S$3:$S$10000,0)),2),""))</f>
        <v/>
      </c>
      <c r="J125" s="79" t="str">
        <f>IF($A125="","",IFERROR(ROUND(100*COUNTIFS(Evaluations!$H$3:$H$10000,$A125,Evaluations!$T$3:$T$10000,1)/(COUNTIFS(Evaluations!$H$3:$H$10000,$A125,Evaluations!$T$3:$T$10000,1)+COUNTIFS(Evaluations!$H$3:$H$10000,$A125,Evaluations!$T$3:$T$10000,0)),2),""))</f>
        <v/>
      </c>
      <c r="K125" s="79" t="str">
        <f>IF($A125="","",COUNTIFS(Evaluations!$H$3:$H$10000,$A125,Evaluations!$M$3:$M$10000,"عدم پاسخ"))</f>
        <v/>
      </c>
      <c r="L125" s="79" t="str">
        <f>IF($A125="","",COUNTIFS(Evaluations!$H$3:$H$10000,$A125,Evaluations!$O$3:$O$10000,"رعایت نشده"))</f>
        <v/>
      </c>
    </row>
    <row r="126">
      <c r="A126" s="79"/>
      <c r="B126" s="79" t="str">
        <f>IF($A126="","",COUNTIFS(Evaluations!$H$3:$H$10000,$A126,Evaluations!$U$3:$U$10000,"&gt;=0",Evaluations!$U$3:$U$10000,"&lt;=100"))</f>
        <v/>
      </c>
      <c r="C126" s="79" t="str">
        <f>IF($A126="","",COUNTIFS('Agent Report'!$B$4:$B$53,$A126,'Agent Report'!$C$4:$C$53,"&gt;0"))</f>
        <v/>
      </c>
      <c r="D126" s="79" t="str">
        <f>IF(OR($A126="",B126=0),"",ROUND(SUMIFS(Evaluations!$U$3:$U$10000,Evaluations!$H$3:$H$10000,$A126)/B126,2))</f>
        <v/>
      </c>
      <c r="E126" s="79" t="str">
        <f>IF($A126="","",COUNTIFS(Evaluations!$H$3:$H$10000,$A126,Evaluations!$M$3:$M$10000,"پاسخ داده شده"))</f>
        <v/>
      </c>
      <c r="F126" s="79" t="str">
        <f>IF($A126="","",IFERROR(COUNTIFS(Evaluations!$H$3:$H$10000,$A126,Evaluations!$O$3:$O$10000,"رعایت شده")/(COUNTIFS(Evaluations!$H$3:$H$10000,$A126,Evaluations!$O$3:$O$10000,"رعایت شده")+COUNTIFS(Evaluations!$H$3:$H$10000,$A126,Evaluations!$O$3:$O$10000,"رعایت نشده")),""))</f>
        <v/>
      </c>
      <c r="G126" s="79" t="str">
        <f>IF($A126="","",IFERROR(ROUND(100*COUNTIFS(Evaluations!$H$3:$H$10000,$A126,Evaluations!$Q$3:$Q$10000,1)/(COUNTIFS(Evaluations!$H$3:$H$10000,$A126,Evaluations!$Q$3:$Q$10000,1)+COUNTIFS(Evaluations!$H$3:$H$10000,$A126,Evaluations!$Q$3:$Q$10000,0)),2),""))</f>
        <v/>
      </c>
      <c r="H126" s="79" t="str">
        <f>IF($A126="","",IFERROR(ROUND(100*COUNTIFS(Evaluations!$H$3:$H$10000,$A126,Evaluations!$R$3:$R$10000,1)/(COUNTIFS(Evaluations!$H$3:$H$10000,$A126,Evaluations!$R$3:$R$10000,1)+COUNTIFS(Evaluations!$H$3:$H$10000,$A126,Evaluations!$R$3:$R$10000,0)),2),""))</f>
        <v/>
      </c>
      <c r="I126" s="79" t="str">
        <f>IF($A126="","",IFERROR(ROUND(100*COUNTIFS(Evaluations!$H$3:$H$10000,$A126,Evaluations!$S$3:$S$10000,1)/(COUNTIFS(Evaluations!$H$3:$H$10000,$A126,Evaluations!$S$3:$S$10000,1)+COUNTIFS(Evaluations!$H$3:$H$10000,$A126,Evaluations!$S$3:$S$10000,0)),2),""))</f>
        <v/>
      </c>
      <c r="J126" s="79" t="str">
        <f>IF($A126="","",IFERROR(ROUND(100*COUNTIFS(Evaluations!$H$3:$H$10000,$A126,Evaluations!$T$3:$T$10000,1)/(COUNTIFS(Evaluations!$H$3:$H$10000,$A126,Evaluations!$T$3:$T$10000,1)+COUNTIFS(Evaluations!$H$3:$H$10000,$A126,Evaluations!$T$3:$T$10000,0)),2),""))</f>
        <v/>
      </c>
      <c r="K126" s="79" t="str">
        <f>IF($A126="","",COUNTIFS(Evaluations!$H$3:$H$10000,$A126,Evaluations!$M$3:$M$10000,"عدم پاسخ"))</f>
        <v/>
      </c>
      <c r="L126" s="79" t="str">
        <f>IF($A126="","",COUNTIFS(Evaluations!$H$3:$H$10000,$A126,Evaluations!$O$3:$O$10000,"رعایت نشده"))</f>
        <v/>
      </c>
    </row>
    <row r="127">
      <c r="A127" s="79"/>
      <c r="B127" s="79" t="str">
        <f>IF($A127="","",COUNTIFS(Evaluations!$H$3:$H$10000,$A127,Evaluations!$U$3:$U$10000,"&gt;=0",Evaluations!$U$3:$U$10000,"&lt;=100"))</f>
        <v/>
      </c>
      <c r="C127" s="79" t="str">
        <f>IF($A127="","",COUNTIFS('Agent Report'!$B$4:$B$53,$A127,'Agent Report'!$C$4:$C$53,"&gt;0"))</f>
        <v/>
      </c>
      <c r="D127" s="79" t="str">
        <f>IF(OR($A127="",B127=0),"",ROUND(SUMIFS(Evaluations!$U$3:$U$10000,Evaluations!$H$3:$H$10000,$A127)/B127,2))</f>
        <v/>
      </c>
      <c r="E127" s="79" t="str">
        <f>IF($A127="","",COUNTIFS(Evaluations!$H$3:$H$10000,$A127,Evaluations!$M$3:$M$10000,"پاسخ داده شده"))</f>
        <v/>
      </c>
      <c r="F127" s="79" t="str">
        <f>IF($A127="","",IFERROR(COUNTIFS(Evaluations!$H$3:$H$10000,$A127,Evaluations!$O$3:$O$10000,"رعایت شده")/(COUNTIFS(Evaluations!$H$3:$H$10000,$A127,Evaluations!$O$3:$O$10000,"رعایت شده")+COUNTIFS(Evaluations!$H$3:$H$10000,$A127,Evaluations!$O$3:$O$10000,"رعایت نشده")),""))</f>
        <v/>
      </c>
      <c r="G127" s="79" t="str">
        <f>IF($A127="","",IFERROR(ROUND(100*COUNTIFS(Evaluations!$H$3:$H$10000,$A127,Evaluations!$Q$3:$Q$10000,1)/(COUNTIFS(Evaluations!$H$3:$H$10000,$A127,Evaluations!$Q$3:$Q$10000,1)+COUNTIFS(Evaluations!$H$3:$H$10000,$A127,Evaluations!$Q$3:$Q$10000,0)),2),""))</f>
        <v/>
      </c>
      <c r="H127" s="79" t="str">
        <f>IF($A127="","",IFERROR(ROUND(100*COUNTIFS(Evaluations!$H$3:$H$10000,$A127,Evaluations!$R$3:$R$10000,1)/(COUNTIFS(Evaluations!$H$3:$H$10000,$A127,Evaluations!$R$3:$R$10000,1)+COUNTIFS(Evaluations!$H$3:$H$10000,$A127,Evaluations!$R$3:$R$10000,0)),2),""))</f>
        <v/>
      </c>
      <c r="I127" s="79" t="str">
        <f>IF($A127="","",IFERROR(ROUND(100*COUNTIFS(Evaluations!$H$3:$H$10000,$A127,Evaluations!$S$3:$S$10000,1)/(COUNTIFS(Evaluations!$H$3:$H$10000,$A127,Evaluations!$S$3:$S$10000,1)+COUNTIFS(Evaluations!$H$3:$H$10000,$A127,Evaluations!$S$3:$S$10000,0)),2),""))</f>
        <v/>
      </c>
      <c r="J127" s="79" t="str">
        <f>IF($A127="","",IFERROR(ROUND(100*COUNTIFS(Evaluations!$H$3:$H$10000,$A127,Evaluations!$T$3:$T$10000,1)/(COUNTIFS(Evaluations!$H$3:$H$10000,$A127,Evaluations!$T$3:$T$10000,1)+COUNTIFS(Evaluations!$H$3:$H$10000,$A127,Evaluations!$T$3:$T$10000,0)),2),""))</f>
        <v/>
      </c>
      <c r="K127" s="79" t="str">
        <f>IF($A127="","",COUNTIFS(Evaluations!$H$3:$H$10000,$A127,Evaluations!$M$3:$M$10000,"عدم پاسخ"))</f>
        <v/>
      </c>
      <c r="L127" s="79" t="str">
        <f>IF($A127="","",COUNTIFS(Evaluations!$H$3:$H$10000,$A127,Evaluations!$O$3:$O$10000,"رعایت نشده"))</f>
        <v/>
      </c>
    </row>
    <row r="128">
      <c r="A128" s="79"/>
      <c r="B128" s="79" t="str">
        <f>IF($A128="","",COUNTIFS(Evaluations!$H$3:$H$10000,$A128,Evaluations!$U$3:$U$10000,"&gt;=0",Evaluations!$U$3:$U$10000,"&lt;=100"))</f>
        <v/>
      </c>
      <c r="C128" s="79" t="str">
        <f>IF($A128="","",COUNTIFS('Agent Report'!$B$4:$B$53,$A128,'Agent Report'!$C$4:$C$53,"&gt;0"))</f>
        <v/>
      </c>
      <c r="D128" s="79" t="str">
        <f>IF(OR($A128="",B128=0),"",ROUND(SUMIFS(Evaluations!$U$3:$U$10000,Evaluations!$H$3:$H$10000,$A128)/B128,2))</f>
        <v/>
      </c>
      <c r="E128" s="79" t="str">
        <f>IF($A128="","",COUNTIFS(Evaluations!$H$3:$H$10000,$A128,Evaluations!$M$3:$M$10000,"پاسخ داده شده"))</f>
        <v/>
      </c>
      <c r="F128" s="79" t="str">
        <f>IF($A128="","",IFERROR(COUNTIFS(Evaluations!$H$3:$H$10000,$A128,Evaluations!$O$3:$O$10000,"رعایت شده")/(COUNTIFS(Evaluations!$H$3:$H$10000,$A128,Evaluations!$O$3:$O$10000,"رعایت شده")+COUNTIFS(Evaluations!$H$3:$H$10000,$A128,Evaluations!$O$3:$O$10000,"رعایت نشده")),""))</f>
        <v/>
      </c>
      <c r="G128" s="79" t="str">
        <f>IF($A128="","",IFERROR(ROUND(100*COUNTIFS(Evaluations!$H$3:$H$10000,$A128,Evaluations!$Q$3:$Q$10000,1)/(COUNTIFS(Evaluations!$H$3:$H$10000,$A128,Evaluations!$Q$3:$Q$10000,1)+COUNTIFS(Evaluations!$H$3:$H$10000,$A128,Evaluations!$Q$3:$Q$10000,0)),2),""))</f>
        <v/>
      </c>
      <c r="H128" s="79" t="str">
        <f>IF($A128="","",IFERROR(ROUND(100*COUNTIFS(Evaluations!$H$3:$H$10000,$A128,Evaluations!$R$3:$R$10000,1)/(COUNTIFS(Evaluations!$H$3:$H$10000,$A128,Evaluations!$R$3:$R$10000,1)+COUNTIFS(Evaluations!$H$3:$H$10000,$A128,Evaluations!$R$3:$R$10000,0)),2),""))</f>
        <v/>
      </c>
      <c r="I128" s="79" t="str">
        <f>IF($A128="","",IFERROR(ROUND(100*COUNTIFS(Evaluations!$H$3:$H$10000,$A128,Evaluations!$S$3:$S$10000,1)/(COUNTIFS(Evaluations!$H$3:$H$10000,$A128,Evaluations!$S$3:$S$10000,1)+COUNTIFS(Evaluations!$H$3:$H$10000,$A128,Evaluations!$S$3:$S$10000,0)),2),""))</f>
        <v/>
      </c>
      <c r="J128" s="79" t="str">
        <f>IF($A128="","",IFERROR(ROUND(100*COUNTIFS(Evaluations!$H$3:$H$10000,$A128,Evaluations!$T$3:$T$10000,1)/(COUNTIFS(Evaluations!$H$3:$H$10000,$A128,Evaluations!$T$3:$T$10000,1)+COUNTIFS(Evaluations!$H$3:$H$10000,$A128,Evaluations!$T$3:$T$10000,0)),2),""))</f>
        <v/>
      </c>
      <c r="K128" s="79" t="str">
        <f>IF($A128="","",COUNTIFS(Evaluations!$H$3:$H$10000,$A128,Evaluations!$M$3:$M$10000,"عدم پاسخ"))</f>
        <v/>
      </c>
      <c r="L128" s="79" t="str">
        <f>IF($A128="","",COUNTIFS(Evaluations!$H$3:$H$10000,$A128,Evaluations!$O$3:$O$10000,"رعایت نشده"))</f>
        <v/>
      </c>
    </row>
    <row r="129">
      <c r="A129" s="79"/>
      <c r="B129" s="79" t="str">
        <f>IF($A129="","",COUNTIFS(Evaluations!$H$3:$H$10000,$A129,Evaluations!$U$3:$U$10000,"&gt;=0",Evaluations!$U$3:$U$10000,"&lt;=100"))</f>
        <v/>
      </c>
      <c r="C129" s="79" t="str">
        <f>IF($A129="","",COUNTIFS('Agent Report'!$B$4:$B$53,$A129,'Agent Report'!$C$4:$C$53,"&gt;0"))</f>
        <v/>
      </c>
      <c r="D129" s="79" t="str">
        <f>IF(OR($A129="",B129=0),"",ROUND(SUMIFS(Evaluations!$U$3:$U$10000,Evaluations!$H$3:$H$10000,$A129)/B129,2))</f>
        <v/>
      </c>
      <c r="E129" s="79" t="str">
        <f>IF($A129="","",COUNTIFS(Evaluations!$H$3:$H$10000,$A129,Evaluations!$M$3:$M$10000,"پاسخ داده شده"))</f>
        <v/>
      </c>
      <c r="F129" s="79" t="str">
        <f>IF($A129="","",IFERROR(COUNTIFS(Evaluations!$H$3:$H$10000,$A129,Evaluations!$O$3:$O$10000,"رعایت شده")/(COUNTIFS(Evaluations!$H$3:$H$10000,$A129,Evaluations!$O$3:$O$10000,"رعایت شده")+COUNTIFS(Evaluations!$H$3:$H$10000,$A129,Evaluations!$O$3:$O$10000,"رعایت نشده")),""))</f>
        <v/>
      </c>
      <c r="G129" s="79" t="str">
        <f>IF($A129="","",IFERROR(ROUND(100*COUNTIFS(Evaluations!$H$3:$H$10000,$A129,Evaluations!$Q$3:$Q$10000,1)/(COUNTIFS(Evaluations!$H$3:$H$10000,$A129,Evaluations!$Q$3:$Q$10000,1)+COUNTIFS(Evaluations!$H$3:$H$10000,$A129,Evaluations!$Q$3:$Q$10000,0)),2),""))</f>
        <v/>
      </c>
      <c r="H129" s="79" t="str">
        <f>IF($A129="","",IFERROR(ROUND(100*COUNTIFS(Evaluations!$H$3:$H$10000,$A129,Evaluations!$R$3:$R$10000,1)/(COUNTIFS(Evaluations!$H$3:$H$10000,$A129,Evaluations!$R$3:$R$10000,1)+COUNTIFS(Evaluations!$H$3:$H$10000,$A129,Evaluations!$R$3:$R$10000,0)),2),""))</f>
        <v/>
      </c>
      <c r="I129" s="79" t="str">
        <f>IF($A129="","",IFERROR(ROUND(100*COUNTIFS(Evaluations!$H$3:$H$10000,$A129,Evaluations!$S$3:$S$10000,1)/(COUNTIFS(Evaluations!$H$3:$H$10000,$A129,Evaluations!$S$3:$S$10000,1)+COUNTIFS(Evaluations!$H$3:$H$10000,$A129,Evaluations!$S$3:$S$10000,0)),2),""))</f>
        <v/>
      </c>
      <c r="J129" s="79" t="str">
        <f>IF($A129="","",IFERROR(ROUND(100*COUNTIFS(Evaluations!$H$3:$H$10000,$A129,Evaluations!$T$3:$T$10000,1)/(COUNTIFS(Evaluations!$H$3:$H$10000,$A129,Evaluations!$T$3:$T$10000,1)+COUNTIFS(Evaluations!$H$3:$H$10000,$A129,Evaluations!$T$3:$T$10000,0)),2),""))</f>
        <v/>
      </c>
      <c r="K129" s="79" t="str">
        <f>IF($A129="","",COUNTIFS(Evaluations!$H$3:$H$10000,$A129,Evaluations!$M$3:$M$10000,"عدم پاسخ"))</f>
        <v/>
      </c>
      <c r="L129" s="79" t="str">
        <f>IF($A129="","",COUNTIFS(Evaluations!$H$3:$H$10000,$A129,Evaluations!$O$3:$O$10000,"رعایت نشده"))</f>
        <v/>
      </c>
    </row>
    <row r="130">
      <c r="A130" s="79"/>
      <c r="B130" s="79" t="str">
        <f>IF($A130="","",COUNTIFS(Evaluations!$H$3:$H$10000,$A130,Evaluations!$U$3:$U$10000,"&gt;=0",Evaluations!$U$3:$U$10000,"&lt;=100"))</f>
        <v/>
      </c>
      <c r="C130" s="79" t="str">
        <f>IF($A130="","",COUNTIFS('Agent Report'!$B$4:$B$53,$A130,'Agent Report'!$C$4:$C$53,"&gt;0"))</f>
        <v/>
      </c>
      <c r="D130" s="79" t="str">
        <f>IF(OR($A130="",B130=0),"",ROUND(SUMIFS(Evaluations!$U$3:$U$10000,Evaluations!$H$3:$H$10000,$A130)/B130,2))</f>
        <v/>
      </c>
      <c r="E130" s="79" t="str">
        <f>IF($A130="","",COUNTIFS(Evaluations!$H$3:$H$10000,$A130,Evaluations!$M$3:$M$10000,"پاسخ داده شده"))</f>
        <v/>
      </c>
      <c r="F130" s="79" t="str">
        <f>IF($A130="","",IFERROR(COUNTIFS(Evaluations!$H$3:$H$10000,$A130,Evaluations!$O$3:$O$10000,"رعایت شده")/(COUNTIFS(Evaluations!$H$3:$H$10000,$A130,Evaluations!$O$3:$O$10000,"رعایت شده")+COUNTIFS(Evaluations!$H$3:$H$10000,$A130,Evaluations!$O$3:$O$10000,"رعایت نشده")),""))</f>
        <v/>
      </c>
      <c r="G130" s="79" t="str">
        <f>IF($A130="","",IFERROR(ROUND(100*COUNTIFS(Evaluations!$H$3:$H$10000,$A130,Evaluations!$Q$3:$Q$10000,1)/(COUNTIFS(Evaluations!$H$3:$H$10000,$A130,Evaluations!$Q$3:$Q$10000,1)+COUNTIFS(Evaluations!$H$3:$H$10000,$A130,Evaluations!$Q$3:$Q$10000,0)),2),""))</f>
        <v/>
      </c>
      <c r="H130" s="79" t="str">
        <f>IF($A130="","",IFERROR(ROUND(100*COUNTIFS(Evaluations!$H$3:$H$10000,$A130,Evaluations!$R$3:$R$10000,1)/(COUNTIFS(Evaluations!$H$3:$H$10000,$A130,Evaluations!$R$3:$R$10000,1)+COUNTIFS(Evaluations!$H$3:$H$10000,$A130,Evaluations!$R$3:$R$10000,0)),2),""))</f>
        <v/>
      </c>
      <c r="I130" s="79" t="str">
        <f>IF($A130="","",IFERROR(ROUND(100*COUNTIFS(Evaluations!$H$3:$H$10000,$A130,Evaluations!$S$3:$S$10000,1)/(COUNTIFS(Evaluations!$H$3:$H$10000,$A130,Evaluations!$S$3:$S$10000,1)+COUNTIFS(Evaluations!$H$3:$H$10000,$A130,Evaluations!$S$3:$S$10000,0)),2),""))</f>
        <v/>
      </c>
      <c r="J130" s="79" t="str">
        <f>IF($A130="","",IFERROR(ROUND(100*COUNTIFS(Evaluations!$H$3:$H$10000,$A130,Evaluations!$T$3:$T$10000,1)/(COUNTIFS(Evaluations!$H$3:$H$10000,$A130,Evaluations!$T$3:$T$10000,1)+COUNTIFS(Evaluations!$H$3:$H$10000,$A130,Evaluations!$T$3:$T$10000,0)),2),""))</f>
        <v/>
      </c>
      <c r="K130" s="79" t="str">
        <f>IF($A130="","",COUNTIFS(Evaluations!$H$3:$H$10000,$A130,Evaluations!$M$3:$M$10000,"عدم پاسخ"))</f>
        <v/>
      </c>
      <c r="L130" s="79" t="str">
        <f>IF($A130="","",COUNTIFS(Evaluations!$H$3:$H$10000,$A130,Evaluations!$O$3:$O$10000,"رعایت نشده"))</f>
        <v/>
      </c>
    </row>
    <row r="131">
      <c r="A131" s="79"/>
      <c r="B131" s="79" t="str">
        <f>IF($A131="","",COUNTIFS(Evaluations!$H$3:$H$10000,$A131,Evaluations!$U$3:$U$10000,"&gt;=0",Evaluations!$U$3:$U$10000,"&lt;=100"))</f>
        <v/>
      </c>
      <c r="C131" s="79" t="str">
        <f>IF($A131="","",COUNTIFS('Agent Report'!$B$4:$B$53,$A131,'Agent Report'!$C$4:$C$53,"&gt;0"))</f>
        <v/>
      </c>
      <c r="D131" s="79" t="str">
        <f>IF(OR($A131="",B131=0),"",ROUND(SUMIFS(Evaluations!$U$3:$U$10000,Evaluations!$H$3:$H$10000,$A131)/B131,2))</f>
        <v/>
      </c>
      <c r="E131" s="79" t="str">
        <f>IF($A131="","",COUNTIFS(Evaluations!$H$3:$H$10000,$A131,Evaluations!$M$3:$M$10000,"پاسخ داده شده"))</f>
        <v/>
      </c>
      <c r="F131" s="79" t="str">
        <f>IF($A131="","",IFERROR(COUNTIFS(Evaluations!$H$3:$H$10000,$A131,Evaluations!$O$3:$O$10000,"رعایت شده")/(COUNTIFS(Evaluations!$H$3:$H$10000,$A131,Evaluations!$O$3:$O$10000,"رعایت شده")+COUNTIFS(Evaluations!$H$3:$H$10000,$A131,Evaluations!$O$3:$O$10000,"رعایت نشده")),""))</f>
        <v/>
      </c>
      <c r="G131" s="79" t="str">
        <f>IF($A131="","",IFERROR(ROUND(100*COUNTIFS(Evaluations!$H$3:$H$10000,$A131,Evaluations!$Q$3:$Q$10000,1)/(COUNTIFS(Evaluations!$H$3:$H$10000,$A131,Evaluations!$Q$3:$Q$10000,1)+COUNTIFS(Evaluations!$H$3:$H$10000,$A131,Evaluations!$Q$3:$Q$10000,0)),2),""))</f>
        <v/>
      </c>
      <c r="H131" s="79" t="str">
        <f>IF($A131="","",IFERROR(ROUND(100*COUNTIFS(Evaluations!$H$3:$H$10000,$A131,Evaluations!$R$3:$R$10000,1)/(COUNTIFS(Evaluations!$H$3:$H$10000,$A131,Evaluations!$R$3:$R$10000,1)+COUNTIFS(Evaluations!$H$3:$H$10000,$A131,Evaluations!$R$3:$R$10000,0)),2),""))</f>
        <v/>
      </c>
      <c r="I131" s="79" t="str">
        <f>IF($A131="","",IFERROR(ROUND(100*COUNTIFS(Evaluations!$H$3:$H$10000,$A131,Evaluations!$S$3:$S$10000,1)/(COUNTIFS(Evaluations!$H$3:$H$10000,$A131,Evaluations!$S$3:$S$10000,1)+COUNTIFS(Evaluations!$H$3:$H$10000,$A131,Evaluations!$S$3:$S$10000,0)),2),""))</f>
        <v/>
      </c>
      <c r="J131" s="79" t="str">
        <f>IF($A131="","",IFERROR(ROUND(100*COUNTIFS(Evaluations!$H$3:$H$10000,$A131,Evaluations!$T$3:$T$10000,1)/(COUNTIFS(Evaluations!$H$3:$H$10000,$A131,Evaluations!$T$3:$T$10000,1)+COUNTIFS(Evaluations!$H$3:$H$10000,$A131,Evaluations!$T$3:$T$10000,0)),2),""))</f>
        <v/>
      </c>
      <c r="K131" s="79" t="str">
        <f>IF($A131="","",COUNTIFS(Evaluations!$H$3:$H$10000,$A131,Evaluations!$M$3:$M$10000,"عدم پاسخ"))</f>
        <v/>
      </c>
      <c r="L131" s="79" t="str">
        <f>IF($A131="","",COUNTIFS(Evaluations!$H$3:$H$10000,$A131,Evaluations!$O$3:$O$10000,"رعایت نشده"))</f>
        <v/>
      </c>
    </row>
    <row r="132">
      <c r="A132" s="79"/>
      <c r="B132" s="79" t="str">
        <f>IF($A132="","",COUNTIFS(Evaluations!$H$3:$H$10000,$A132,Evaluations!$U$3:$U$10000,"&gt;=0",Evaluations!$U$3:$U$10000,"&lt;=100"))</f>
        <v/>
      </c>
      <c r="C132" s="79" t="str">
        <f>IF($A132="","",COUNTIFS('Agent Report'!$B$4:$B$53,$A132,'Agent Report'!$C$4:$C$53,"&gt;0"))</f>
        <v/>
      </c>
      <c r="D132" s="79" t="str">
        <f>IF(OR($A132="",B132=0),"",ROUND(SUMIFS(Evaluations!$U$3:$U$10000,Evaluations!$H$3:$H$10000,$A132)/B132,2))</f>
        <v/>
      </c>
      <c r="E132" s="79" t="str">
        <f>IF($A132="","",COUNTIFS(Evaluations!$H$3:$H$10000,$A132,Evaluations!$M$3:$M$10000,"پاسخ داده شده"))</f>
        <v/>
      </c>
      <c r="F132" s="79" t="str">
        <f>IF($A132="","",IFERROR(COUNTIFS(Evaluations!$H$3:$H$10000,$A132,Evaluations!$O$3:$O$10000,"رعایت شده")/(COUNTIFS(Evaluations!$H$3:$H$10000,$A132,Evaluations!$O$3:$O$10000,"رعایت شده")+COUNTIFS(Evaluations!$H$3:$H$10000,$A132,Evaluations!$O$3:$O$10000,"رعایت نشده")),""))</f>
        <v/>
      </c>
      <c r="G132" s="79" t="str">
        <f>IF($A132="","",IFERROR(ROUND(100*COUNTIFS(Evaluations!$H$3:$H$10000,$A132,Evaluations!$Q$3:$Q$10000,1)/(COUNTIFS(Evaluations!$H$3:$H$10000,$A132,Evaluations!$Q$3:$Q$10000,1)+COUNTIFS(Evaluations!$H$3:$H$10000,$A132,Evaluations!$Q$3:$Q$10000,0)),2),""))</f>
        <v/>
      </c>
      <c r="H132" s="79" t="str">
        <f>IF($A132="","",IFERROR(ROUND(100*COUNTIFS(Evaluations!$H$3:$H$10000,$A132,Evaluations!$R$3:$R$10000,1)/(COUNTIFS(Evaluations!$H$3:$H$10000,$A132,Evaluations!$R$3:$R$10000,1)+COUNTIFS(Evaluations!$H$3:$H$10000,$A132,Evaluations!$R$3:$R$10000,0)),2),""))</f>
        <v/>
      </c>
      <c r="I132" s="79" t="str">
        <f>IF($A132="","",IFERROR(ROUND(100*COUNTIFS(Evaluations!$H$3:$H$10000,$A132,Evaluations!$S$3:$S$10000,1)/(COUNTIFS(Evaluations!$H$3:$H$10000,$A132,Evaluations!$S$3:$S$10000,1)+COUNTIFS(Evaluations!$H$3:$H$10000,$A132,Evaluations!$S$3:$S$10000,0)),2),""))</f>
        <v/>
      </c>
      <c r="J132" s="79" t="str">
        <f>IF($A132="","",IFERROR(ROUND(100*COUNTIFS(Evaluations!$H$3:$H$10000,$A132,Evaluations!$T$3:$T$10000,1)/(COUNTIFS(Evaluations!$H$3:$H$10000,$A132,Evaluations!$T$3:$T$10000,1)+COUNTIFS(Evaluations!$H$3:$H$10000,$A132,Evaluations!$T$3:$T$10000,0)),2),""))</f>
        <v/>
      </c>
      <c r="K132" s="79" t="str">
        <f>IF($A132="","",COUNTIFS(Evaluations!$H$3:$H$10000,$A132,Evaluations!$M$3:$M$10000,"عدم پاسخ"))</f>
        <v/>
      </c>
      <c r="L132" s="79" t="str">
        <f>IF($A132="","",COUNTIFS(Evaluations!$H$3:$H$10000,$A132,Evaluations!$O$3:$O$10000,"رعایت نشده"))</f>
        <v/>
      </c>
    </row>
    <row r="133">
      <c r="A133" s="79"/>
      <c r="B133" s="79" t="str">
        <f>IF($A133="","",COUNTIFS(Evaluations!$H$3:$H$10000,$A133,Evaluations!$U$3:$U$10000,"&gt;=0",Evaluations!$U$3:$U$10000,"&lt;=100"))</f>
        <v/>
      </c>
      <c r="C133" s="79" t="str">
        <f>IF($A133="","",COUNTIFS('Agent Report'!$B$4:$B$53,$A133,'Agent Report'!$C$4:$C$53,"&gt;0"))</f>
        <v/>
      </c>
      <c r="D133" s="79" t="str">
        <f>IF(OR($A133="",B133=0),"",ROUND(SUMIFS(Evaluations!$U$3:$U$10000,Evaluations!$H$3:$H$10000,$A133)/B133,2))</f>
        <v/>
      </c>
      <c r="E133" s="79" t="str">
        <f>IF($A133="","",COUNTIFS(Evaluations!$H$3:$H$10000,$A133,Evaluations!$M$3:$M$10000,"پاسخ داده شده"))</f>
        <v/>
      </c>
      <c r="F133" s="79" t="str">
        <f>IF($A133="","",IFERROR(COUNTIFS(Evaluations!$H$3:$H$10000,$A133,Evaluations!$O$3:$O$10000,"رعایت شده")/(COUNTIFS(Evaluations!$H$3:$H$10000,$A133,Evaluations!$O$3:$O$10000,"رعایت شده")+COUNTIFS(Evaluations!$H$3:$H$10000,$A133,Evaluations!$O$3:$O$10000,"رعایت نشده")),""))</f>
        <v/>
      </c>
      <c r="G133" s="79" t="str">
        <f>IF($A133="","",IFERROR(ROUND(100*COUNTIFS(Evaluations!$H$3:$H$10000,$A133,Evaluations!$Q$3:$Q$10000,1)/(COUNTIFS(Evaluations!$H$3:$H$10000,$A133,Evaluations!$Q$3:$Q$10000,1)+COUNTIFS(Evaluations!$H$3:$H$10000,$A133,Evaluations!$Q$3:$Q$10000,0)),2),""))</f>
        <v/>
      </c>
      <c r="H133" s="79" t="str">
        <f>IF($A133="","",IFERROR(ROUND(100*COUNTIFS(Evaluations!$H$3:$H$10000,$A133,Evaluations!$R$3:$R$10000,1)/(COUNTIFS(Evaluations!$H$3:$H$10000,$A133,Evaluations!$R$3:$R$10000,1)+COUNTIFS(Evaluations!$H$3:$H$10000,$A133,Evaluations!$R$3:$R$10000,0)),2),""))</f>
        <v/>
      </c>
      <c r="I133" s="79" t="str">
        <f>IF($A133="","",IFERROR(ROUND(100*COUNTIFS(Evaluations!$H$3:$H$10000,$A133,Evaluations!$S$3:$S$10000,1)/(COUNTIFS(Evaluations!$H$3:$H$10000,$A133,Evaluations!$S$3:$S$10000,1)+COUNTIFS(Evaluations!$H$3:$H$10000,$A133,Evaluations!$S$3:$S$10000,0)),2),""))</f>
        <v/>
      </c>
      <c r="J133" s="79" t="str">
        <f>IF($A133="","",IFERROR(ROUND(100*COUNTIFS(Evaluations!$H$3:$H$10000,$A133,Evaluations!$T$3:$T$10000,1)/(COUNTIFS(Evaluations!$H$3:$H$10000,$A133,Evaluations!$T$3:$T$10000,1)+COUNTIFS(Evaluations!$H$3:$H$10000,$A133,Evaluations!$T$3:$T$10000,0)),2),""))</f>
        <v/>
      </c>
      <c r="K133" s="79" t="str">
        <f>IF($A133="","",COUNTIFS(Evaluations!$H$3:$H$10000,$A133,Evaluations!$M$3:$M$10000,"عدم پاسخ"))</f>
        <v/>
      </c>
      <c r="L133" s="79" t="str">
        <f>IF($A133="","",COUNTIFS(Evaluations!$H$3:$H$10000,$A133,Evaluations!$O$3:$O$10000,"رعایت نشده"))</f>
        <v/>
      </c>
    </row>
    <row r="134">
      <c r="A134" s="79"/>
      <c r="B134" s="79" t="str">
        <f>IF($A134="","",COUNTIFS(Evaluations!$H$3:$H$10000,$A134,Evaluations!$U$3:$U$10000,"&gt;=0",Evaluations!$U$3:$U$10000,"&lt;=100"))</f>
        <v/>
      </c>
      <c r="C134" s="79" t="str">
        <f>IF($A134="","",COUNTIFS('Agent Report'!$B$4:$B$53,$A134,'Agent Report'!$C$4:$C$53,"&gt;0"))</f>
        <v/>
      </c>
      <c r="D134" s="79" t="str">
        <f>IF(OR($A134="",B134=0),"",ROUND(SUMIFS(Evaluations!$U$3:$U$10000,Evaluations!$H$3:$H$10000,$A134)/B134,2))</f>
        <v/>
      </c>
      <c r="E134" s="79" t="str">
        <f>IF($A134="","",COUNTIFS(Evaluations!$H$3:$H$10000,$A134,Evaluations!$M$3:$M$10000,"پاسخ داده شده"))</f>
        <v/>
      </c>
      <c r="F134" s="79" t="str">
        <f>IF($A134="","",IFERROR(COUNTIFS(Evaluations!$H$3:$H$10000,$A134,Evaluations!$O$3:$O$10000,"رعایت شده")/(COUNTIFS(Evaluations!$H$3:$H$10000,$A134,Evaluations!$O$3:$O$10000,"رعایت شده")+COUNTIFS(Evaluations!$H$3:$H$10000,$A134,Evaluations!$O$3:$O$10000,"رعایت نشده")),""))</f>
        <v/>
      </c>
      <c r="G134" s="79" t="str">
        <f>IF($A134="","",IFERROR(ROUND(100*COUNTIFS(Evaluations!$H$3:$H$10000,$A134,Evaluations!$Q$3:$Q$10000,1)/(COUNTIFS(Evaluations!$H$3:$H$10000,$A134,Evaluations!$Q$3:$Q$10000,1)+COUNTIFS(Evaluations!$H$3:$H$10000,$A134,Evaluations!$Q$3:$Q$10000,0)),2),""))</f>
        <v/>
      </c>
      <c r="H134" s="79" t="str">
        <f>IF($A134="","",IFERROR(ROUND(100*COUNTIFS(Evaluations!$H$3:$H$10000,$A134,Evaluations!$R$3:$R$10000,1)/(COUNTIFS(Evaluations!$H$3:$H$10000,$A134,Evaluations!$R$3:$R$10000,1)+COUNTIFS(Evaluations!$H$3:$H$10000,$A134,Evaluations!$R$3:$R$10000,0)),2),""))</f>
        <v/>
      </c>
      <c r="I134" s="79" t="str">
        <f>IF($A134="","",IFERROR(ROUND(100*COUNTIFS(Evaluations!$H$3:$H$10000,$A134,Evaluations!$S$3:$S$10000,1)/(COUNTIFS(Evaluations!$H$3:$H$10000,$A134,Evaluations!$S$3:$S$10000,1)+COUNTIFS(Evaluations!$H$3:$H$10000,$A134,Evaluations!$S$3:$S$10000,0)),2),""))</f>
        <v/>
      </c>
      <c r="J134" s="79" t="str">
        <f>IF($A134="","",IFERROR(ROUND(100*COUNTIFS(Evaluations!$H$3:$H$10000,$A134,Evaluations!$T$3:$T$10000,1)/(COUNTIFS(Evaluations!$H$3:$H$10000,$A134,Evaluations!$T$3:$T$10000,1)+COUNTIFS(Evaluations!$H$3:$H$10000,$A134,Evaluations!$T$3:$T$10000,0)),2),""))</f>
        <v/>
      </c>
      <c r="K134" s="79" t="str">
        <f>IF($A134="","",COUNTIFS(Evaluations!$H$3:$H$10000,$A134,Evaluations!$M$3:$M$10000,"عدم پاسخ"))</f>
        <v/>
      </c>
      <c r="L134" s="79" t="str">
        <f>IF($A134="","",COUNTIFS(Evaluations!$H$3:$H$10000,$A134,Evaluations!$O$3:$O$10000,"رعایت نشده"))</f>
        <v/>
      </c>
    </row>
    <row r="135">
      <c r="A135" s="79"/>
      <c r="B135" s="79" t="str">
        <f>IF($A135="","",COUNTIFS(Evaluations!$H$3:$H$10000,$A135,Evaluations!$U$3:$U$10000,"&gt;=0",Evaluations!$U$3:$U$10000,"&lt;=100"))</f>
        <v/>
      </c>
      <c r="C135" s="79" t="str">
        <f>IF($A135="","",COUNTIFS('Agent Report'!$B$4:$B$53,$A135,'Agent Report'!$C$4:$C$53,"&gt;0"))</f>
        <v/>
      </c>
      <c r="D135" s="79" t="str">
        <f>IF(OR($A135="",B135=0),"",ROUND(SUMIFS(Evaluations!$U$3:$U$10000,Evaluations!$H$3:$H$10000,$A135)/B135,2))</f>
        <v/>
      </c>
      <c r="E135" s="79" t="str">
        <f>IF($A135="","",COUNTIFS(Evaluations!$H$3:$H$10000,$A135,Evaluations!$M$3:$M$10000,"پاسخ داده شده"))</f>
        <v/>
      </c>
      <c r="F135" s="79" t="str">
        <f>IF($A135="","",IFERROR(COUNTIFS(Evaluations!$H$3:$H$10000,$A135,Evaluations!$O$3:$O$10000,"رعایت شده")/(COUNTIFS(Evaluations!$H$3:$H$10000,$A135,Evaluations!$O$3:$O$10000,"رعایت شده")+COUNTIFS(Evaluations!$H$3:$H$10000,$A135,Evaluations!$O$3:$O$10000,"رعایت نشده")),""))</f>
        <v/>
      </c>
      <c r="G135" s="79" t="str">
        <f>IF($A135="","",IFERROR(ROUND(100*COUNTIFS(Evaluations!$H$3:$H$10000,$A135,Evaluations!$Q$3:$Q$10000,1)/(COUNTIFS(Evaluations!$H$3:$H$10000,$A135,Evaluations!$Q$3:$Q$10000,1)+COUNTIFS(Evaluations!$H$3:$H$10000,$A135,Evaluations!$Q$3:$Q$10000,0)),2),""))</f>
        <v/>
      </c>
      <c r="H135" s="79" t="str">
        <f>IF($A135="","",IFERROR(ROUND(100*COUNTIFS(Evaluations!$H$3:$H$10000,$A135,Evaluations!$R$3:$R$10000,1)/(COUNTIFS(Evaluations!$H$3:$H$10000,$A135,Evaluations!$R$3:$R$10000,1)+COUNTIFS(Evaluations!$H$3:$H$10000,$A135,Evaluations!$R$3:$R$10000,0)),2),""))</f>
        <v/>
      </c>
      <c r="I135" s="79" t="str">
        <f>IF($A135="","",IFERROR(ROUND(100*COUNTIFS(Evaluations!$H$3:$H$10000,$A135,Evaluations!$S$3:$S$10000,1)/(COUNTIFS(Evaluations!$H$3:$H$10000,$A135,Evaluations!$S$3:$S$10000,1)+COUNTIFS(Evaluations!$H$3:$H$10000,$A135,Evaluations!$S$3:$S$10000,0)),2),""))</f>
        <v/>
      </c>
      <c r="J135" s="79" t="str">
        <f>IF($A135="","",IFERROR(ROUND(100*COUNTIFS(Evaluations!$H$3:$H$10000,$A135,Evaluations!$T$3:$T$10000,1)/(COUNTIFS(Evaluations!$H$3:$H$10000,$A135,Evaluations!$T$3:$T$10000,1)+COUNTIFS(Evaluations!$H$3:$H$10000,$A135,Evaluations!$T$3:$T$10000,0)),2),""))</f>
        <v/>
      </c>
      <c r="K135" s="79" t="str">
        <f>IF($A135="","",COUNTIFS(Evaluations!$H$3:$H$10000,$A135,Evaluations!$M$3:$M$10000,"عدم پاسخ"))</f>
        <v/>
      </c>
      <c r="L135" s="79" t="str">
        <f>IF($A135="","",COUNTIFS(Evaluations!$H$3:$H$10000,$A135,Evaluations!$O$3:$O$10000,"رعایت نشده"))</f>
        <v/>
      </c>
    </row>
    <row r="136">
      <c r="A136" s="79"/>
      <c r="B136" s="79" t="str">
        <f>IF($A136="","",COUNTIFS(Evaluations!$H$3:$H$10000,$A136,Evaluations!$U$3:$U$10000,"&gt;=0",Evaluations!$U$3:$U$10000,"&lt;=100"))</f>
        <v/>
      </c>
      <c r="C136" s="79" t="str">
        <f>IF($A136="","",COUNTIFS('Agent Report'!$B$4:$B$53,$A136,'Agent Report'!$C$4:$C$53,"&gt;0"))</f>
        <v/>
      </c>
      <c r="D136" s="79" t="str">
        <f>IF(OR($A136="",B136=0),"",ROUND(SUMIFS(Evaluations!$U$3:$U$10000,Evaluations!$H$3:$H$10000,$A136)/B136,2))</f>
        <v/>
      </c>
      <c r="E136" s="79" t="str">
        <f>IF($A136="","",COUNTIFS(Evaluations!$H$3:$H$10000,$A136,Evaluations!$M$3:$M$10000,"پاسخ داده شده"))</f>
        <v/>
      </c>
      <c r="F136" s="79" t="str">
        <f>IF($A136="","",IFERROR(COUNTIFS(Evaluations!$H$3:$H$10000,$A136,Evaluations!$O$3:$O$10000,"رعایت شده")/(COUNTIFS(Evaluations!$H$3:$H$10000,$A136,Evaluations!$O$3:$O$10000,"رعایت شده")+COUNTIFS(Evaluations!$H$3:$H$10000,$A136,Evaluations!$O$3:$O$10000,"رعایت نشده")),""))</f>
        <v/>
      </c>
      <c r="G136" s="79" t="str">
        <f>IF($A136="","",IFERROR(ROUND(100*COUNTIFS(Evaluations!$H$3:$H$10000,$A136,Evaluations!$Q$3:$Q$10000,1)/(COUNTIFS(Evaluations!$H$3:$H$10000,$A136,Evaluations!$Q$3:$Q$10000,1)+COUNTIFS(Evaluations!$H$3:$H$10000,$A136,Evaluations!$Q$3:$Q$10000,0)),2),""))</f>
        <v/>
      </c>
      <c r="H136" s="79" t="str">
        <f>IF($A136="","",IFERROR(ROUND(100*COUNTIFS(Evaluations!$H$3:$H$10000,$A136,Evaluations!$R$3:$R$10000,1)/(COUNTIFS(Evaluations!$H$3:$H$10000,$A136,Evaluations!$R$3:$R$10000,1)+COUNTIFS(Evaluations!$H$3:$H$10000,$A136,Evaluations!$R$3:$R$10000,0)),2),""))</f>
        <v/>
      </c>
      <c r="I136" s="79" t="str">
        <f>IF($A136="","",IFERROR(ROUND(100*COUNTIFS(Evaluations!$H$3:$H$10000,$A136,Evaluations!$S$3:$S$10000,1)/(COUNTIFS(Evaluations!$H$3:$H$10000,$A136,Evaluations!$S$3:$S$10000,1)+COUNTIFS(Evaluations!$H$3:$H$10000,$A136,Evaluations!$S$3:$S$10000,0)),2),""))</f>
        <v/>
      </c>
      <c r="J136" s="79" t="str">
        <f>IF($A136="","",IFERROR(ROUND(100*COUNTIFS(Evaluations!$H$3:$H$10000,$A136,Evaluations!$T$3:$T$10000,1)/(COUNTIFS(Evaluations!$H$3:$H$10000,$A136,Evaluations!$T$3:$T$10000,1)+COUNTIFS(Evaluations!$H$3:$H$10000,$A136,Evaluations!$T$3:$T$10000,0)),2),""))</f>
        <v/>
      </c>
      <c r="K136" s="79" t="str">
        <f>IF($A136="","",COUNTIFS(Evaluations!$H$3:$H$10000,$A136,Evaluations!$M$3:$M$10000,"عدم پاسخ"))</f>
        <v/>
      </c>
      <c r="L136" s="79" t="str">
        <f>IF($A136="","",COUNTIFS(Evaluations!$H$3:$H$10000,$A136,Evaluations!$O$3:$O$10000,"رعایت نشده"))</f>
        <v/>
      </c>
    </row>
    <row r="137">
      <c r="A137" s="79"/>
      <c r="B137" s="79" t="str">
        <f>IF($A137="","",COUNTIFS(Evaluations!$H$3:$H$10000,$A137,Evaluations!$U$3:$U$10000,"&gt;=0",Evaluations!$U$3:$U$10000,"&lt;=100"))</f>
        <v/>
      </c>
      <c r="C137" s="79" t="str">
        <f>IF($A137="","",COUNTIFS('Agent Report'!$B$4:$B$53,$A137,'Agent Report'!$C$4:$C$53,"&gt;0"))</f>
        <v/>
      </c>
      <c r="D137" s="79" t="str">
        <f>IF(OR($A137="",B137=0),"",ROUND(SUMIFS(Evaluations!$U$3:$U$10000,Evaluations!$H$3:$H$10000,$A137)/B137,2))</f>
        <v/>
      </c>
      <c r="E137" s="79" t="str">
        <f>IF($A137="","",COUNTIFS(Evaluations!$H$3:$H$10000,$A137,Evaluations!$M$3:$M$10000,"پاسخ داده شده"))</f>
        <v/>
      </c>
      <c r="F137" s="79" t="str">
        <f>IF($A137="","",IFERROR(COUNTIFS(Evaluations!$H$3:$H$10000,$A137,Evaluations!$O$3:$O$10000,"رعایت شده")/(COUNTIFS(Evaluations!$H$3:$H$10000,$A137,Evaluations!$O$3:$O$10000,"رعایت شده")+COUNTIFS(Evaluations!$H$3:$H$10000,$A137,Evaluations!$O$3:$O$10000,"رعایت نشده")),""))</f>
        <v/>
      </c>
      <c r="G137" s="79" t="str">
        <f>IF($A137="","",IFERROR(ROUND(100*COUNTIFS(Evaluations!$H$3:$H$10000,$A137,Evaluations!$Q$3:$Q$10000,1)/(COUNTIFS(Evaluations!$H$3:$H$10000,$A137,Evaluations!$Q$3:$Q$10000,1)+COUNTIFS(Evaluations!$H$3:$H$10000,$A137,Evaluations!$Q$3:$Q$10000,0)),2),""))</f>
        <v/>
      </c>
      <c r="H137" s="79" t="str">
        <f>IF($A137="","",IFERROR(ROUND(100*COUNTIFS(Evaluations!$H$3:$H$10000,$A137,Evaluations!$R$3:$R$10000,1)/(COUNTIFS(Evaluations!$H$3:$H$10000,$A137,Evaluations!$R$3:$R$10000,1)+COUNTIFS(Evaluations!$H$3:$H$10000,$A137,Evaluations!$R$3:$R$10000,0)),2),""))</f>
        <v/>
      </c>
      <c r="I137" s="79" t="str">
        <f>IF($A137="","",IFERROR(ROUND(100*COUNTIFS(Evaluations!$H$3:$H$10000,$A137,Evaluations!$S$3:$S$10000,1)/(COUNTIFS(Evaluations!$H$3:$H$10000,$A137,Evaluations!$S$3:$S$10000,1)+COUNTIFS(Evaluations!$H$3:$H$10000,$A137,Evaluations!$S$3:$S$10000,0)),2),""))</f>
        <v/>
      </c>
      <c r="J137" s="79" t="str">
        <f>IF($A137="","",IFERROR(ROUND(100*COUNTIFS(Evaluations!$H$3:$H$10000,$A137,Evaluations!$T$3:$T$10000,1)/(COUNTIFS(Evaluations!$H$3:$H$10000,$A137,Evaluations!$T$3:$T$10000,1)+COUNTIFS(Evaluations!$H$3:$H$10000,$A137,Evaluations!$T$3:$T$10000,0)),2),""))</f>
        <v/>
      </c>
      <c r="K137" s="79" t="str">
        <f>IF($A137="","",COUNTIFS(Evaluations!$H$3:$H$10000,$A137,Evaluations!$M$3:$M$10000,"عدم پاسخ"))</f>
        <v/>
      </c>
      <c r="L137" s="79" t="str">
        <f>IF($A137="","",COUNTIFS(Evaluations!$H$3:$H$10000,$A137,Evaluations!$O$3:$O$10000,"رعایت نشده"))</f>
        <v/>
      </c>
    </row>
    <row r="138">
      <c r="A138" s="79"/>
      <c r="B138" s="79" t="str">
        <f>IF($A138="","",COUNTIFS(Evaluations!$H$3:$H$10000,$A138,Evaluations!$U$3:$U$10000,"&gt;=0",Evaluations!$U$3:$U$10000,"&lt;=100"))</f>
        <v/>
      </c>
      <c r="C138" s="79" t="str">
        <f>IF($A138="","",COUNTIFS('Agent Report'!$B$4:$B$53,$A138,'Agent Report'!$C$4:$C$53,"&gt;0"))</f>
        <v/>
      </c>
      <c r="D138" s="79" t="str">
        <f>IF(OR($A138="",B138=0),"",ROUND(SUMIFS(Evaluations!$U$3:$U$10000,Evaluations!$H$3:$H$10000,$A138)/B138,2))</f>
        <v/>
      </c>
      <c r="E138" s="79" t="str">
        <f>IF($A138="","",COUNTIFS(Evaluations!$H$3:$H$10000,$A138,Evaluations!$M$3:$M$10000,"پاسخ داده شده"))</f>
        <v/>
      </c>
      <c r="F138" s="79" t="str">
        <f>IF($A138="","",IFERROR(COUNTIFS(Evaluations!$H$3:$H$10000,$A138,Evaluations!$O$3:$O$10000,"رعایت شده")/(COUNTIFS(Evaluations!$H$3:$H$10000,$A138,Evaluations!$O$3:$O$10000,"رعایت شده")+COUNTIFS(Evaluations!$H$3:$H$10000,$A138,Evaluations!$O$3:$O$10000,"رعایت نشده")),""))</f>
        <v/>
      </c>
      <c r="G138" s="79" t="str">
        <f>IF($A138="","",IFERROR(ROUND(100*COUNTIFS(Evaluations!$H$3:$H$10000,$A138,Evaluations!$Q$3:$Q$10000,1)/(COUNTIFS(Evaluations!$H$3:$H$10000,$A138,Evaluations!$Q$3:$Q$10000,1)+COUNTIFS(Evaluations!$H$3:$H$10000,$A138,Evaluations!$Q$3:$Q$10000,0)),2),""))</f>
        <v/>
      </c>
      <c r="H138" s="79" t="str">
        <f>IF($A138="","",IFERROR(ROUND(100*COUNTIFS(Evaluations!$H$3:$H$10000,$A138,Evaluations!$R$3:$R$10000,1)/(COUNTIFS(Evaluations!$H$3:$H$10000,$A138,Evaluations!$R$3:$R$10000,1)+COUNTIFS(Evaluations!$H$3:$H$10000,$A138,Evaluations!$R$3:$R$10000,0)),2),""))</f>
        <v/>
      </c>
      <c r="I138" s="79" t="str">
        <f>IF($A138="","",IFERROR(ROUND(100*COUNTIFS(Evaluations!$H$3:$H$10000,$A138,Evaluations!$S$3:$S$10000,1)/(COUNTIFS(Evaluations!$H$3:$H$10000,$A138,Evaluations!$S$3:$S$10000,1)+COUNTIFS(Evaluations!$H$3:$H$10000,$A138,Evaluations!$S$3:$S$10000,0)),2),""))</f>
        <v/>
      </c>
      <c r="J138" s="79" t="str">
        <f>IF($A138="","",IFERROR(ROUND(100*COUNTIFS(Evaluations!$H$3:$H$10000,$A138,Evaluations!$T$3:$T$10000,1)/(COUNTIFS(Evaluations!$H$3:$H$10000,$A138,Evaluations!$T$3:$T$10000,1)+COUNTIFS(Evaluations!$H$3:$H$10000,$A138,Evaluations!$T$3:$T$10000,0)),2),""))</f>
        <v/>
      </c>
      <c r="K138" s="79" t="str">
        <f>IF($A138="","",COUNTIFS(Evaluations!$H$3:$H$10000,$A138,Evaluations!$M$3:$M$10000,"عدم پاسخ"))</f>
        <v/>
      </c>
      <c r="L138" s="79" t="str">
        <f>IF($A138="","",COUNTIFS(Evaluations!$H$3:$H$10000,$A138,Evaluations!$O$3:$O$10000,"رعایت نشده"))</f>
        <v/>
      </c>
    </row>
    <row r="139">
      <c r="A139" s="79"/>
      <c r="B139" s="79" t="str">
        <f>IF($A139="","",COUNTIFS(Evaluations!$H$3:$H$10000,$A139,Evaluations!$U$3:$U$10000,"&gt;=0",Evaluations!$U$3:$U$10000,"&lt;=100"))</f>
        <v/>
      </c>
      <c r="C139" s="79" t="str">
        <f>IF($A139="","",COUNTIFS('Agent Report'!$B$4:$B$53,$A139,'Agent Report'!$C$4:$C$53,"&gt;0"))</f>
        <v/>
      </c>
      <c r="D139" s="79" t="str">
        <f>IF(OR($A139="",B139=0),"",ROUND(SUMIFS(Evaluations!$U$3:$U$10000,Evaluations!$H$3:$H$10000,$A139)/B139,2))</f>
        <v/>
      </c>
      <c r="E139" s="79" t="str">
        <f>IF($A139="","",COUNTIFS(Evaluations!$H$3:$H$10000,$A139,Evaluations!$M$3:$M$10000,"پاسخ داده شده"))</f>
        <v/>
      </c>
      <c r="F139" s="79" t="str">
        <f>IF($A139="","",IFERROR(COUNTIFS(Evaluations!$H$3:$H$10000,$A139,Evaluations!$O$3:$O$10000,"رعایت شده")/(COUNTIFS(Evaluations!$H$3:$H$10000,$A139,Evaluations!$O$3:$O$10000,"رعایت شده")+COUNTIFS(Evaluations!$H$3:$H$10000,$A139,Evaluations!$O$3:$O$10000,"رعایت نشده")),""))</f>
        <v/>
      </c>
      <c r="G139" s="79" t="str">
        <f>IF($A139="","",IFERROR(ROUND(100*COUNTIFS(Evaluations!$H$3:$H$10000,$A139,Evaluations!$Q$3:$Q$10000,1)/(COUNTIFS(Evaluations!$H$3:$H$10000,$A139,Evaluations!$Q$3:$Q$10000,1)+COUNTIFS(Evaluations!$H$3:$H$10000,$A139,Evaluations!$Q$3:$Q$10000,0)),2),""))</f>
        <v/>
      </c>
      <c r="H139" s="79" t="str">
        <f>IF($A139="","",IFERROR(ROUND(100*COUNTIFS(Evaluations!$H$3:$H$10000,$A139,Evaluations!$R$3:$R$10000,1)/(COUNTIFS(Evaluations!$H$3:$H$10000,$A139,Evaluations!$R$3:$R$10000,1)+COUNTIFS(Evaluations!$H$3:$H$10000,$A139,Evaluations!$R$3:$R$10000,0)),2),""))</f>
        <v/>
      </c>
      <c r="I139" s="79" t="str">
        <f>IF($A139="","",IFERROR(ROUND(100*COUNTIFS(Evaluations!$H$3:$H$10000,$A139,Evaluations!$S$3:$S$10000,1)/(COUNTIFS(Evaluations!$H$3:$H$10000,$A139,Evaluations!$S$3:$S$10000,1)+COUNTIFS(Evaluations!$H$3:$H$10000,$A139,Evaluations!$S$3:$S$10000,0)),2),""))</f>
        <v/>
      </c>
      <c r="J139" s="79" t="str">
        <f>IF($A139="","",IFERROR(ROUND(100*COUNTIFS(Evaluations!$H$3:$H$10000,$A139,Evaluations!$T$3:$T$10000,1)/(COUNTIFS(Evaluations!$H$3:$H$10000,$A139,Evaluations!$T$3:$T$10000,1)+COUNTIFS(Evaluations!$H$3:$H$10000,$A139,Evaluations!$T$3:$T$10000,0)),2),""))</f>
        <v/>
      </c>
      <c r="K139" s="79" t="str">
        <f>IF($A139="","",COUNTIFS(Evaluations!$H$3:$H$10000,$A139,Evaluations!$M$3:$M$10000,"عدم پاسخ"))</f>
        <v/>
      </c>
      <c r="L139" s="79" t="str">
        <f>IF($A139="","",COUNTIFS(Evaluations!$H$3:$H$10000,$A139,Evaluations!$O$3:$O$10000,"رعایت نشده"))</f>
        <v/>
      </c>
    </row>
    <row r="140">
      <c r="A140" s="79"/>
      <c r="B140" s="79" t="str">
        <f>IF($A140="","",COUNTIFS(Evaluations!$H$3:$H$10000,$A140,Evaluations!$U$3:$U$10000,"&gt;=0",Evaluations!$U$3:$U$10000,"&lt;=100"))</f>
        <v/>
      </c>
      <c r="C140" s="79" t="str">
        <f>IF($A140="","",COUNTIFS('Agent Report'!$B$4:$B$53,$A140,'Agent Report'!$C$4:$C$53,"&gt;0"))</f>
        <v/>
      </c>
      <c r="D140" s="79" t="str">
        <f>IF(OR($A140="",B140=0),"",ROUND(SUMIFS(Evaluations!$U$3:$U$10000,Evaluations!$H$3:$H$10000,$A140)/B140,2))</f>
        <v/>
      </c>
      <c r="E140" s="79" t="str">
        <f>IF($A140="","",COUNTIFS(Evaluations!$H$3:$H$10000,$A140,Evaluations!$M$3:$M$10000,"پاسخ داده شده"))</f>
        <v/>
      </c>
      <c r="F140" s="79" t="str">
        <f>IF($A140="","",IFERROR(COUNTIFS(Evaluations!$H$3:$H$10000,$A140,Evaluations!$O$3:$O$10000,"رعایت شده")/(COUNTIFS(Evaluations!$H$3:$H$10000,$A140,Evaluations!$O$3:$O$10000,"رعایت شده")+COUNTIFS(Evaluations!$H$3:$H$10000,$A140,Evaluations!$O$3:$O$10000,"رعایت نشده")),""))</f>
        <v/>
      </c>
      <c r="G140" s="79" t="str">
        <f>IF($A140="","",IFERROR(ROUND(100*COUNTIFS(Evaluations!$H$3:$H$10000,$A140,Evaluations!$Q$3:$Q$10000,1)/(COUNTIFS(Evaluations!$H$3:$H$10000,$A140,Evaluations!$Q$3:$Q$10000,1)+COUNTIFS(Evaluations!$H$3:$H$10000,$A140,Evaluations!$Q$3:$Q$10000,0)),2),""))</f>
        <v/>
      </c>
      <c r="H140" s="79" t="str">
        <f>IF($A140="","",IFERROR(ROUND(100*COUNTIFS(Evaluations!$H$3:$H$10000,$A140,Evaluations!$R$3:$R$10000,1)/(COUNTIFS(Evaluations!$H$3:$H$10000,$A140,Evaluations!$R$3:$R$10000,1)+COUNTIFS(Evaluations!$H$3:$H$10000,$A140,Evaluations!$R$3:$R$10000,0)),2),""))</f>
        <v/>
      </c>
      <c r="I140" s="79" t="str">
        <f>IF($A140="","",IFERROR(ROUND(100*COUNTIFS(Evaluations!$H$3:$H$10000,$A140,Evaluations!$S$3:$S$10000,1)/(COUNTIFS(Evaluations!$H$3:$H$10000,$A140,Evaluations!$S$3:$S$10000,1)+COUNTIFS(Evaluations!$H$3:$H$10000,$A140,Evaluations!$S$3:$S$10000,0)),2),""))</f>
        <v/>
      </c>
      <c r="J140" s="79" t="str">
        <f>IF($A140="","",IFERROR(ROUND(100*COUNTIFS(Evaluations!$H$3:$H$10000,$A140,Evaluations!$T$3:$T$10000,1)/(COUNTIFS(Evaluations!$H$3:$H$10000,$A140,Evaluations!$T$3:$T$10000,1)+COUNTIFS(Evaluations!$H$3:$H$10000,$A140,Evaluations!$T$3:$T$10000,0)),2),""))</f>
        <v/>
      </c>
      <c r="K140" s="79" t="str">
        <f>IF($A140="","",COUNTIFS(Evaluations!$H$3:$H$10000,$A140,Evaluations!$M$3:$M$10000,"عدم پاسخ"))</f>
        <v/>
      </c>
      <c r="L140" s="79" t="str">
        <f>IF($A140="","",COUNTIFS(Evaluations!$H$3:$H$10000,$A140,Evaluations!$O$3:$O$10000,"رعایت نشده"))</f>
        <v/>
      </c>
    </row>
    <row r="141">
      <c r="A141" s="79"/>
      <c r="B141" s="79" t="str">
        <f>IF($A141="","",COUNTIFS(Evaluations!$H$3:$H$10000,$A141,Evaluations!$U$3:$U$10000,"&gt;=0",Evaluations!$U$3:$U$10000,"&lt;=100"))</f>
        <v/>
      </c>
      <c r="C141" s="79" t="str">
        <f>IF($A141="","",COUNTIFS('Agent Report'!$B$4:$B$53,$A141,'Agent Report'!$C$4:$C$53,"&gt;0"))</f>
        <v/>
      </c>
      <c r="D141" s="79" t="str">
        <f>IF(OR($A141="",B141=0),"",ROUND(SUMIFS(Evaluations!$U$3:$U$10000,Evaluations!$H$3:$H$10000,$A141)/B141,2))</f>
        <v/>
      </c>
      <c r="E141" s="79" t="str">
        <f>IF($A141="","",COUNTIFS(Evaluations!$H$3:$H$10000,$A141,Evaluations!$M$3:$M$10000,"پاسخ داده شده"))</f>
        <v/>
      </c>
      <c r="F141" s="79" t="str">
        <f>IF($A141="","",IFERROR(COUNTIFS(Evaluations!$H$3:$H$10000,$A141,Evaluations!$O$3:$O$10000,"رعایت شده")/(COUNTIFS(Evaluations!$H$3:$H$10000,$A141,Evaluations!$O$3:$O$10000,"رعایت شده")+COUNTIFS(Evaluations!$H$3:$H$10000,$A141,Evaluations!$O$3:$O$10000,"رعایت نشده")),""))</f>
        <v/>
      </c>
      <c r="G141" s="79" t="str">
        <f>IF($A141="","",IFERROR(ROUND(100*COUNTIFS(Evaluations!$H$3:$H$10000,$A141,Evaluations!$Q$3:$Q$10000,1)/(COUNTIFS(Evaluations!$H$3:$H$10000,$A141,Evaluations!$Q$3:$Q$10000,1)+COUNTIFS(Evaluations!$H$3:$H$10000,$A141,Evaluations!$Q$3:$Q$10000,0)),2),""))</f>
        <v/>
      </c>
      <c r="H141" s="79" t="str">
        <f>IF($A141="","",IFERROR(ROUND(100*COUNTIFS(Evaluations!$H$3:$H$10000,$A141,Evaluations!$R$3:$R$10000,1)/(COUNTIFS(Evaluations!$H$3:$H$10000,$A141,Evaluations!$R$3:$R$10000,1)+COUNTIFS(Evaluations!$H$3:$H$10000,$A141,Evaluations!$R$3:$R$10000,0)),2),""))</f>
        <v/>
      </c>
      <c r="I141" s="79" t="str">
        <f>IF($A141="","",IFERROR(ROUND(100*COUNTIFS(Evaluations!$H$3:$H$10000,$A141,Evaluations!$S$3:$S$10000,1)/(COUNTIFS(Evaluations!$H$3:$H$10000,$A141,Evaluations!$S$3:$S$10000,1)+COUNTIFS(Evaluations!$H$3:$H$10000,$A141,Evaluations!$S$3:$S$10000,0)),2),""))</f>
        <v/>
      </c>
      <c r="J141" s="79" t="str">
        <f>IF($A141="","",IFERROR(ROUND(100*COUNTIFS(Evaluations!$H$3:$H$10000,$A141,Evaluations!$T$3:$T$10000,1)/(COUNTIFS(Evaluations!$H$3:$H$10000,$A141,Evaluations!$T$3:$T$10000,1)+COUNTIFS(Evaluations!$H$3:$H$10000,$A141,Evaluations!$T$3:$T$10000,0)),2),""))</f>
        <v/>
      </c>
      <c r="K141" s="79" t="str">
        <f>IF($A141="","",COUNTIFS(Evaluations!$H$3:$H$10000,$A141,Evaluations!$M$3:$M$10000,"عدم پاسخ"))</f>
        <v/>
      </c>
      <c r="L141" s="79" t="str">
        <f>IF($A141="","",COUNTIFS(Evaluations!$H$3:$H$10000,$A141,Evaluations!$O$3:$O$10000,"رعایت نشده"))</f>
        <v/>
      </c>
    </row>
    <row r="142">
      <c r="A142" s="79"/>
      <c r="B142" s="79" t="str">
        <f>IF($A142="","",COUNTIFS(Evaluations!$H$3:$H$10000,$A142,Evaluations!$U$3:$U$10000,"&gt;=0",Evaluations!$U$3:$U$10000,"&lt;=100"))</f>
        <v/>
      </c>
      <c r="C142" s="79" t="str">
        <f>IF($A142="","",COUNTIFS('Agent Report'!$B$4:$B$53,$A142,'Agent Report'!$C$4:$C$53,"&gt;0"))</f>
        <v/>
      </c>
      <c r="D142" s="79" t="str">
        <f>IF(OR($A142="",B142=0),"",ROUND(SUMIFS(Evaluations!$U$3:$U$10000,Evaluations!$H$3:$H$10000,$A142)/B142,2))</f>
        <v/>
      </c>
      <c r="E142" s="79" t="str">
        <f>IF($A142="","",COUNTIFS(Evaluations!$H$3:$H$10000,$A142,Evaluations!$M$3:$M$10000,"پاسخ داده شده"))</f>
        <v/>
      </c>
      <c r="F142" s="79" t="str">
        <f>IF($A142="","",IFERROR(COUNTIFS(Evaluations!$H$3:$H$10000,$A142,Evaluations!$O$3:$O$10000,"رعایت شده")/(COUNTIFS(Evaluations!$H$3:$H$10000,$A142,Evaluations!$O$3:$O$10000,"رعایت شده")+COUNTIFS(Evaluations!$H$3:$H$10000,$A142,Evaluations!$O$3:$O$10000,"رعایت نشده")),""))</f>
        <v/>
      </c>
      <c r="G142" s="79" t="str">
        <f>IF($A142="","",IFERROR(ROUND(100*COUNTIFS(Evaluations!$H$3:$H$10000,$A142,Evaluations!$Q$3:$Q$10000,1)/(COUNTIFS(Evaluations!$H$3:$H$10000,$A142,Evaluations!$Q$3:$Q$10000,1)+COUNTIFS(Evaluations!$H$3:$H$10000,$A142,Evaluations!$Q$3:$Q$10000,0)),2),""))</f>
        <v/>
      </c>
      <c r="H142" s="79" t="str">
        <f>IF($A142="","",IFERROR(ROUND(100*COUNTIFS(Evaluations!$H$3:$H$10000,$A142,Evaluations!$R$3:$R$10000,1)/(COUNTIFS(Evaluations!$H$3:$H$10000,$A142,Evaluations!$R$3:$R$10000,1)+COUNTIFS(Evaluations!$H$3:$H$10000,$A142,Evaluations!$R$3:$R$10000,0)),2),""))</f>
        <v/>
      </c>
      <c r="I142" s="79" t="str">
        <f>IF($A142="","",IFERROR(ROUND(100*COUNTIFS(Evaluations!$H$3:$H$10000,$A142,Evaluations!$S$3:$S$10000,1)/(COUNTIFS(Evaluations!$H$3:$H$10000,$A142,Evaluations!$S$3:$S$10000,1)+COUNTIFS(Evaluations!$H$3:$H$10000,$A142,Evaluations!$S$3:$S$10000,0)),2),""))</f>
        <v/>
      </c>
      <c r="J142" s="79" t="str">
        <f>IF($A142="","",IFERROR(ROUND(100*COUNTIFS(Evaluations!$H$3:$H$10000,$A142,Evaluations!$T$3:$T$10000,1)/(COUNTIFS(Evaluations!$H$3:$H$10000,$A142,Evaluations!$T$3:$T$10000,1)+COUNTIFS(Evaluations!$H$3:$H$10000,$A142,Evaluations!$T$3:$T$10000,0)),2),""))</f>
        <v/>
      </c>
      <c r="K142" s="79" t="str">
        <f>IF($A142="","",COUNTIFS(Evaluations!$H$3:$H$10000,$A142,Evaluations!$M$3:$M$10000,"عدم پاسخ"))</f>
        <v/>
      </c>
      <c r="L142" s="79" t="str">
        <f>IF($A142="","",COUNTIFS(Evaluations!$H$3:$H$10000,$A142,Evaluations!$O$3:$O$10000,"رعایت نشده"))</f>
        <v/>
      </c>
    </row>
    <row r="143">
      <c r="A143" s="79"/>
      <c r="B143" s="79" t="str">
        <f>IF($A143="","",COUNTIFS(Evaluations!$H$3:$H$10000,$A143,Evaluations!$U$3:$U$10000,"&gt;=0",Evaluations!$U$3:$U$10000,"&lt;=100"))</f>
        <v/>
      </c>
      <c r="C143" s="79" t="str">
        <f>IF($A143="","",COUNTIFS('Agent Report'!$B$4:$B$53,$A143,'Agent Report'!$C$4:$C$53,"&gt;0"))</f>
        <v/>
      </c>
      <c r="D143" s="79" t="str">
        <f>IF(OR($A143="",B143=0),"",ROUND(SUMIFS(Evaluations!$U$3:$U$10000,Evaluations!$H$3:$H$10000,$A143)/B143,2))</f>
        <v/>
      </c>
      <c r="E143" s="79" t="str">
        <f>IF($A143="","",COUNTIFS(Evaluations!$H$3:$H$10000,$A143,Evaluations!$M$3:$M$10000,"پاسخ داده شده"))</f>
        <v/>
      </c>
      <c r="F143" s="79" t="str">
        <f>IF($A143="","",IFERROR(COUNTIFS(Evaluations!$H$3:$H$10000,$A143,Evaluations!$O$3:$O$10000,"رعایت شده")/(COUNTIFS(Evaluations!$H$3:$H$10000,$A143,Evaluations!$O$3:$O$10000,"رعایت شده")+COUNTIFS(Evaluations!$H$3:$H$10000,$A143,Evaluations!$O$3:$O$10000,"رعایت نشده")),""))</f>
        <v/>
      </c>
      <c r="G143" s="79" t="str">
        <f>IF($A143="","",IFERROR(ROUND(100*COUNTIFS(Evaluations!$H$3:$H$10000,$A143,Evaluations!$Q$3:$Q$10000,1)/(COUNTIFS(Evaluations!$H$3:$H$10000,$A143,Evaluations!$Q$3:$Q$10000,1)+COUNTIFS(Evaluations!$H$3:$H$10000,$A143,Evaluations!$Q$3:$Q$10000,0)),2),""))</f>
        <v/>
      </c>
      <c r="H143" s="79" t="str">
        <f>IF($A143="","",IFERROR(ROUND(100*COUNTIFS(Evaluations!$H$3:$H$10000,$A143,Evaluations!$R$3:$R$10000,1)/(COUNTIFS(Evaluations!$H$3:$H$10000,$A143,Evaluations!$R$3:$R$10000,1)+COUNTIFS(Evaluations!$H$3:$H$10000,$A143,Evaluations!$R$3:$R$10000,0)),2),""))</f>
        <v/>
      </c>
      <c r="I143" s="79" t="str">
        <f>IF($A143="","",IFERROR(ROUND(100*COUNTIFS(Evaluations!$H$3:$H$10000,$A143,Evaluations!$S$3:$S$10000,1)/(COUNTIFS(Evaluations!$H$3:$H$10000,$A143,Evaluations!$S$3:$S$10000,1)+COUNTIFS(Evaluations!$H$3:$H$10000,$A143,Evaluations!$S$3:$S$10000,0)),2),""))</f>
        <v/>
      </c>
      <c r="J143" s="79" t="str">
        <f>IF($A143="","",IFERROR(ROUND(100*COUNTIFS(Evaluations!$H$3:$H$10000,$A143,Evaluations!$T$3:$T$10000,1)/(COUNTIFS(Evaluations!$H$3:$H$10000,$A143,Evaluations!$T$3:$T$10000,1)+COUNTIFS(Evaluations!$H$3:$H$10000,$A143,Evaluations!$T$3:$T$10000,0)),2),""))</f>
        <v/>
      </c>
      <c r="K143" s="79" t="str">
        <f>IF($A143="","",COUNTIFS(Evaluations!$H$3:$H$10000,$A143,Evaluations!$M$3:$M$10000,"عدم پاسخ"))</f>
        <v/>
      </c>
      <c r="L143" s="79" t="str">
        <f>IF($A143="","",COUNTIFS(Evaluations!$H$3:$H$10000,$A143,Evaluations!$O$3:$O$10000,"رعایت نشده"))</f>
        <v/>
      </c>
    </row>
    <row r="144">
      <c r="A144" s="79"/>
      <c r="B144" s="79" t="str">
        <f>IF($A144="","",COUNTIFS(Evaluations!$H$3:$H$10000,$A144,Evaluations!$U$3:$U$10000,"&gt;=0",Evaluations!$U$3:$U$10000,"&lt;=100"))</f>
        <v/>
      </c>
      <c r="C144" s="79" t="str">
        <f>IF($A144="","",COUNTIFS('Agent Report'!$B$4:$B$53,$A144,'Agent Report'!$C$4:$C$53,"&gt;0"))</f>
        <v/>
      </c>
      <c r="D144" s="79" t="str">
        <f>IF(OR($A144="",B144=0),"",ROUND(SUMIFS(Evaluations!$U$3:$U$10000,Evaluations!$H$3:$H$10000,$A144)/B144,2))</f>
        <v/>
      </c>
      <c r="E144" s="79" t="str">
        <f>IF($A144="","",COUNTIFS(Evaluations!$H$3:$H$10000,$A144,Evaluations!$M$3:$M$10000,"پاسخ داده شده"))</f>
        <v/>
      </c>
      <c r="F144" s="79" t="str">
        <f>IF($A144="","",IFERROR(COUNTIFS(Evaluations!$H$3:$H$10000,$A144,Evaluations!$O$3:$O$10000,"رعایت شده")/(COUNTIFS(Evaluations!$H$3:$H$10000,$A144,Evaluations!$O$3:$O$10000,"رعایت شده")+COUNTIFS(Evaluations!$H$3:$H$10000,$A144,Evaluations!$O$3:$O$10000,"رعایت نشده")),""))</f>
        <v/>
      </c>
      <c r="G144" s="79" t="str">
        <f>IF($A144="","",IFERROR(ROUND(100*COUNTIFS(Evaluations!$H$3:$H$10000,$A144,Evaluations!$Q$3:$Q$10000,1)/(COUNTIFS(Evaluations!$H$3:$H$10000,$A144,Evaluations!$Q$3:$Q$10000,1)+COUNTIFS(Evaluations!$H$3:$H$10000,$A144,Evaluations!$Q$3:$Q$10000,0)),2),""))</f>
        <v/>
      </c>
      <c r="H144" s="79" t="str">
        <f>IF($A144="","",IFERROR(ROUND(100*COUNTIFS(Evaluations!$H$3:$H$10000,$A144,Evaluations!$R$3:$R$10000,1)/(COUNTIFS(Evaluations!$H$3:$H$10000,$A144,Evaluations!$R$3:$R$10000,1)+COUNTIFS(Evaluations!$H$3:$H$10000,$A144,Evaluations!$R$3:$R$10000,0)),2),""))</f>
        <v/>
      </c>
      <c r="I144" s="79" t="str">
        <f>IF($A144="","",IFERROR(ROUND(100*COUNTIFS(Evaluations!$H$3:$H$10000,$A144,Evaluations!$S$3:$S$10000,1)/(COUNTIFS(Evaluations!$H$3:$H$10000,$A144,Evaluations!$S$3:$S$10000,1)+COUNTIFS(Evaluations!$H$3:$H$10000,$A144,Evaluations!$S$3:$S$10000,0)),2),""))</f>
        <v/>
      </c>
      <c r="J144" s="79" t="str">
        <f>IF($A144="","",IFERROR(ROUND(100*COUNTIFS(Evaluations!$H$3:$H$10000,$A144,Evaluations!$T$3:$T$10000,1)/(COUNTIFS(Evaluations!$H$3:$H$10000,$A144,Evaluations!$T$3:$T$10000,1)+COUNTIFS(Evaluations!$H$3:$H$10000,$A144,Evaluations!$T$3:$T$10000,0)),2),""))</f>
        <v/>
      </c>
      <c r="K144" s="79" t="str">
        <f>IF($A144="","",COUNTIFS(Evaluations!$H$3:$H$10000,$A144,Evaluations!$M$3:$M$10000,"عدم پاسخ"))</f>
        <v/>
      </c>
      <c r="L144" s="79" t="str">
        <f>IF($A144="","",COUNTIFS(Evaluations!$H$3:$H$10000,$A144,Evaluations!$O$3:$O$10000,"رعایت نشده"))</f>
        <v/>
      </c>
    </row>
    <row r="145">
      <c r="A145" s="79"/>
      <c r="B145" s="79" t="str">
        <f>IF($A145="","",COUNTIFS(Evaluations!$H$3:$H$10000,$A145,Evaluations!$U$3:$U$10000,"&gt;=0",Evaluations!$U$3:$U$10000,"&lt;=100"))</f>
        <v/>
      </c>
      <c r="C145" s="79" t="str">
        <f>IF($A145="","",COUNTIFS('Agent Report'!$B$4:$B$53,$A145,'Agent Report'!$C$4:$C$53,"&gt;0"))</f>
        <v/>
      </c>
      <c r="D145" s="79" t="str">
        <f>IF(OR($A145="",B145=0),"",ROUND(SUMIFS(Evaluations!$U$3:$U$10000,Evaluations!$H$3:$H$10000,$A145)/B145,2))</f>
        <v/>
      </c>
      <c r="E145" s="79" t="str">
        <f>IF($A145="","",COUNTIFS(Evaluations!$H$3:$H$10000,$A145,Evaluations!$M$3:$M$10000,"پاسخ داده شده"))</f>
        <v/>
      </c>
      <c r="F145" s="79" t="str">
        <f>IF($A145="","",IFERROR(COUNTIFS(Evaluations!$H$3:$H$10000,$A145,Evaluations!$O$3:$O$10000,"رعایت شده")/(COUNTIFS(Evaluations!$H$3:$H$10000,$A145,Evaluations!$O$3:$O$10000,"رعایت شده")+COUNTIFS(Evaluations!$H$3:$H$10000,$A145,Evaluations!$O$3:$O$10000,"رعایت نشده")),""))</f>
        <v/>
      </c>
      <c r="G145" s="79" t="str">
        <f>IF($A145="","",IFERROR(ROUND(100*COUNTIFS(Evaluations!$H$3:$H$10000,$A145,Evaluations!$Q$3:$Q$10000,1)/(COUNTIFS(Evaluations!$H$3:$H$10000,$A145,Evaluations!$Q$3:$Q$10000,1)+COUNTIFS(Evaluations!$H$3:$H$10000,$A145,Evaluations!$Q$3:$Q$10000,0)),2),""))</f>
        <v/>
      </c>
      <c r="H145" s="79" t="str">
        <f>IF($A145="","",IFERROR(ROUND(100*COUNTIFS(Evaluations!$H$3:$H$10000,$A145,Evaluations!$R$3:$R$10000,1)/(COUNTIFS(Evaluations!$H$3:$H$10000,$A145,Evaluations!$R$3:$R$10000,1)+COUNTIFS(Evaluations!$H$3:$H$10000,$A145,Evaluations!$R$3:$R$10000,0)),2),""))</f>
        <v/>
      </c>
      <c r="I145" s="79" t="str">
        <f>IF($A145="","",IFERROR(ROUND(100*COUNTIFS(Evaluations!$H$3:$H$10000,$A145,Evaluations!$S$3:$S$10000,1)/(COUNTIFS(Evaluations!$H$3:$H$10000,$A145,Evaluations!$S$3:$S$10000,1)+COUNTIFS(Evaluations!$H$3:$H$10000,$A145,Evaluations!$S$3:$S$10000,0)),2),""))</f>
        <v/>
      </c>
      <c r="J145" s="79" t="str">
        <f>IF($A145="","",IFERROR(ROUND(100*COUNTIFS(Evaluations!$H$3:$H$10000,$A145,Evaluations!$T$3:$T$10000,1)/(COUNTIFS(Evaluations!$H$3:$H$10000,$A145,Evaluations!$T$3:$T$10000,1)+COUNTIFS(Evaluations!$H$3:$H$10000,$A145,Evaluations!$T$3:$T$10000,0)),2),""))</f>
        <v/>
      </c>
      <c r="K145" s="79" t="str">
        <f>IF($A145="","",COUNTIFS(Evaluations!$H$3:$H$10000,$A145,Evaluations!$M$3:$M$10000,"عدم پاسخ"))</f>
        <v/>
      </c>
      <c r="L145" s="79" t="str">
        <f>IF($A145="","",COUNTIFS(Evaluations!$H$3:$H$10000,$A145,Evaluations!$O$3:$O$10000,"رعایت نشده"))</f>
        <v/>
      </c>
    </row>
    <row r="146">
      <c r="A146" s="79"/>
      <c r="B146" s="79" t="str">
        <f>IF($A146="","",COUNTIFS(Evaluations!$H$3:$H$10000,$A146,Evaluations!$U$3:$U$10000,"&gt;=0",Evaluations!$U$3:$U$10000,"&lt;=100"))</f>
        <v/>
      </c>
      <c r="C146" s="79" t="str">
        <f>IF($A146="","",COUNTIFS('Agent Report'!$B$4:$B$53,$A146,'Agent Report'!$C$4:$C$53,"&gt;0"))</f>
        <v/>
      </c>
      <c r="D146" s="79" t="str">
        <f>IF(OR($A146="",B146=0),"",ROUND(SUMIFS(Evaluations!$U$3:$U$10000,Evaluations!$H$3:$H$10000,$A146)/B146,2))</f>
        <v/>
      </c>
      <c r="E146" s="79" t="str">
        <f>IF($A146="","",COUNTIFS(Evaluations!$H$3:$H$10000,$A146,Evaluations!$M$3:$M$10000,"پاسخ داده شده"))</f>
        <v/>
      </c>
      <c r="F146" s="79" t="str">
        <f>IF($A146="","",IFERROR(COUNTIFS(Evaluations!$H$3:$H$10000,$A146,Evaluations!$O$3:$O$10000,"رعایت شده")/(COUNTIFS(Evaluations!$H$3:$H$10000,$A146,Evaluations!$O$3:$O$10000,"رعایت شده")+COUNTIFS(Evaluations!$H$3:$H$10000,$A146,Evaluations!$O$3:$O$10000,"رعایت نشده")),""))</f>
        <v/>
      </c>
      <c r="G146" s="79" t="str">
        <f>IF($A146="","",IFERROR(ROUND(100*COUNTIFS(Evaluations!$H$3:$H$10000,$A146,Evaluations!$Q$3:$Q$10000,1)/(COUNTIFS(Evaluations!$H$3:$H$10000,$A146,Evaluations!$Q$3:$Q$10000,1)+COUNTIFS(Evaluations!$H$3:$H$10000,$A146,Evaluations!$Q$3:$Q$10000,0)),2),""))</f>
        <v/>
      </c>
      <c r="H146" s="79" t="str">
        <f>IF($A146="","",IFERROR(ROUND(100*COUNTIFS(Evaluations!$H$3:$H$10000,$A146,Evaluations!$R$3:$R$10000,1)/(COUNTIFS(Evaluations!$H$3:$H$10000,$A146,Evaluations!$R$3:$R$10000,1)+COUNTIFS(Evaluations!$H$3:$H$10000,$A146,Evaluations!$R$3:$R$10000,0)),2),""))</f>
        <v/>
      </c>
      <c r="I146" s="79" t="str">
        <f>IF($A146="","",IFERROR(ROUND(100*COUNTIFS(Evaluations!$H$3:$H$10000,$A146,Evaluations!$S$3:$S$10000,1)/(COUNTIFS(Evaluations!$H$3:$H$10000,$A146,Evaluations!$S$3:$S$10000,1)+COUNTIFS(Evaluations!$H$3:$H$10000,$A146,Evaluations!$S$3:$S$10000,0)),2),""))</f>
        <v/>
      </c>
      <c r="J146" s="79" t="str">
        <f>IF($A146="","",IFERROR(ROUND(100*COUNTIFS(Evaluations!$H$3:$H$10000,$A146,Evaluations!$T$3:$T$10000,1)/(COUNTIFS(Evaluations!$H$3:$H$10000,$A146,Evaluations!$T$3:$T$10000,1)+COUNTIFS(Evaluations!$H$3:$H$10000,$A146,Evaluations!$T$3:$T$10000,0)),2),""))</f>
        <v/>
      </c>
      <c r="K146" s="79" t="str">
        <f>IF($A146="","",COUNTIFS(Evaluations!$H$3:$H$10000,$A146,Evaluations!$M$3:$M$10000,"عدم پاسخ"))</f>
        <v/>
      </c>
      <c r="L146" s="79" t="str">
        <f>IF($A146="","",COUNTIFS(Evaluations!$H$3:$H$10000,$A146,Evaluations!$O$3:$O$10000,"رعایت نشده"))</f>
        <v/>
      </c>
    </row>
    <row r="147">
      <c r="A147" s="79"/>
      <c r="B147" s="79" t="str">
        <f>IF($A147="","",COUNTIFS(Evaluations!$H$3:$H$10000,$A147,Evaluations!$U$3:$U$10000,"&gt;=0",Evaluations!$U$3:$U$10000,"&lt;=100"))</f>
        <v/>
      </c>
      <c r="C147" s="79" t="str">
        <f>IF($A147="","",COUNTIFS('Agent Report'!$B$4:$B$53,$A147,'Agent Report'!$C$4:$C$53,"&gt;0"))</f>
        <v/>
      </c>
      <c r="D147" s="79" t="str">
        <f>IF(OR($A147="",B147=0),"",ROUND(SUMIFS(Evaluations!$U$3:$U$10000,Evaluations!$H$3:$H$10000,$A147)/B147,2))</f>
        <v/>
      </c>
      <c r="E147" s="79" t="str">
        <f>IF($A147="","",COUNTIFS(Evaluations!$H$3:$H$10000,$A147,Evaluations!$M$3:$M$10000,"پاسخ داده شده"))</f>
        <v/>
      </c>
      <c r="F147" s="79" t="str">
        <f>IF($A147="","",IFERROR(COUNTIFS(Evaluations!$H$3:$H$10000,$A147,Evaluations!$O$3:$O$10000,"رعایت شده")/(COUNTIFS(Evaluations!$H$3:$H$10000,$A147,Evaluations!$O$3:$O$10000,"رعایت شده")+COUNTIFS(Evaluations!$H$3:$H$10000,$A147,Evaluations!$O$3:$O$10000,"رعایت نشده")),""))</f>
        <v/>
      </c>
      <c r="G147" s="79" t="str">
        <f>IF($A147="","",IFERROR(ROUND(100*COUNTIFS(Evaluations!$H$3:$H$10000,$A147,Evaluations!$Q$3:$Q$10000,1)/(COUNTIFS(Evaluations!$H$3:$H$10000,$A147,Evaluations!$Q$3:$Q$10000,1)+COUNTIFS(Evaluations!$H$3:$H$10000,$A147,Evaluations!$Q$3:$Q$10000,0)),2),""))</f>
        <v/>
      </c>
      <c r="H147" s="79" t="str">
        <f>IF($A147="","",IFERROR(ROUND(100*COUNTIFS(Evaluations!$H$3:$H$10000,$A147,Evaluations!$R$3:$R$10000,1)/(COUNTIFS(Evaluations!$H$3:$H$10000,$A147,Evaluations!$R$3:$R$10000,1)+COUNTIFS(Evaluations!$H$3:$H$10000,$A147,Evaluations!$R$3:$R$10000,0)),2),""))</f>
        <v/>
      </c>
      <c r="I147" s="79" t="str">
        <f>IF($A147="","",IFERROR(ROUND(100*COUNTIFS(Evaluations!$H$3:$H$10000,$A147,Evaluations!$S$3:$S$10000,1)/(COUNTIFS(Evaluations!$H$3:$H$10000,$A147,Evaluations!$S$3:$S$10000,1)+COUNTIFS(Evaluations!$H$3:$H$10000,$A147,Evaluations!$S$3:$S$10000,0)),2),""))</f>
        <v/>
      </c>
      <c r="J147" s="79" t="str">
        <f>IF($A147="","",IFERROR(ROUND(100*COUNTIFS(Evaluations!$H$3:$H$10000,$A147,Evaluations!$T$3:$T$10000,1)/(COUNTIFS(Evaluations!$H$3:$H$10000,$A147,Evaluations!$T$3:$T$10000,1)+COUNTIFS(Evaluations!$H$3:$H$10000,$A147,Evaluations!$T$3:$T$10000,0)),2),""))</f>
        <v/>
      </c>
      <c r="K147" s="79" t="str">
        <f>IF($A147="","",COUNTIFS(Evaluations!$H$3:$H$10000,$A147,Evaluations!$M$3:$M$10000,"عدم پاسخ"))</f>
        <v/>
      </c>
      <c r="L147" s="79" t="str">
        <f>IF($A147="","",COUNTIFS(Evaluations!$H$3:$H$10000,$A147,Evaluations!$O$3:$O$10000,"رعایت نشده"))</f>
        <v/>
      </c>
    </row>
    <row r="148">
      <c r="A148" s="79"/>
      <c r="B148" s="79" t="str">
        <f>IF($A148="","",COUNTIFS(Evaluations!$H$3:$H$10000,$A148,Evaluations!$U$3:$U$10000,"&gt;=0",Evaluations!$U$3:$U$10000,"&lt;=100"))</f>
        <v/>
      </c>
      <c r="C148" s="79" t="str">
        <f>IF($A148="","",COUNTIFS('Agent Report'!$B$4:$B$53,$A148,'Agent Report'!$C$4:$C$53,"&gt;0"))</f>
        <v/>
      </c>
      <c r="D148" s="79" t="str">
        <f>IF(OR($A148="",B148=0),"",ROUND(SUMIFS(Evaluations!$U$3:$U$10000,Evaluations!$H$3:$H$10000,$A148)/B148,2))</f>
        <v/>
      </c>
      <c r="E148" s="79" t="str">
        <f>IF($A148="","",COUNTIFS(Evaluations!$H$3:$H$10000,$A148,Evaluations!$M$3:$M$10000,"پاسخ داده شده"))</f>
        <v/>
      </c>
      <c r="F148" s="79" t="str">
        <f>IF($A148="","",IFERROR(COUNTIFS(Evaluations!$H$3:$H$10000,$A148,Evaluations!$O$3:$O$10000,"رعایت شده")/(COUNTIFS(Evaluations!$H$3:$H$10000,$A148,Evaluations!$O$3:$O$10000,"رعایت شده")+COUNTIFS(Evaluations!$H$3:$H$10000,$A148,Evaluations!$O$3:$O$10000,"رعایت نشده")),""))</f>
        <v/>
      </c>
      <c r="G148" s="79" t="str">
        <f>IF($A148="","",IFERROR(ROUND(100*COUNTIFS(Evaluations!$H$3:$H$10000,$A148,Evaluations!$Q$3:$Q$10000,1)/(COUNTIFS(Evaluations!$H$3:$H$10000,$A148,Evaluations!$Q$3:$Q$10000,1)+COUNTIFS(Evaluations!$H$3:$H$10000,$A148,Evaluations!$Q$3:$Q$10000,0)),2),""))</f>
        <v/>
      </c>
      <c r="H148" s="79" t="str">
        <f>IF($A148="","",IFERROR(ROUND(100*COUNTIFS(Evaluations!$H$3:$H$10000,$A148,Evaluations!$R$3:$R$10000,1)/(COUNTIFS(Evaluations!$H$3:$H$10000,$A148,Evaluations!$R$3:$R$10000,1)+COUNTIFS(Evaluations!$H$3:$H$10000,$A148,Evaluations!$R$3:$R$10000,0)),2),""))</f>
        <v/>
      </c>
      <c r="I148" s="79" t="str">
        <f>IF($A148="","",IFERROR(ROUND(100*COUNTIFS(Evaluations!$H$3:$H$10000,$A148,Evaluations!$S$3:$S$10000,1)/(COUNTIFS(Evaluations!$H$3:$H$10000,$A148,Evaluations!$S$3:$S$10000,1)+COUNTIFS(Evaluations!$H$3:$H$10000,$A148,Evaluations!$S$3:$S$10000,0)),2),""))</f>
        <v/>
      </c>
      <c r="J148" s="79" t="str">
        <f>IF($A148="","",IFERROR(ROUND(100*COUNTIFS(Evaluations!$H$3:$H$10000,$A148,Evaluations!$T$3:$T$10000,1)/(COUNTIFS(Evaluations!$H$3:$H$10000,$A148,Evaluations!$T$3:$T$10000,1)+COUNTIFS(Evaluations!$H$3:$H$10000,$A148,Evaluations!$T$3:$T$10000,0)),2),""))</f>
        <v/>
      </c>
      <c r="K148" s="79" t="str">
        <f>IF($A148="","",COUNTIFS(Evaluations!$H$3:$H$10000,$A148,Evaluations!$M$3:$M$10000,"عدم پاسخ"))</f>
        <v/>
      </c>
      <c r="L148" s="79" t="str">
        <f>IF($A148="","",COUNTIFS(Evaluations!$H$3:$H$10000,$A148,Evaluations!$O$3:$O$10000,"رعایت نشده"))</f>
        <v/>
      </c>
    </row>
    <row r="149">
      <c r="A149" s="79"/>
      <c r="B149" s="79" t="str">
        <f>IF($A149="","",COUNTIFS(Evaluations!$H$3:$H$10000,$A149,Evaluations!$U$3:$U$10000,"&gt;=0",Evaluations!$U$3:$U$10000,"&lt;=100"))</f>
        <v/>
      </c>
      <c r="C149" s="79" t="str">
        <f>IF($A149="","",COUNTIFS('Agent Report'!$B$4:$B$53,$A149,'Agent Report'!$C$4:$C$53,"&gt;0"))</f>
        <v/>
      </c>
      <c r="D149" s="79" t="str">
        <f>IF(OR($A149="",B149=0),"",ROUND(SUMIFS(Evaluations!$U$3:$U$10000,Evaluations!$H$3:$H$10000,$A149)/B149,2))</f>
        <v/>
      </c>
      <c r="E149" s="79" t="str">
        <f>IF($A149="","",COUNTIFS(Evaluations!$H$3:$H$10000,$A149,Evaluations!$M$3:$M$10000,"پاسخ داده شده"))</f>
        <v/>
      </c>
      <c r="F149" s="79" t="str">
        <f>IF($A149="","",IFERROR(COUNTIFS(Evaluations!$H$3:$H$10000,$A149,Evaluations!$O$3:$O$10000,"رعایت شده")/(COUNTIFS(Evaluations!$H$3:$H$10000,$A149,Evaluations!$O$3:$O$10000,"رعایت شده")+COUNTIFS(Evaluations!$H$3:$H$10000,$A149,Evaluations!$O$3:$O$10000,"رعایت نشده")),""))</f>
        <v/>
      </c>
      <c r="G149" s="79" t="str">
        <f>IF($A149="","",IFERROR(ROUND(100*COUNTIFS(Evaluations!$H$3:$H$10000,$A149,Evaluations!$Q$3:$Q$10000,1)/(COUNTIFS(Evaluations!$H$3:$H$10000,$A149,Evaluations!$Q$3:$Q$10000,1)+COUNTIFS(Evaluations!$H$3:$H$10000,$A149,Evaluations!$Q$3:$Q$10000,0)),2),""))</f>
        <v/>
      </c>
      <c r="H149" s="79" t="str">
        <f>IF($A149="","",IFERROR(ROUND(100*COUNTIFS(Evaluations!$H$3:$H$10000,$A149,Evaluations!$R$3:$R$10000,1)/(COUNTIFS(Evaluations!$H$3:$H$10000,$A149,Evaluations!$R$3:$R$10000,1)+COUNTIFS(Evaluations!$H$3:$H$10000,$A149,Evaluations!$R$3:$R$10000,0)),2),""))</f>
        <v/>
      </c>
      <c r="I149" s="79" t="str">
        <f>IF($A149="","",IFERROR(ROUND(100*COUNTIFS(Evaluations!$H$3:$H$10000,$A149,Evaluations!$S$3:$S$10000,1)/(COUNTIFS(Evaluations!$H$3:$H$10000,$A149,Evaluations!$S$3:$S$10000,1)+COUNTIFS(Evaluations!$H$3:$H$10000,$A149,Evaluations!$S$3:$S$10000,0)),2),""))</f>
        <v/>
      </c>
      <c r="J149" s="79" t="str">
        <f>IF($A149="","",IFERROR(ROUND(100*COUNTIFS(Evaluations!$H$3:$H$10000,$A149,Evaluations!$T$3:$T$10000,1)/(COUNTIFS(Evaluations!$H$3:$H$10000,$A149,Evaluations!$T$3:$T$10000,1)+COUNTIFS(Evaluations!$H$3:$H$10000,$A149,Evaluations!$T$3:$T$10000,0)),2),""))</f>
        <v/>
      </c>
      <c r="K149" s="79" t="str">
        <f>IF($A149="","",COUNTIFS(Evaluations!$H$3:$H$10000,$A149,Evaluations!$M$3:$M$10000,"عدم پاسخ"))</f>
        <v/>
      </c>
      <c r="L149" s="79" t="str">
        <f>IF($A149="","",COUNTIFS(Evaluations!$H$3:$H$10000,$A149,Evaluations!$O$3:$O$10000,"رعایت نشده"))</f>
        <v/>
      </c>
    </row>
    <row r="150">
      <c r="A150" s="79"/>
      <c r="B150" s="79" t="str">
        <f>IF($A150="","",COUNTIFS(Evaluations!$H$3:$H$10000,$A150,Evaluations!$U$3:$U$10000,"&gt;=0",Evaluations!$U$3:$U$10000,"&lt;=100"))</f>
        <v/>
      </c>
      <c r="C150" s="79" t="str">
        <f>IF($A150="","",COUNTIFS('Agent Report'!$B$4:$B$53,$A150,'Agent Report'!$C$4:$C$53,"&gt;0"))</f>
        <v/>
      </c>
      <c r="D150" s="79" t="str">
        <f>IF(OR($A150="",B150=0),"",ROUND(SUMIFS(Evaluations!$U$3:$U$10000,Evaluations!$H$3:$H$10000,$A150)/B150,2))</f>
        <v/>
      </c>
      <c r="E150" s="79" t="str">
        <f>IF($A150="","",COUNTIFS(Evaluations!$H$3:$H$10000,$A150,Evaluations!$M$3:$M$10000,"پاسخ داده شده"))</f>
        <v/>
      </c>
      <c r="F150" s="79" t="str">
        <f>IF($A150="","",IFERROR(COUNTIFS(Evaluations!$H$3:$H$10000,$A150,Evaluations!$O$3:$O$10000,"رعایت شده")/(COUNTIFS(Evaluations!$H$3:$H$10000,$A150,Evaluations!$O$3:$O$10000,"رعایت شده")+COUNTIFS(Evaluations!$H$3:$H$10000,$A150,Evaluations!$O$3:$O$10000,"رعایت نشده")),""))</f>
        <v/>
      </c>
      <c r="G150" s="79" t="str">
        <f>IF($A150="","",IFERROR(ROUND(100*COUNTIFS(Evaluations!$H$3:$H$10000,$A150,Evaluations!$Q$3:$Q$10000,1)/(COUNTIFS(Evaluations!$H$3:$H$10000,$A150,Evaluations!$Q$3:$Q$10000,1)+COUNTIFS(Evaluations!$H$3:$H$10000,$A150,Evaluations!$Q$3:$Q$10000,0)),2),""))</f>
        <v/>
      </c>
      <c r="H150" s="79" t="str">
        <f>IF($A150="","",IFERROR(ROUND(100*COUNTIFS(Evaluations!$H$3:$H$10000,$A150,Evaluations!$R$3:$R$10000,1)/(COUNTIFS(Evaluations!$H$3:$H$10000,$A150,Evaluations!$R$3:$R$10000,1)+COUNTIFS(Evaluations!$H$3:$H$10000,$A150,Evaluations!$R$3:$R$10000,0)),2),""))</f>
        <v/>
      </c>
      <c r="I150" s="79" t="str">
        <f>IF($A150="","",IFERROR(ROUND(100*COUNTIFS(Evaluations!$H$3:$H$10000,$A150,Evaluations!$S$3:$S$10000,1)/(COUNTIFS(Evaluations!$H$3:$H$10000,$A150,Evaluations!$S$3:$S$10000,1)+COUNTIFS(Evaluations!$H$3:$H$10000,$A150,Evaluations!$S$3:$S$10000,0)),2),""))</f>
        <v/>
      </c>
      <c r="J150" s="79" t="str">
        <f>IF($A150="","",IFERROR(ROUND(100*COUNTIFS(Evaluations!$H$3:$H$10000,$A150,Evaluations!$T$3:$T$10000,1)/(COUNTIFS(Evaluations!$H$3:$H$10000,$A150,Evaluations!$T$3:$T$10000,1)+COUNTIFS(Evaluations!$H$3:$H$10000,$A150,Evaluations!$T$3:$T$10000,0)),2),""))</f>
        <v/>
      </c>
      <c r="K150" s="79" t="str">
        <f>IF($A150="","",COUNTIFS(Evaluations!$H$3:$H$10000,$A150,Evaluations!$M$3:$M$10000,"عدم پاسخ"))</f>
        <v/>
      </c>
      <c r="L150" s="79" t="str">
        <f>IF($A150="","",COUNTIFS(Evaluations!$H$3:$H$10000,$A150,Evaluations!$O$3:$O$10000,"رعایت نشده"))</f>
        <v/>
      </c>
    </row>
    <row r="151">
      <c r="A151" s="79"/>
      <c r="B151" s="79" t="str">
        <f>IF($A151="","",COUNTIFS(Evaluations!$H$3:$H$10000,$A151,Evaluations!$U$3:$U$10000,"&gt;=0",Evaluations!$U$3:$U$10000,"&lt;=100"))</f>
        <v/>
      </c>
      <c r="C151" s="79" t="str">
        <f>IF($A151="","",COUNTIFS('Agent Report'!$B$4:$B$53,$A151,'Agent Report'!$C$4:$C$53,"&gt;0"))</f>
        <v/>
      </c>
      <c r="D151" s="79" t="str">
        <f>IF(OR($A151="",B151=0),"",ROUND(SUMIFS(Evaluations!$U$3:$U$10000,Evaluations!$H$3:$H$10000,$A151)/B151,2))</f>
        <v/>
      </c>
      <c r="E151" s="79" t="str">
        <f>IF($A151="","",COUNTIFS(Evaluations!$H$3:$H$10000,$A151,Evaluations!$M$3:$M$10000,"پاسخ داده شده"))</f>
        <v/>
      </c>
      <c r="F151" s="79" t="str">
        <f>IF($A151="","",IFERROR(COUNTIFS(Evaluations!$H$3:$H$10000,$A151,Evaluations!$O$3:$O$10000,"رعایت شده")/(COUNTIFS(Evaluations!$H$3:$H$10000,$A151,Evaluations!$O$3:$O$10000,"رعایت شده")+COUNTIFS(Evaluations!$H$3:$H$10000,$A151,Evaluations!$O$3:$O$10000,"رعایت نشده")),""))</f>
        <v/>
      </c>
      <c r="G151" s="79" t="str">
        <f>IF($A151="","",IFERROR(ROUND(100*COUNTIFS(Evaluations!$H$3:$H$10000,$A151,Evaluations!$Q$3:$Q$10000,1)/(COUNTIFS(Evaluations!$H$3:$H$10000,$A151,Evaluations!$Q$3:$Q$10000,1)+COUNTIFS(Evaluations!$H$3:$H$10000,$A151,Evaluations!$Q$3:$Q$10000,0)),2),""))</f>
        <v/>
      </c>
      <c r="H151" s="79" t="str">
        <f>IF($A151="","",IFERROR(ROUND(100*COUNTIFS(Evaluations!$H$3:$H$10000,$A151,Evaluations!$R$3:$R$10000,1)/(COUNTIFS(Evaluations!$H$3:$H$10000,$A151,Evaluations!$R$3:$R$10000,1)+COUNTIFS(Evaluations!$H$3:$H$10000,$A151,Evaluations!$R$3:$R$10000,0)),2),""))</f>
        <v/>
      </c>
      <c r="I151" s="79" t="str">
        <f>IF($A151="","",IFERROR(ROUND(100*COUNTIFS(Evaluations!$H$3:$H$10000,$A151,Evaluations!$S$3:$S$10000,1)/(COUNTIFS(Evaluations!$H$3:$H$10000,$A151,Evaluations!$S$3:$S$10000,1)+COUNTIFS(Evaluations!$H$3:$H$10000,$A151,Evaluations!$S$3:$S$10000,0)),2),""))</f>
        <v/>
      </c>
      <c r="J151" s="79" t="str">
        <f>IF($A151="","",IFERROR(ROUND(100*COUNTIFS(Evaluations!$H$3:$H$10000,$A151,Evaluations!$T$3:$T$10000,1)/(COUNTIFS(Evaluations!$H$3:$H$10000,$A151,Evaluations!$T$3:$T$10000,1)+COUNTIFS(Evaluations!$H$3:$H$10000,$A151,Evaluations!$T$3:$T$10000,0)),2),""))</f>
        <v/>
      </c>
      <c r="K151" s="79" t="str">
        <f>IF($A151="","",COUNTIFS(Evaluations!$H$3:$H$10000,$A151,Evaluations!$M$3:$M$10000,"عدم پاسخ"))</f>
        <v/>
      </c>
      <c r="L151" s="79" t="str">
        <f>IF($A151="","",COUNTIFS(Evaluations!$H$3:$H$10000,$A151,Evaluations!$O$3:$O$10000,"رعایت نشده"))</f>
        <v/>
      </c>
    </row>
    <row r="152">
      <c r="A152" s="79"/>
      <c r="B152" s="79" t="str">
        <f>IF($A152="","",COUNTIFS(Evaluations!$H$3:$H$10000,$A152,Evaluations!$U$3:$U$10000,"&gt;=0",Evaluations!$U$3:$U$10000,"&lt;=100"))</f>
        <v/>
      </c>
      <c r="C152" s="79" t="str">
        <f>IF($A152="","",COUNTIFS('Agent Report'!$B$4:$B$53,$A152,'Agent Report'!$C$4:$C$53,"&gt;0"))</f>
        <v/>
      </c>
      <c r="D152" s="79" t="str">
        <f>IF(OR($A152="",B152=0),"",ROUND(SUMIFS(Evaluations!$U$3:$U$10000,Evaluations!$H$3:$H$10000,$A152)/B152,2))</f>
        <v/>
      </c>
      <c r="E152" s="79" t="str">
        <f>IF($A152="","",COUNTIFS(Evaluations!$H$3:$H$10000,$A152,Evaluations!$M$3:$M$10000,"پاسخ داده شده"))</f>
        <v/>
      </c>
      <c r="F152" s="79" t="str">
        <f>IF($A152="","",IFERROR(COUNTIFS(Evaluations!$H$3:$H$10000,$A152,Evaluations!$O$3:$O$10000,"رعایت شده")/(COUNTIFS(Evaluations!$H$3:$H$10000,$A152,Evaluations!$O$3:$O$10000,"رعایت شده")+COUNTIFS(Evaluations!$H$3:$H$10000,$A152,Evaluations!$O$3:$O$10000,"رعایت نشده")),""))</f>
        <v/>
      </c>
      <c r="G152" s="79" t="str">
        <f>IF($A152="","",IFERROR(ROUND(100*COUNTIFS(Evaluations!$H$3:$H$10000,$A152,Evaluations!$Q$3:$Q$10000,1)/(COUNTIFS(Evaluations!$H$3:$H$10000,$A152,Evaluations!$Q$3:$Q$10000,1)+COUNTIFS(Evaluations!$H$3:$H$10000,$A152,Evaluations!$Q$3:$Q$10000,0)),2),""))</f>
        <v/>
      </c>
      <c r="H152" s="79" t="str">
        <f>IF($A152="","",IFERROR(ROUND(100*COUNTIFS(Evaluations!$H$3:$H$10000,$A152,Evaluations!$R$3:$R$10000,1)/(COUNTIFS(Evaluations!$H$3:$H$10000,$A152,Evaluations!$R$3:$R$10000,1)+COUNTIFS(Evaluations!$H$3:$H$10000,$A152,Evaluations!$R$3:$R$10000,0)),2),""))</f>
        <v/>
      </c>
      <c r="I152" s="79" t="str">
        <f>IF($A152="","",IFERROR(ROUND(100*COUNTIFS(Evaluations!$H$3:$H$10000,$A152,Evaluations!$S$3:$S$10000,1)/(COUNTIFS(Evaluations!$H$3:$H$10000,$A152,Evaluations!$S$3:$S$10000,1)+COUNTIFS(Evaluations!$H$3:$H$10000,$A152,Evaluations!$S$3:$S$10000,0)),2),""))</f>
        <v/>
      </c>
      <c r="J152" s="79" t="str">
        <f>IF($A152="","",IFERROR(ROUND(100*COUNTIFS(Evaluations!$H$3:$H$10000,$A152,Evaluations!$T$3:$T$10000,1)/(COUNTIFS(Evaluations!$H$3:$H$10000,$A152,Evaluations!$T$3:$T$10000,1)+COUNTIFS(Evaluations!$H$3:$H$10000,$A152,Evaluations!$T$3:$T$10000,0)),2),""))</f>
        <v/>
      </c>
      <c r="K152" s="79" t="str">
        <f>IF($A152="","",COUNTIFS(Evaluations!$H$3:$H$10000,$A152,Evaluations!$M$3:$M$10000,"عدم پاسخ"))</f>
        <v/>
      </c>
      <c r="L152" s="79" t="str">
        <f>IF($A152="","",COUNTIFS(Evaluations!$H$3:$H$10000,$A152,Evaluations!$O$3:$O$10000,"رعایت نشده"))</f>
        <v/>
      </c>
    </row>
    <row r="153">
      <c r="A153" s="79"/>
      <c r="B153" s="79" t="str">
        <f>IF($A153="","",COUNTIFS(Evaluations!$H$3:$H$10000,$A153,Evaluations!$U$3:$U$10000,"&gt;=0",Evaluations!$U$3:$U$10000,"&lt;=100"))</f>
        <v/>
      </c>
      <c r="C153" s="79" t="str">
        <f>IF($A153="","",COUNTIFS('Agent Report'!$B$4:$B$53,$A153,'Agent Report'!$C$4:$C$53,"&gt;0"))</f>
        <v/>
      </c>
      <c r="D153" s="79" t="str">
        <f>IF(OR($A153="",B153=0),"",ROUND(SUMIFS(Evaluations!$U$3:$U$10000,Evaluations!$H$3:$H$10000,$A153)/B153,2))</f>
        <v/>
      </c>
      <c r="E153" s="79" t="str">
        <f>IF($A153="","",COUNTIFS(Evaluations!$H$3:$H$10000,$A153,Evaluations!$M$3:$M$10000,"پاسخ داده شده"))</f>
        <v/>
      </c>
      <c r="F153" s="79" t="str">
        <f>IF($A153="","",IFERROR(COUNTIFS(Evaluations!$H$3:$H$10000,$A153,Evaluations!$O$3:$O$10000,"رعایت شده")/(COUNTIFS(Evaluations!$H$3:$H$10000,$A153,Evaluations!$O$3:$O$10000,"رعایت شده")+COUNTIFS(Evaluations!$H$3:$H$10000,$A153,Evaluations!$O$3:$O$10000,"رعایت نشده")),""))</f>
        <v/>
      </c>
      <c r="G153" s="79" t="str">
        <f>IF($A153="","",IFERROR(ROUND(100*COUNTIFS(Evaluations!$H$3:$H$10000,$A153,Evaluations!$Q$3:$Q$10000,1)/(COUNTIFS(Evaluations!$H$3:$H$10000,$A153,Evaluations!$Q$3:$Q$10000,1)+COUNTIFS(Evaluations!$H$3:$H$10000,$A153,Evaluations!$Q$3:$Q$10000,0)),2),""))</f>
        <v/>
      </c>
      <c r="H153" s="79" t="str">
        <f>IF($A153="","",IFERROR(ROUND(100*COUNTIFS(Evaluations!$H$3:$H$10000,$A153,Evaluations!$R$3:$R$10000,1)/(COUNTIFS(Evaluations!$H$3:$H$10000,$A153,Evaluations!$R$3:$R$10000,1)+COUNTIFS(Evaluations!$H$3:$H$10000,$A153,Evaluations!$R$3:$R$10000,0)),2),""))</f>
        <v/>
      </c>
      <c r="I153" s="79" t="str">
        <f>IF($A153="","",IFERROR(ROUND(100*COUNTIFS(Evaluations!$H$3:$H$10000,$A153,Evaluations!$S$3:$S$10000,1)/(COUNTIFS(Evaluations!$H$3:$H$10000,$A153,Evaluations!$S$3:$S$10000,1)+COUNTIFS(Evaluations!$H$3:$H$10000,$A153,Evaluations!$S$3:$S$10000,0)),2),""))</f>
        <v/>
      </c>
      <c r="J153" s="79" t="str">
        <f>IF($A153="","",IFERROR(ROUND(100*COUNTIFS(Evaluations!$H$3:$H$10000,$A153,Evaluations!$T$3:$T$10000,1)/(COUNTIFS(Evaluations!$H$3:$H$10000,$A153,Evaluations!$T$3:$T$10000,1)+COUNTIFS(Evaluations!$H$3:$H$10000,$A153,Evaluations!$T$3:$T$10000,0)),2),""))</f>
        <v/>
      </c>
      <c r="K153" s="79" t="str">
        <f>IF($A153="","",COUNTIFS(Evaluations!$H$3:$H$10000,$A153,Evaluations!$M$3:$M$10000,"عدم پاسخ"))</f>
        <v/>
      </c>
      <c r="L153" s="79" t="str">
        <f>IF($A153="","",COUNTIFS(Evaluations!$H$3:$H$10000,$A153,Evaluations!$O$3:$O$10000,"رعایت نشده"))</f>
        <v/>
      </c>
    </row>
    <row r="154">
      <c r="A154" s="79"/>
      <c r="B154" s="79" t="str">
        <f>IF($A154="","",COUNTIFS(Evaluations!$H$3:$H$10000,$A154,Evaluations!$U$3:$U$10000,"&gt;=0",Evaluations!$U$3:$U$10000,"&lt;=100"))</f>
        <v/>
      </c>
      <c r="C154" s="79" t="str">
        <f>IF($A154="","",COUNTIFS('Agent Report'!$B$4:$B$53,$A154,'Agent Report'!$C$4:$C$53,"&gt;0"))</f>
        <v/>
      </c>
      <c r="D154" s="79" t="str">
        <f>IF(OR($A154="",B154=0),"",ROUND(SUMIFS(Evaluations!$U$3:$U$10000,Evaluations!$H$3:$H$10000,$A154)/B154,2))</f>
        <v/>
      </c>
      <c r="E154" s="79" t="str">
        <f>IF($A154="","",COUNTIFS(Evaluations!$H$3:$H$10000,$A154,Evaluations!$M$3:$M$10000,"پاسخ داده شده"))</f>
        <v/>
      </c>
      <c r="F154" s="79" t="str">
        <f>IF($A154="","",IFERROR(COUNTIFS(Evaluations!$H$3:$H$10000,$A154,Evaluations!$O$3:$O$10000,"رعایت شده")/(COUNTIFS(Evaluations!$H$3:$H$10000,$A154,Evaluations!$O$3:$O$10000,"رعایت شده")+COUNTIFS(Evaluations!$H$3:$H$10000,$A154,Evaluations!$O$3:$O$10000,"رعایت نشده")),""))</f>
        <v/>
      </c>
      <c r="G154" s="79" t="str">
        <f>IF($A154="","",IFERROR(ROUND(100*COUNTIFS(Evaluations!$H$3:$H$10000,$A154,Evaluations!$Q$3:$Q$10000,1)/(COUNTIFS(Evaluations!$H$3:$H$10000,$A154,Evaluations!$Q$3:$Q$10000,1)+COUNTIFS(Evaluations!$H$3:$H$10000,$A154,Evaluations!$Q$3:$Q$10000,0)),2),""))</f>
        <v/>
      </c>
      <c r="H154" s="79" t="str">
        <f>IF($A154="","",IFERROR(ROUND(100*COUNTIFS(Evaluations!$H$3:$H$10000,$A154,Evaluations!$R$3:$R$10000,1)/(COUNTIFS(Evaluations!$H$3:$H$10000,$A154,Evaluations!$R$3:$R$10000,1)+COUNTIFS(Evaluations!$H$3:$H$10000,$A154,Evaluations!$R$3:$R$10000,0)),2),""))</f>
        <v/>
      </c>
      <c r="I154" s="79" t="str">
        <f>IF($A154="","",IFERROR(ROUND(100*COUNTIFS(Evaluations!$H$3:$H$10000,$A154,Evaluations!$S$3:$S$10000,1)/(COUNTIFS(Evaluations!$H$3:$H$10000,$A154,Evaluations!$S$3:$S$10000,1)+COUNTIFS(Evaluations!$H$3:$H$10000,$A154,Evaluations!$S$3:$S$10000,0)),2),""))</f>
        <v/>
      </c>
      <c r="J154" s="79" t="str">
        <f>IF($A154="","",IFERROR(ROUND(100*COUNTIFS(Evaluations!$H$3:$H$10000,$A154,Evaluations!$T$3:$T$10000,1)/(COUNTIFS(Evaluations!$H$3:$H$10000,$A154,Evaluations!$T$3:$T$10000,1)+COUNTIFS(Evaluations!$H$3:$H$10000,$A154,Evaluations!$T$3:$T$10000,0)),2),""))</f>
        <v/>
      </c>
      <c r="K154" s="79" t="str">
        <f>IF($A154="","",COUNTIFS(Evaluations!$H$3:$H$10000,$A154,Evaluations!$M$3:$M$10000,"عدم پاسخ"))</f>
        <v/>
      </c>
      <c r="L154" s="79" t="str">
        <f>IF($A154="","",COUNTIFS(Evaluations!$H$3:$H$10000,$A154,Evaluations!$O$3:$O$10000,"رعایت نشده"))</f>
        <v/>
      </c>
    </row>
    <row r="155">
      <c r="A155" s="79"/>
      <c r="B155" s="79" t="str">
        <f>IF($A155="","",COUNTIFS(Evaluations!$H$3:$H$10000,$A155,Evaluations!$U$3:$U$10000,"&gt;=0",Evaluations!$U$3:$U$10000,"&lt;=100"))</f>
        <v/>
      </c>
      <c r="C155" s="79" t="str">
        <f>IF($A155="","",COUNTIFS('Agent Report'!$B$4:$B$53,$A155,'Agent Report'!$C$4:$C$53,"&gt;0"))</f>
        <v/>
      </c>
      <c r="D155" s="79" t="str">
        <f>IF(OR($A155="",B155=0),"",ROUND(SUMIFS(Evaluations!$U$3:$U$10000,Evaluations!$H$3:$H$10000,$A155)/B155,2))</f>
        <v/>
      </c>
      <c r="E155" s="79" t="str">
        <f>IF($A155="","",COUNTIFS(Evaluations!$H$3:$H$10000,$A155,Evaluations!$M$3:$M$10000,"پاسخ داده شده"))</f>
        <v/>
      </c>
      <c r="F155" s="79" t="str">
        <f>IF($A155="","",IFERROR(COUNTIFS(Evaluations!$H$3:$H$10000,$A155,Evaluations!$O$3:$O$10000,"رعایت شده")/(COUNTIFS(Evaluations!$H$3:$H$10000,$A155,Evaluations!$O$3:$O$10000,"رعایت شده")+COUNTIFS(Evaluations!$H$3:$H$10000,$A155,Evaluations!$O$3:$O$10000,"رعایت نشده")),""))</f>
        <v/>
      </c>
      <c r="G155" s="79" t="str">
        <f>IF($A155="","",IFERROR(ROUND(100*COUNTIFS(Evaluations!$H$3:$H$10000,$A155,Evaluations!$Q$3:$Q$10000,1)/(COUNTIFS(Evaluations!$H$3:$H$10000,$A155,Evaluations!$Q$3:$Q$10000,1)+COUNTIFS(Evaluations!$H$3:$H$10000,$A155,Evaluations!$Q$3:$Q$10000,0)),2),""))</f>
        <v/>
      </c>
      <c r="H155" s="79" t="str">
        <f>IF($A155="","",IFERROR(ROUND(100*COUNTIFS(Evaluations!$H$3:$H$10000,$A155,Evaluations!$R$3:$R$10000,1)/(COUNTIFS(Evaluations!$H$3:$H$10000,$A155,Evaluations!$R$3:$R$10000,1)+COUNTIFS(Evaluations!$H$3:$H$10000,$A155,Evaluations!$R$3:$R$10000,0)),2),""))</f>
        <v/>
      </c>
      <c r="I155" s="79" t="str">
        <f>IF($A155="","",IFERROR(ROUND(100*COUNTIFS(Evaluations!$H$3:$H$10000,$A155,Evaluations!$S$3:$S$10000,1)/(COUNTIFS(Evaluations!$H$3:$H$10000,$A155,Evaluations!$S$3:$S$10000,1)+COUNTIFS(Evaluations!$H$3:$H$10000,$A155,Evaluations!$S$3:$S$10000,0)),2),""))</f>
        <v/>
      </c>
      <c r="J155" s="79" t="str">
        <f>IF($A155="","",IFERROR(ROUND(100*COUNTIFS(Evaluations!$H$3:$H$10000,$A155,Evaluations!$T$3:$T$10000,1)/(COUNTIFS(Evaluations!$H$3:$H$10000,$A155,Evaluations!$T$3:$T$10000,1)+COUNTIFS(Evaluations!$H$3:$H$10000,$A155,Evaluations!$T$3:$T$10000,0)),2),""))</f>
        <v/>
      </c>
      <c r="K155" s="79" t="str">
        <f>IF($A155="","",COUNTIFS(Evaluations!$H$3:$H$10000,$A155,Evaluations!$M$3:$M$10000,"عدم پاسخ"))</f>
        <v/>
      </c>
      <c r="L155" s="79" t="str">
        <f>IF($A155="","",COUNTIFS(Evaluations!$H$3:$H$10000,$A155,Evaluations!$O$3:$O$10000,"رعایت نشده"))</f>
        <v/>
      </c>
    </row>
    <row r="156">
      <c r="A156" s="79"/>
      <c r="B156" s="79" t="str">
        <f>IF($A156="","",COUNTIFS(Evaluations!$H$3:$H$10000,$A156,Evaluations!$U$3:$U$10000,"&gt;=0",Evaluations!$U$3:$U$10000,"&lt;=100"))</f>
        <v/>
      </c>
      <c r="C156" s="79" t="str">
        <f>IF($A156="","",COUNTIFS('Agent Report'!$B$4:$B$53,$A156,'Agent Report'!$C$4:$C$53,"&gt;0"))</f>
        <v/>
      </c>
      <c r="D156" s="79" t="str">
        <f>IF(OR($A156="",B156=0),"",ROUND(SUMIFS(Evaluations!$U$3:$U$10000,Evaluations!$H$3:$H$10000,$A156)/B156,2))</f>
        <v/>
      </c>
      <c r="E156" s="79" t="str">
        <f>IF($A156="","",COUNTIFS(Evaluations!$H$3:$H$10000,$A156,Evaluations!$M$3:$M$10000,"پاسخ داده شده"))</f>
        <v/>
      </c>
      <c r="F156" s="79" t="str">
        <f>IF($A156="","",IFERROR(COUNTIFS(Evaluations!$H$3:$H$10000,$A156,Evaluations!$O$3:$O$10000,"رعایت شده")/(COUNTIFS(Evaluations!$H$3:$H$10000,$A156,Evaluations!$O$3:$O$10000,"رعایت شده")+COUNTIFS(Evaluations!$H$3:$H$10000,$A156,Evaluations!$O$3:$O$10000,"رعایت نشده")),""))</f>
        <v/>
      </c>
      <c r="G156" s="79" t="str">
        <f>IF($A156="","",IFERROR(ROUND(100*COUNTIFS(Evaluations!$H$3:$H$10000,$A156,Evaluations!$Q$3:$Q$10000,1)/(COUNTIFS(Evaluations!$H$3:$H$10000,$A156,Evaluations!$Q$3:$Q$10000,1)+COUNTIFS(Evaluations!$H$3:$H$10000,$A156,Evaluations!$Q$3:$Q$10000,0)),2),""))</f>
        <v/>
      </c>
      <c r="H156" s="79" t="str">
        <f>IF($A156="","",IFERROR(ROUND(100*COUNTIFS(Evaluations!$H$3:$H$10000,$A156,Evaluations!$R$3:$R$10000,1)/(COUNTIFS(Evaluations!$H$3:$H$10000,$A156,Evaluations!$R$3:$R$10000,1)+COUNTIFS(Evaluations!$H$3:$H$10000,$A156,Evaluations!$R$3:$R$10000,0)),2),""))</f>
        <v/>
      </c>
      <c r="I156" s="79" t="str">
        <f>IF($A156="","",IFERROR(ROUND(100*COUNTIFS(Evaluations!$H$3:$H$10000,$A156,Evaluations!$S$3:$S$10000,1)/(COUNTIFS(Evaluations!$H$3:$H$10000,$A156,Evaluations!$S$3:$S$10000,1)+COUNTIFS(Evaluations!$H$3:$H$10000,$A156,Evaluations!$S$3:$S$10000,0)),2),""))</f>
        <v/>
      </c>
      <c r="J156" s="79" t="str">
        <f>IF($A156="","",IFERROR(ROUND(100*COUNTIFS(Evaluations!$H$3:$H$10000,$A156,Evaluations!$T$3:$T$10000,1)/(COUNTIFS(Evaluations!$H$3:$H$10000,$A156,Evaluations!$T$3:$T$10000,1)+COUNTIFS(Evaluations!$H$3:$H$10000,$A156,Evaluations!$T$3:$T$10000,0)),2),""))</f>
        <v/>
      </c>
      <c r="K156" s="79" t="str">
        <f>IF($A156="","",COUNTIFS(Evaluations!$H$3:$H$10000,$A156,Evaluations!$M$3:$M$10000,"عدم پاسخ"))</f>
        <v/>
      </c>
      <c r="L156" s="79" t="str">
        <f>IF($A156="","",COUNTIFS(Evaluations!$H$3:$H$10000,$A156,Evaluations!$O$3:$O$10000,"رعایت نشده"))</f>
        <v/>
      </c>
    </row>
    <row r="157">
      <c r="A157" s="79"/>
      <c r="B157" s="79" t="str">
        <f>IF($A157="","",COUNTIFS(Evaluations!$H$3:$H$10000,$A157,Evaluations!$U$3:$U$10000,"&gt;=0",Evaluations!$U$3:$U$10000,"&lt;=100"))</f>
        <v/>
      </c>
      <c r="C157" s="79" t="str">
        <f>IF($A157="","",COUNTIFS('Agent Report'!$B$4:$B$53,$A157,'Agent Report'!$C$4:$C$53,"&gt;0"))</f>
        <v/>
      </c>
      <c r="D157" s="79" t="str">
        <f>IF(OR($A157="",B157=0),"",ROUND(SUMIFS(Evaluations!$U$3:$U$10000,Evaluations!$H$3:$H$10000,$A157)/B157,2))</f>
        <v/>
      </c>
      <c r="E157" s="79" t="str">
        <f>IF($A157="","",COUNTIFS(Evaluations!$H$3:$H$10000,$A157,Evaluations!$M$3:$M$10000,"پاسخ داده شده"))</f>
        <v/>
      </c>
      <c r="F157" s="79" t="str">
        <f>IF($A157="","",IFERROR(COUNTIFS(Evaluations!$H$3:$H$10000,$A157,Evaluations!$O$3:$O$10000,"رعایت شده")/(COUNTIFS(Evaluations!$H$3:$H$10000,$A157,Evaluations!$O$3:$O$10000,"رعایت شده")+COUNTIFS(Evaluations!$H$3:$H$10000,$A157,Evaluations!$O$3:$O$10000,"رعایت نشده")),""))</f>
        <v/>
      </c>
      <c r="G157" s="79" t="str">
        <f>IF($A157="","",IFERROR(ROUND(100*COUNTIFS(Evaluations!$H$3:$H$10000,$A157,Evaluations!$Q$3:$Q$10000,1)/(COUNTIFS(Evaluations!$H$3:$H$10000,$A157,Evaluations!$Q$3:$Q$10000,1)+COUNTIFS(Evaluations!$H$3:$H$10000,$A157,Evaluations!$Q$3:$Q$10000,0)),2),""))</f>
        <v/>
      </c>
      <c r="H157" s="79" t="str">
        <f>IF($A157="","",IFERROR(ROUND(100*COUNTIFS(Evaluations!$H$3:$H$10000,$A157,Evaluations!$R$3:$R$10000,1)/(COUNTIFS(Evaluations!$H$3:$H$10000,$A157,Evaluations!$R$3:$R$10000,1)+COUNTIFS(Evaluations!$H$3:$H$10000,$A157,Evaluations!$R$3:$R$10000,0)),2),""))</f>
        <v/>
      </c>
      <c r="I157" s="79" t="str">
        <f>IF($A157="","",IFERROR(ROUND(100*COUNTIFS(Evaluations!$H$3:$H$10000,$A157,Evaluations!$S$3:$S$10000,1)/(COUNTIFS(Evaluations!$H$3:$H$10000,$A157,Evaluations!$S$3:$S$10000,1)+COUNTIFS(Evaluations!$H$3:$H$10000,$A157,Evaluations!$S$3:$S$10000,0)),2),""))</f>
        <v/>
      </c>
      <c r="J157" s="79" t="str">
        <f>IF($A157="","",IFERROR(ROUND(100*COUNTIFS(Evaluations!$H$3:$H$10000,$A157,Evaluations!$T$3:$T$10000,1)/(COUNTIFS(Evaluations!$H$3:$H$10000,$A157,Evaluations!$T$3:$T$10000,1)+COUNTIFS(Evaluations!$H$3:$H$10000,$A157,Evaluations!$T$3:$T$10000,0)),2),""))</f>
        <v/>
      </c>
      <c r="K157" s="79" t="str">
        <f>IF($A157="","",COUNTIFS(Evaluations!$H$3:$H$10000,$A157,Evaluations!$M$3:$M$10000,"عدم پاسخ"))</f>
        <v/>
      </c>
      <c r="L157" s="79" t="str">
        <f>IF($A157="","",COUNTIFS(Evaluations!$H$3:$H$10000,$A157,Evaluations!$O$3:$O$10000,"رعایت نشده"))</f>
        <v/>
      </c>
    </row>
    <row r="158">
      <c r="A158" s="79"/>
      <c r="B158" s="79" t="str">
        <f>IF($A158="","",COUNTIFS(Evaluations!$H$3:$H$10000,$A158,Evaluations!$U$3:$U$10000,"&gt;=0",Evaluations!$U$3:$U$10000,"&lt;=100"))</f>
        <v/>
      </c>
      <c r="C158" s="79" t="str">
        <f>IF($A158="","",COUNTIFS('Agent Report'!$B$4:$B$53,$A158,'Agent Report'!$C$4:$C$53,"&gt;0"))</f>
        <v/>
      </c>
      <c r="D158" s="79" t="str">
        <f>IF(OR($A158="",B158=0),"",ROUND(SUMIFS(Evaluations!$U$3:$U$10000,Evaluations!$H$3:$H$10000,$A158)/B158,2))</f>
        <v/>
      </c>
      <c r="E158" s="79" t="str">
        <f>IF($A158="","",COUNTIFS(Evaluations!$H$3:$H$10000,$A158,Evaluations!$M$3:$M$10000,"پاسخ داده شده"))</f>
        <v/>
      </c>
      <c r="F158" s="79" t="str">
        <f>IF($A158="","",IFERROR(COUNTIFS(Evaluations!$H$3:$H$10000,$A158,Evaluations!$O$3:$O$10000,"رعایت شده")/(COUNTIFS(Evaluations!$H$3:$H$10000,$A158,Evaluations!$O$3:$O$10000,"رعایت شده")+COUNTIFS(Evaluations!$H$3:$H$10000,$A158,Evaluations!$O$3:$O$10000,"رعایت نشده")),""))</f>
        <v/>
      </c>
      <c r="G158" s="79" t="str">
        <f>IF($A158="","",IFERROR(ROUND(100*COUNTIFS(Evaluations!$H$3:$H$10000,$A158,Evaluations!$Q$3:$Q$10000,1)/(COUNTIFS(Evaluations!$H$3:$H$10000,$A158,Evaluations!$Q$3:$Q$10000,1)+COUNTIFS(Evaluations!$H$3:$H$10000,$A158,Evaluations!$Q$3:$Q$10000,0)),2),""))</f>
        <v/>
      </c>
      <c r="H158" s="79" t="str">
        <f>IF($A158="","",IFERROR(ROUND(100*COUNTIFS(Evaluations!$H$3:$H$10000,$A158,Evaluations!$R$3:$R$10000,1)/(COUNTIFS(Evaluations!$H$3:$H$10000,$A158,Evaluations!$R$3:$R$10000,1)+COUNTIFS(Evaluations!$H$3:$H$10000,$A158,Evaluations!$R$3:$R$10000,0)),2),""))</f>
        <v/>
      </c>
      <c r="I158" s="79" t="str">
        <f>IF($A158="","",IFERROR(ROUND(100*COUNTIFS(Evaluations!$H$3:$H$10000,$A158,Evaluations!$S$3:$S$10000,1)/(COUNTIFS(Evaluations!$H$3:$H$10000,$A158,Evaluations!$S$3:$S$10000,1)+COUNTIFS(Evaluations!$H$3:$H$10000,$A158,Evaluations!$S$3:$S$10000,0)),2),""))</f>
        <v/>
      </c>
      <c r="J158" s="79" t="str">
        <f>IF($A158="","",IFERROR(ROUND(100*COUNTIFS(Evaluations!$H$3:$H$10000,$A158,Evaluations!$T$3:$T$10000,1)/(COUNTIFS(Evaluations!$H$3:$H$10000,$A158,Evaluations!$T$3:$T$10000,1)+COUNTIFS(Evaluations!$H$3:$H$10000,$A158,Evaluations!$T$3:$T$10000,0)),2),""))</f>
        <v/>
      </c>
      <c r="K158" s="79" t="str">
        <f>IF($A158="","",COUNTIFS(Evaluations!$H$3:$H$10000,$A158,Evaluations!$M$3:$M$10000,"عدم پاسخ"))</f>
        <v/>
      </c>
      <c r="L158" s="79" t="str">
        <f>IF($A158="","",COUNTIFS(Evaluations!$H$3:$H$10000,$A158,Evaluations!$O$3:$O$10000,"رعایت نشده"))</f>
        <v/>
      </c>
    </row>
    <row r="159">
      <c r="A159" s="79"/>
      <c r="B159" s="79" t="str">
        <f>IF($A159="","",COUNTIFS(Evaluations!$H$3:$H$10000,$A159,Evaluations!$U$3:$U$10000,"&gt;=0",Evaluations!$U$3:$U$10000,"&lt;=100"))</f>
        <v/>
      </c>
      <c r="C159" s="79" t="str">
        <f>IF($A159="","",COUNTIFS('Agent Report'!$B$4:$B$53,$A159,'Agent Report'!$C$4:$C$53,"&gt;0"))</f>
        <v/>
      </c>
      <c r="D159" s="79" t="str">
        <f>IF(OR($A159="",B159=0),"",ROUND(SUMIFS(Evaluations!$U$3:$U$10000,Evaluations!$H$3:$H$10000,$A159)/B159,2))</f>
        <v/>
      </c>
      <c r="E159" s="79" t="str">
        <f>IF($A159="","",COUNTIFS(Evaluations!$H$3:$H$10000,$A159,Evaluations!$M$3:$M$10000,"پاسخ داده شده"))</f>
        <v/>
      </c>
      <c r="F159" s="79" t="str">
        <f>IF($A159="","",IFERROR(COUNTIFS(Evaluations!$H$3:$H$10000,$A159,Evaluations!$O$3:$O$10000,"رعایت شده")/(COUNTIFS(Evaluations!$H$3:$H$10000,$A159,Evaluations!$O$3:$O$10000,"رعایت شده")+COUNTIFS(Evaluations!$H$3:$H$10000,$A159,Evaluations!$O$3:$O$10000,"رعایت نشده")),""))</f>
        <v/>
      </c>
      <c r="G159" s="79" t="str">
        <f>IF($A159="","",IFERROR(ROUND(100*COUNTIFS(Evaluations!$H$3:$H$10000,$A159,Evaluations!$Q$3:$Q$10000,1)/(COUNTIFS(Evaluations!$H$3:$H$10000,$A159,Evaluations!$Q$3:$Q$10000,1)+COUNTIFS(Evaluations!$H$3:$H$10000,$A159,Evaluations!$Q$3:$Q$10000,0)),2),""))</f>
        <v/>
      </c>
      <c r="H159" s="79" t="str">
        <f>IF($A159="","",IFERROR(ROUND(100*COUNTIFS(Evaluations!$H$3:$H$10000,$A159,Evaluations!$R$3:$R$10000,1)/(COUNTIFS(Evaluations!$H$3:$H$10000,$A159,Evaluations!$R$3:$R$10000,1)+COUNTIFS(Evaluations!$H$3:$H$10000,$A159,Evaluations!$R$3:$R$10000,0)),2),""))</f>
        <v/>
      </c>
      <c r="I159" s="79" t="str">
        <f>IF($A159="","",IFERROR(ROUND(100*COUNTIFS(Evaluations!$H$3:$H$10000,$A159,Evaluations!$S$3:$S$10000,1)/(COUNTIFS(Evaluations!$H$3:$H$10000,$A159,Evaluations!$S$3:$S$10000,1)+COUNTIFS(Evaluations!$H$3:$H$10000,$A159,Evaluations!$S$3:$S$10000,0)),2),""))</f>
        <v/>
      </c>
      <c r="J159" s="79" t="str">
        <f>IF($A159="","",IFERROR(ROUND(100*COUNTIFS(Evaluations!$H$3:$H$10000,$A159,Evaluations!$T$3:$T$10000,1)/(COUNTIFS(Evaluations!$H$3:$H$10000,$A159,Evaluations!$T$3:$T$10000,1)+COUNTIFS(Evaluations!$H$3:$H$10000,$A159,Evaluations!$T$3:$T$10000,0)),2),""))</f>
        <v/>
      </c>
      <c r="K159" s="79" t="str">
        <f>IF($A159="","",COUNTIFS(Evaluations!$H$3:$H$10000,$A159,Evaluations!$M$3:$M$10000,"عدم پاسخ"))</f>
        <v/>
      </c>
      <c r="L159" s="79" t="str">
        <f>IF($A159="","",COUNTIFS(Evaluations!$H$3:$H$10000,$A159,Evaluations!$O$3:$O$10000,"رعایت نشده"))</f>
        <v/>
      </c>
    </row>
    <row r="160">
      <c r="A160" s="79"/>
      <c r="B160" s="79" t="str">
        <f>IF($A160="","",COUNTIFS(Evaluations!$H$3:$H$10000,$A160,Evaluations!$U$3:$U$10000,"&gt;=0",Evaluations!$U$3:$U$10000,"&lt;=100"))</f>
        <v/>
      </c>
      <c r="C160" s="79" t="str">
        <f>IF($A160="","",COUNTIFS('Agent Report'!$B$4:$B$53,$A160,'Agent Report'!$C$4:$C$53,"&gt;0"))</f>
        <v/>
      </c>
      <c r="D160" s="79" t="str">
        <f>IF(OR($A160="",B160=0),"",ROUND(SUMIFS(Evaluations!$U$3:$U$10000,Evaluations!$H$3:$H$10000,$A160)/B160,2))</f>
        <v/>
      </c>
      <c r="E160" s="79" t="str">
        <f>IF($A160="","",COUNTIFS(Evaluations!$H$3:$H$10000,$A160,Evaluations!$M$3:$M$10000,"پاسخ داده شده"))</f>
        <v/>
      </c>
      <c r="F160" s="79" t="str">
        <f>IF($A160="","",IFERROR(COUNTIFS(Evaluations!$H$3:$H$10000,$A160,Evaluations!$O$3:$O$10000,"رعایت شده")/(COUNTIFS(Evaluations!$H$3:$H$10000,$A160,Evaluations!$O$3:$O$10000,"رعایت شده")+COUNTIFS(Evaluations!$H$3:$H$10000,$A160,Evaluations!$O$3:$O$10000,"رعایت نشده")),""))</f>
        <v/>
      </c>
      <c r="G160" s="79" t="str">
        <f>IF($A160="","",IFERROR(ROUND(100*COUNTIFS(Evaluations!$H$3:$H$10000,$A160,Evaluations!$Q$3:$Q$10000,1)/(COUNTIFS(Evaluations!$H$3:$H$10000,$A160,Evaluations!$Q$3:$Q$10000,1)+COUNTIFS(Evaluations!$H$3:$H$10000,$A160,Evaluations!$Q$3:$Q$10000,0)),2),""))</f>
        <v/>
      </c>
      <c r="H160" s="79" t="str">
        <f>IF($A160="","",IFERROR(ROUND(100*COUNTIFS(Evaluations!$H$3:$H$10000,$A160,Evaluations!$R$3:$R$10000,1)/(COUNTIFS(Evaluations!$H$3:$H$10000,$A160,Evaluations!$R$3:$R$10000,1)+COUNTIFS(Evaluations!$H$3:$H$10000,$A160,Evaluations!$R$3:$R$10000,0)),2),""))</f>
        <v/>
      </c>
      <c r="I160" s="79" t="str">
        <f>IF($A160="","",IFERROR(ROUND(100*COUNTIFS(Evaluations!$H$3:$H$10000,$A160,Evaluations!$S$3:$S$10000,1)/(COUNTIFS(Evaluations!$H$3:$H$10000,$A160,Evaluations!$S$3:$S$10000,1)+COUNTIFS(Evaluations!$H$3:$H$10000,$A160,Evaluations!$S$3:$S$10000,0)),2),""))</f>
        <v/>
      </c>
      <c r="J160" s="79" t="str">
        <f>IF($A160="","",IFERROR(ROUND(100*COUNTIFS(Evaluations!$H$3:$H$10000,$A160,Evaluations!$T$3:$T$10000,1)/(COUNTIFS(Evaluations!$H$3:$H$10000,$A160,Evaluations!$T$3:$T$10000,1)+COUNTIFS(Evaluations!$H$3:$H$10000,$A160,Evaluations!$T$3:$T$10000,0)),2),""))</f>
        <v/>
      </c>
      <c r="K160" s="79" t="str">
        <f>IF($A160="","",COUNTIFS(Evaluations!$H$3:$H$10000,$A160,Evaluations!$M$3:$M$10000,"عدم پاسخ"))</f>
        <v/>
      </c>
      <c r="L160" s="79" t="str">
        <f>IF($A160="","",COUNTIFS(Evaluations!$H$3:$H$10000,$A160,Evaluations!$O$3:$O$10000,"رعایت نشده"))</f>
        <v/>
      </c>
    </row>
    <row r="161">
      <c r="A161" s="79"/>
      <c r="B161" s="79" t="str">
        <f>IF($A161="","",COUNTIFS(Evaluations!$H$3:$H$10000,$A161,Evaluations!$U$3:$U$10000,"&gt;=0",Evaluations!$U$3:$U$10000,"&lt;=100"))</f>
        <v/>
      </c>
      <c r="C161" s="79" t="str">
        <f>IF($A161="","",COUNTIFS('Agent Report'!$B$4:$B$53,$A161,'Agent Report'!$C$4:$C$53,"&gt;0"))</f>
        <v/>
      </c>
      <c r="D161" s="79" t="str">
        <f>IF(OR($A161="",B161=0),"",ROUND(SUMIFS(Evaluations!$U$3:$U$10000,Evaluations!$H$3:$H$10000,$A161)/B161,2))</f>
        <v/>
      </c>
      <c r="E161" s="79" t="str">
        <f>IF($A161="","",COUNTIFS(Evaluations!$H$3:$H$10000,$A161,Evaluations!$M$3:$M$10000,"پاسخ داده شده"))</f>
        <v/>
      </c>
      <c r="F161" s="79" t="str">
        <f>IF($A161="","",IFERROR(COUNTIFS(Evaluations!$H$3:$H$10000,$A161,Evaluations!$O$3:$O$10000,"رعایت شده")/(COUNTIFS(Evaluations!$H$3:$H$10000,$A161,Evaluations!$O$3:$O$10000,"رعایت شده")+COUNTIFS(Evaluations!$H$3:$H$10000,$A161,Evaluations!$O$3:$O$10000,"رعایت نشده")),""))</f>
        <v/>
      </c>
      <c r="G161" s="79" t="str">
        <f>IF($A161="","",IFERROR(ROUND(100*COUNTIFS(Evaluations!$H$3:$H$10000,$A161,Evaluations!$Q$3:$Q$10000,1)/(COUNTIFS(Evaluations!$H$3:$H$10000,$A161,Evaluations!$Q$3:$Q$10000,1)+COUNTIFS(Evaluations!$H$3:$H$10000,$A161,Evaluations!$Q$3:$Q$10000,0)),2),""))</f>
        <v/>
      </c>
      <c r="H161" s="79" t="str">
        <f>IF($A161="","",IFERROR(ROUND(100*COUNTIFS(Evaluations!$H$3:$H$10000,$A161,Evaluations!$R$3:$R$10000,1)/(COUNTIFS(Evaluations!$H$3:$H$10000,$A161,Evaluations!$R$3:$R$10000,1)+COUNTIFS(Evaluations!$H$3:$H$10000,$A161,Evaluations!$R$3:$R$10000,0)),2),""))</f>
        <v/>
      </c>
      <c r="I161" s="79" t="str">
        <f>IF($A161="","",IFERROR(ROUND(100*COUNTIFS(Evaluations!$H$3:$H$10000,$A161,Evaluations!$S$3:$S$10000,1)/(COUNTIFS(Evaluations!$H$3:$H$10000,$A161,Evaluations!$S$3:$S$10000,1)+COUNTIFS(Evaluations!$H$3:$H$10000,$A161,Evaluations!$S$3:$S$10000,0)),2),""))</f>
        <v/>
      </c>
      <c r="J161" s="79" t="str">
        <f>IF($A161="","",IFERROR(ROUND(100*COUNTIFS(Evaluations!$H$3:$H$10000,$A161,Evaluations!$T$3:$T$10000,1)/(COUNTIFS(Evaluations!$H$3:$H$10000,$A161,Evaluations!$T$3:$T$10000,1)+COUNTIFS(Evaluations!$H$3:$H$10000,$A161,Evaluations!$T$3:$T$10000,0)),2),""))</f>
        <v/>
      </c>
      <c r="K161" s="79" t="str">
        <f>IF($A161="","",COUNTIFS(Evaluations!$H$3:$H$10000,$A161,Evaluations!$M$3:$M$10000,"عدم پاسخ"))</f>
        <v/>
      </c>
      <c r="L161" s="79" t="str">
        <f>IF($A161="","",COUNTIFS(Evaluations!$H$3:$H$10000,$A161,Evaluations!$O$3:$O$10000,"رعایت نشده"))</f>
        <v/>
      </c>
    </row>
    <row r="162">
      <c r="A162" s="79"/>
      <c r="B162" s="79" t="str">
        <f>IF($A162="","",COUNTIFS(Evaluations!$H$3:$H$10000,$A162,Evaluations!$U$3:$U$10000,"&gt;=0",Evaluations!$U$3:$U$10000,"&lt;=100"))</f>
        <v/>
      </c>
      <c r="C162" s="79" t="str">
        <f>IF($A162="","",COUNTIFS('Agent Report'!$B$4:$B$53,$A162,'Agent Report'!$C$4:$C$53,"&gt;0"))</f>
        <v/>
      </c>
      <c r="D162" s="79" t="str">
        <f>IF(OR($A162="",B162=0),"",ROUND(SUMIFS(Evaluations!$U$3:$U$10000,Evaluations!$H$3:$H$10000,$A162)/B162,2))</f>
        <v/>
      </c>
      <c r="E162" s="79" t="str">
        <f>IF($A162="","",COUNTIFS(Evaluations!$H$3:$H$10000,$A162,Evaluations!$M$3:$M$10000,"پاسخ داده شده"))</f>
        <v/>
      </c>
      <c r="F162" s="79" t="str">
        <f>IF($A162="","",IFERROR(COUNTIFS(Evaluations!$H$3:$H$10000,$A162,Evaluations!$O$3:$O$10000,"رعایت شده")/(COUNTIFS(Evaluations!$H$3:$H$10000,$A162,Evaluations!$O$3:$O$10000,"رعایت شده")+COUNTIFS(Evaluations!$H$3:$H$10000,$A162,Evaluations!$O$3:$O$10000,"رعایت نشده")),""))</f>
        <v/>
      </c>
      <c r="G162" s="79" t="str">
        <f>IF($A162="","",IFERROR(ROUND(100*COUNTIFS(Evaluations!$H$3:$H$10000,$A162,Evaluations!$Q$3:$Q$10000,1)/(COUNTIFS(Evaluations!$H$3:$H$10000,$A162,Evaluations!$Q$3:$Q$10000,1)+COUNTIFS(Evaluations!$H$3:$H$10000,$A162,Evaluations!$Q$3:$Q$10000,0)),2),""))</f>
        <v/>
      </c>
      <c r="H162" s="79" t="str">
        <f>IF($A162="","",IFERROR(ROUND(100*COUNTIFS(Evaluations!$H$3:$H$10000,$A162,Evaluations!$R$3:$R$10000,1)/(COUNTIFS(Evaluations!$H$3:$H$10000,$A162,Evaluations!$R$3:$R$10000,1)+COUNTIFS(Evaluations!$H$3:$H$10000,$A162,Evaluations!$R$3:$R$10000,0)),2),""))</f>
        <v/>
      </c>
      <c r="I162" s="79" t="str">
        <f>IF($A162="","",IFERROR(ROUND(100*COUNTIFS(Evaluations!$H$3:$H$10000,$A162,Evaluations!$S$3:$S$10000,1)/(COUNTIFS(Evaluations!$H$3:$H$10000,$A162,Evaluations!$S$3:$S$10000,1)+COUNTIFS(Evaluations!$H$3:$H$10000,$A162,Evaluations!$S$3:$S$10000,0)),2),""))</f>
        <v/>
      </c>
      <c r="J162" s="79" t="str">
        <f>IF($A162="","",IFERROR(ROUND(100*COUNTIFS(Evaluations!$H$3:$H$10000,$A162,Evaluations!$T$3:$T$10000,1)/(COUNTIFS(Evaluations!$H$3:$H$10000,$A162,Evaluations!$T$3:$T$10000,1)+COUNTIFS(Evaluations!$H$3:$H$10000,$A162,Evaluations!$T$3:$T$10000,0)),2),""))</f>
        <v/>
      </c>
      <c r="K162" s="79" t="str">
        <f>IF($A162="","",COUNTIFS(Evaluations!$H$3:$H$10000,$A162,Evaluations!$M$3:$M$10000,"عدم پاسخ"))</f>
        <v/>
      </c>
      <c r="L162" s="79" t="str">
        <f>IF($A162="","",COUNTIFS(Evaluations!$H$3:$H$10000,$A162,Evaluations!$O$3:$O$10000,"رعایت نشده"))</f>
        <v/>
      </c>
    </row>
    <row r="163">
      <c r="A163" s="79"/>
      <c r="B163" s="79" t="str">
        <f>IF($A163="","",COUNTIFS(Evaluations!$H$3:$H$10000,$A163,Evaluations!$U$3:$U$10000,"&gt;=0",Evaluations!$U$3:$U$10000,"&lt;=100"))</f>
        <v/>
      </c>
      <c r="C163" s="79" t="str">
        <f>IF($A163="","",COUNTIFS('Agent Report'!$B$4:$B$53,$A163,'Agent Report'!$C$4:$C$53,"&gt;0"))</f>
        <v/>
      </c>
      <c r="D163" s="79" t="str">
        <f>IF(OR($A163="",B163=0),"",ROUND(SUMIFS(Evaluations!$U$3:$U$10000,Evaluations!$H$3:$H$10000,$A163)/B163,2))</f>
        <v/>
      </c>
      <c r="E163" s="79" t="str">
        <f>IF($A163="","",COUNTIFS(Evaluations!$H$3:$H$10000,$A163,Evaluations!$M$3:$M$10000,"پاسخ داده شده"))</f>
        <v/>
      </c>
      <c r="F163" s="79" t="str">
        <f>IF($A163="","",IFERROR(COUNTIFS(Evaluations!$H$3:$H$10000,$A163,Evaluations!$O$3:$O$10000,"رعایت شده")/(COUNTIFS(Evaluations!$H$3:$H$10000,$A163,Evaluations!$O$3:$O$10000,"رعایت شده")+COUNTIFS(Evaluations!$H$3:$H$10000,$A163,Evaluations!$O$3:$O$10000,"رعایت نشده")),""))</f>
        <v/>
      </c>
      <c r="G163" s="79" t="str">
        <f>IF($A163="","",IFERROR(ROUND(100*COUNTIFS(Evaluations!$H$3:$H$10000,$A163,Evaluations!$Q$3:$Q$10000,1)/(COUNTIFS(Evaluations!$H$3:$H$10000,$A163,Evaluations!$Q$3:$Q$10000,1)+COUNTIFS(Evaluations!$H$3:$H$10000,$A163,Evaluations!$Q$3:$Q$10000,0)),2),""))</f>
        <v/>
      </c>
      <c r="H163" s="79" t="str">
        <f>IF($A163="","",IFERROR(ROUND(100*COUNTIFS(Evaluations!$H$3:$H$10000,$A163,Evaluations!$R$3:$R$10000,1)/(COUNTIFS(Evaluations!$H$3:$H$10000,$A163,Evaluations!$R$3:$R$10000,1)+COUNTIFS(Evaluations!$H$3:$H$10000,$A163,Evaluations!$R$3:$R$10000,0)),2),""))</f>
        <v/>
      </c>
      <c r="I163" s="79" t="str">
        <f>IF($A163="","",IFERROR(ROUND(100*COUNTIFS(Evaluations!$H$3:$H$10000,$A163,Evaluations!$S$3:$S$10000,1)/(COUNTIFS(Evaluations!$H$3:$H$10000,$A163,Evaluations!$S$3:$S$10000,1)+COUNTIFS(Evaluations!$H$3:$H$10000,$A163,Evaluations!$S$3:$S$10000,0)),2),""))</f>
        <v/>
      </c>
      <c r="J163" s="79" t="str">
        <f>IF($A163="","",IFERROR(ROUND(100*COUNTIFS(Evaluations!$H$3:$H$10000,$A163,Evaluations!$T$3:$T$10000,1)/(COUNTIFS(Evaluations!$H$3:$H$10000,$A163,Evaluations!$T$3:$T$10000,1)+COUNTIFS(Evaluations!$H$3:$H$10000,$A163,Evaluations!$T$3:$T$10000,0)),2),""))</f>
        <v/>
      </c>
      <c r="K163" s="79" t="str">
        <f>IF($A163="","",COUNTIFS(Evaluations!$H$3:$H$10000,$A163,Evaluations!$M$3:$M$10000,"عدم پاسخ"))</f>
        <v/>
      </c>
      <c r="L163" s="79" t="str">
        <f>IF($A163="","",COUNTIFS(Evaluations!$H$3:$H$10000,$A163,Evaluations!$O$3:$O$10000,"رعایت نشده"))</f>
        <v/>
      </c>
    </row>
    <row r="164">
      <c r="A164" s="79"/>
      <c r="B164" s="79" t="str">
        <f>IF($A164="","",COUNTIFS(Evaluations!$H$3:$H$10000,$A164,Evaluations!$U$3:$U$10000,"&gt;=0",Evaluations!$U$3:$U$10000,"&lt;=100"))</f>
        <v/>
      </c>
      <c r="C164" s="79" t="str">
        <f>IF($A164="","",COUNTIFS('Agent Report'!$B$4:$B$53,$A164,'Agent Report'!$C$4:$C$53,"&gt;0"))</f>
        <v/>
      </c>
      <c r="D164" s="79" t="str">
        <f>IF(OR($A164="",B164=0),"",ROUND(SUMIFS(Evaluations!$U$3:$U$10000,Evaluations!$H$3:$H$10000,$A164)/B164,2))</f>
        <v/>
      </c>
      <c r="E164" s="79" t="str">
        <f>IF($A164="","",COUNTIFS(Evaluations!$H$3:$H$10000,$A164,Evaluations!$M$3:$M$10000,"پاسخ داده شده"))</f>
        <v/>
      </c>
      <c r="F164" s="79" t="str">
        <f>IF($A164="","",IFERROR(COUNTIFS(Evaluations!$H$3:$H$10000,$A164,Evaluations!$O$3:$O$10000,"رعایت شده")/(COUNTIFS(Evaluations!$H$3:$H$10000,$A164,Evaluations!$O$3:$O$10000,"رعایت شده")+COUNTIFS(Evaluations!$H$3:$H$10000,$A164,Evaluations!$O$3:$O$10000,"رعایت نشده")),""))</f>
        <v/>
      </c>
      <c r="G164" s="79" t="str">
        <f>IF($A164="","",IFERROR(ROUND(100*COUNTIFS(Evaluations!$H$3:$H$10000,$A164,Evaluations!$Q$3:$Q$10000,1)/(COUNTIFS(Evaluations!$H$3:$H$10000,$A164,Evaluations!$Q$3:$Q$10000,1)+COUNTIFS(Evaluations!$H$3:$H$10000,$A164,Evaluations!$Q$3:$Q$10000,0)),2),""))</f>
        <v/>
      </c>
      <c r="H164" s="79" t="str">
        <f>IF($A164="","",IFERROR(ROUND(100*COUNTIFS(Evaluations!$H$3:$H$10000,$A164,Evaluations!$R$3:$R$10000,1)/(COUNTIFS(Evaluations!$H$3:$H$10000,$A164,Evaluations!$R$3:$R$10000,1)+COUNTIFS(Evaluations!$H$3:$H$10000,$A164,Evaluations!$R$3:$R$10000,0)),2),""))</f>
        <v/>
      </c>
      <c r="I164" s="79" t="str">
        <f>IF($A164="","",IFERROR(ROUND(100*COUNTIFS(Evaluations!$H$3:$H$10000,$A164,Evaluations!$S$3:$S$10000,1)/(COUNTIFS(Evaluations!$H$3:$H$10000,$A164,Evaluations!$S$3:$S$10000,1)+COUNTIFS(Evaluations!$H$3:$H$10000,$A164,Evaluations!$S$3:$S$10000,0)),2),""))</f>
        <v/>
      </c>
      <c r="J164" s="79" t="str">
        <f>IF($A164="","",IFERROR(ROUND(100*COUNTIFS(Evaluations!$H$3:$H$10000,$A164,Evaluations!$T$3:$T$10000,1)/(COUNTIFS(Evaluations!$H$3:$H$10000,$A164,Evaluations!$T$3:$T$10000,1)+COUNTIFS(Evaluations!$H$3:$H$10000,$A164,Evaluations!$T$3:$T$10000,0)),2),""))</f>
        <v/>
      </c>
      <c r="K164" s="79" t="str">
        <f>IF($A164="","",COUNTIFS(Evaluations!$H$3:$H$10000,$A164,Evaluations!$M$3:$M$10000,"عدم پاسخ"))</f>
        <v/>
      </c>
      <c r="L164" s="79" t="str">
        <f>IF($A164="","",COUNTIFS(Evaluations!$H$3:$H$10000,$A164,Evaluations!$O$3:$O$10000,"رعایت نشده"))</f>
        <v/>
      </c>
    </row>
    <row r="165">
      <c r="A165" s="79"/>
      <c r="B165" s="79" t="str">
        <f>IF($A165="","",COUNTIFS(Evaluations!$H$3:$H$10000,$A165,Evaluations!$U$3:$U$10000,"&gt;=0",Evaluations!$U$3:$U$10000,"&lt;=100"))</f>
        <v/>
      </c>
      <c r="C165" s="79" t="str">
        <f>IF($A165="","",COUNTIFS('Agent Report'!$B$4:$B$53,$A165,'Agent Report'!$C$4:$C$53,"&gt;0"))</f>
        <v/>
      </c>
      <c r="D165" s="79" t="str">
        <f>IF(OR($A165="",B165=0),"",ROUND(SUMIFS(Evaluations!$U$3:$U$10000,Evaluations!$H$3:$H$10000,$A165)/B165,2))</f>
        <v/>
      </c>
      <c r="E165" s="79" t="str">
        <f>IF($A165="","",COUNTIFS(Evaluations!$H$3:$H$10000,$A165,Evaluations!$M$3:$M$10000,"پاسخ داده شده"))</f>
        <v/>
      </c>
      <c r="F165" s="79" t="str">
        <f>IF($A165="","",IFERROR(COUNTIFS(Evaluations!$H$3:$H$10000,$A165,Evaluations!$O$3:$O$10000,"رعایت شده")/(COUNTIFS(Evaluations!$H$3:$H$10000,$A165,Evaluations!$O$3:$O$10000,"رعایت شده")+COUNTIFS(Evaluations!$H$3:$H$10000,$A165,Evaluations!$O$3:$O$10000,"رعایت نشده")),""))</f>
        <v/>
      </c>
      <c r="G165" s="79" t="str">
        <f>IF($A165="","",IFERROR(ROUND(100*COUNTIFS(Evaluations!$H$3:$H$10000,$A165,Evaluations!$Q$3:$Q$10000,1)/(COUNTIFS(Evaluations!$H$3:$H$10000,$A165,Evaluations!$Q$3:$Q$10000,1)+COUNTIFS(Evaluations!$H$3:$H$10000,$A165,Evaluations!$Q$3:$Q$10000,0)),2),""))</f>
        <v/>
      </c>
      <c r="H165" s="79" t="str">
        <f>IF($A165="","",IFERROR(ROUND(100*COUNTIFS(Evaluations!$H$3:$H$10000,$A165,Evaluations!$R$3:$R$10000,1)/(COUNTIFS(Evaluations!$H$3:$H$10000,$A165,Evaluations!$R$3:$R$10000,1)+COUNTIFS(Evaluations!$H$3:$H$10000,$A165,Evaluations!$R$3:$R$10000,0)),2),""))</f>
        <v/>
      </c>
      <c r="I165" s="79" t="str">
        <f>IF($A165="","",IFERROR(ROUND(100*COUNTIFS(Evaluations!$H$3:$H$10000,$A165,Evaluations!$S$3:$S$10000,1)/(COUNTIFS(Evaluations!$H$3:$H$10000,$A165,Evaluations!$S$3:$S$10000,1)+COUNTIFS(Evaluations!$H$3:$H$10000,$A165,Evaluations!$S$3:$S$10000,0)),2),""))</f>
        <v/>
      </c>
      <c r="J165" s="79" t="str">
        <f>IF($A165="","",IFERROR(ROUND(100*COUNTIFS(Evaluations!$H$3:$H$10000,$A165,Evaluations!$T$3:$T$10000,1)/(COUNTIFS(Evaluations!$H$3:$H$10000,$A165,Evaluations!$T$3:$T$10000,1)+COUNTIFS(Evaluations!$H$3:$H$10000,$A165,Evaluations!$T$3:$T$10000,0)),2),""))</f>
        <v/>
      </c>
      <c r="K165" s="79" t="str">
        <f>IF($A165="","",COUNTIFS(Evaluations!$H$3:$H$10000,$A165,Evaluations!$M$3:$M$10000,"عدم پاسخ"))</f>
        <v/>
      </c>
      <c r="L165" s="79" t="str">
        <f>IF($A165="","",COUNTIFS(Evaluations!$H$3:$H$10000,$A165,Evaluations!$O$3:$O$10000,"رعایت نشده"))</f>
        <v/>
      </c>
    </row>
    <row r="166">
      <c r="A166" s="79"/>
      <c r="B166" s="79" t="str">
        <f>IF($A166="","",COUNTIFS(Evaluations!$H$3:$H$10000,$A166,Evaluations!$U$3:$U$10000,"&gt;=0",Evaluations!$U$3:$U$10000,"&lt;=100"))</f>
        <v/>
      </c>
      <c r="C166" s="79" t="str">
        <f>IF($A166="","",COUNTIFS('Agent Report'!$B$4:$B$53,$A166,'Agent Report'!$C$4:$C$53,"&gt;0"))</f>
        <v/>
      </c>
      <c r="D166" s="79" t="str">
        <f>IF(OR($A166="",B166=0),"",ROUND(SUMIFS(Evaluations!$U$3:$U$10000,Evaluations!$H$3:$H$10000,$A166)/B166,2))</f>
        <v/>
      </c>
      <c r="E166" s="79" t="str">
        <f>IF($A166="","",COUNTIFS(Evaluations!$H$3:$H$10000,$A166,Evaluations!$M$3:$M$10000,"پاسخ داده شده"))</f>
        <v/>
      </c>
      <c r="F166" s="79" t="str">
        <f>IF($A166="","",IFERROR(COUNTIFS(Evaluations!$H$3:$H$10000,$A166,Evaluations!$O$3:$O$10000,"رعایت شده")/(COUNTIFS(Evaluations!$H$3:$H$10000,$A166,Evaluations!$O$3:$O$10000,"رعایت شده")+COUNTIFS(Evaluations!$H$3:$H$10000,$A166,Evaluations!$O$3:$O$10000,"رعایت نشده")),""))</f>
        <v/>
      </c>
      <c r="G166" s="79" t="str">
        <f>IF($A166="","",IFERROR(ROUND(100*COUNTIFS(Evaluations!$H$3:$H$10000,$A166,Evaluations!$Q$3:$Q$10000,1)/(COUNTIFS(Evaluations!$H$3:$H$10000,$A166,Evaluations!$Q$3:$Q$10000,1)+COUNTIFS(Evaluations!$H$3:$H$10000,$A166,Evaluations!$Q$3:$Q$10000,0)),2),""))</f>
        <v/>
      </c>
      <c r="H166" s="79" t="str">
        <f>IF($A166="","",IFERROR(ROUND(100*COUNTIFS(Evaluations!$H$3:$H$10000,$A166,Evaluations!$R$3:$R$10000,1)/(COUNTIFS(Evaluations!$H$3:$H$10000,$A166,Evaluations!$R$3:$R$10000,1)+COUNTIFS(Evaluations!$H$3:$H$10000,$A166,Evaluations!$R$3:$R$10000,0)),2),""))</f>
        <v/>
      </c>
      <c r="I166" s="79" t="str">
        <f>IF($A166="","",IFERROR(ROUND(100*COUNTIFS(Evaluations!$H$3:$H$10000,$A166,Evaluations!$S$3:$S$10000,1)/(COUNTIFS(Evaluations!$H$3:$H$10000,$A166,Evaluations!$S$3:$S$10000,1)+COUNTIFS(Evaluations!$H$3:$H$10000,$A166,Evaluations!$S$3:$S$10000,0)),2),""))</f>
        <v/>
      </c>
      <c r="J166" s="79" t="str">
        <f>IF($A166="","",IFERROR(ROUND(100*COUNTIFS(Evaluations!$H$3:$H$10000,$A166,Evaluations!$T$3:$T$10000,1)/(COUNTIFS(Evaluations!$H$3:$H$10000,$A166,Evaluations!$T$3:$T$10000,1)+COUNTIFS(Evaluations!$H$3:$H$10000,$A166,Evaluations!$T$3:$T$10000,0)),2),""))</f>
        <v/>
      </c>
      <c r="K166" s="79" t="str">
        <f>IF($A166="","",COUNTIFS(Evaluations!$H$3:$H$10000,$A166,Evaluations!$M$3:$M$10000,"عدم پاسخ"))</f>
        <v/>
      </c>
      <c r="L166" s="79" t="str">
        <f>IF($A166="","",COUNTIFS(Evaluations!$H$3:$H$10000,$A166,Evaluations!$O$3:$O$10000,"رعایت نشده"))</f>
        <v/>
      </c>
    </row>
    <row r="167">
      <c r="A167" s="79"/>
      <c r="B167" s="79" t="str">
        <f>IF($A167="","",COUNTIFS(Evaluations!$H$3:$H$10000,$A167,Evaluations!$U$3:$U$10000,"&gt;=0",Evaluations!$U$3:$U$10000,"&lt;=100"))</f>
        <v/>
      </c>
      <c r="C167" s="79" t="str">
        <f>IF($A167="","",COUNTIFS('Agent Report'!$B$4:$B$53,$A167,'Agent Report'!$C$4:$C$53,"&gt;0"))</f>
        <v/>
      </c>
      <c r="D167" s="79" t="str">
        <f>IF(OR($A167="",B167=0),"",ROUND(SUMIFS(Evaluations!$U$3:$U$10000,Evaluations!$H$3:$H$10000,$A167)/B167,2))</f>
        <v/>
      </c>
      <c r="E167" s="79" t="str">
        <f>IF($A167="","",COUNTIFS(Evaluations!$H$3:$H$10000,$A167,Evaluations!$M$3:$M$10000,"پاسخ داده شده"))</f>
        <v/>
      </c>
      <c r="F167" s="79" t="str">
        <f>IF($A167="","",IFERROR(COUNTIFS(Evaluations!$H$3:$H$10000,$A167,Evaluations!$O$3:$O$10000,"رعایت شده")/(COUNTIFS(Evaluations!$H$3:$H$10000,$A167,Evaluations!$O$3:$O$10000,"رعایت شده")+COUNTIFS(Evaluations!$H$3:$H$10000,$A167,Evaluations!$O$3:$O$10000,"رعایت نشده")),""))</f>
        <v/>
      </c>
      <c r="G167" s="79" t="str">
        <f>IF($A167="","",IFERROR(ROUND(100*COUNTIFS(Evaluations!$H$3:$H$10000,$A167,Evaluations!$Q$3:$Q$10000,1)/(COUNTIFS(Evaluations!$H$3:$H$10000,$A167,Evaluations!$Q$3:$Q$10000,1)+COUNTIFS(Evaluations!$H$3:$H$10000,$A167,Evaluations!$Q$3:$Q$10000,0)),2),""))</f>
        <v/>
      </c>
      <c r="H167" s="79" t="str">
        <f>IF($A167="","",IFERROR(ROUND(100*COUNTIFS(Evaluations!$H$3:$H$10000,$A167,Evaluations!$R$3:$R$10000,1)/(COUNTIFS(Evaluations!$H$3:$H$10000,$A167,Evaluations!$R$3:$R$10000,1)+COUNTIFS(Evaluations!$H$3:$H$10000,$A167,Evaluations!$R$3:$R$10000,0)),2),""))</f>
        <v/>
      </c>
      <c r="I167" s="79" t="str">
        <f>IF($A167="","",IFERROR(ROUND(100*COUNTIFS(Evaluations!$H$3:$H$10000,$A167,Evaluations!$S$3:$S$10000,1)/(COUNTIFS(Evaluations!$H$3:$H$10000,$A167,Evaluations!$S$3:$S$10000,1)+COUNTIFS(Evaluations!$H$3:$H$10000,$A167,Evaluations!$S$3:$S$10000,0)),2),""))</f>
        <v/>
      </c>
      <c r="J167" s="79" t="str">
        <f>IF($A167="","",IFERROR(ROUND(100*COUNTIFS(Evaluations!$H$3:$H$10000,$A167,Evaluations!$T$3:$T$10000,1)/(COUNTIFS(Evaluations!$H$3:$H$10000,$A167,Evaluations!$T$3:$T$10000,1)+COUNTIFS(Evaluations!$H$3:$H$10000,$A167,Evaluations!$T$3:$T$10000,0)),2),""))</f>
        <v/>
      </c>
      <c r="K167" s="79" t="str">
        <f>IF($A167="","",COUNTIFS(Evaluations!$H$3:$H$10000,$A167,Evaluations!$M$3:$M$10000,"عدم پاسخ"))</f>
        <v/>
      </c>
      <c r="L167" s="79" t="str">
        <f>IF($A167="","",COUNTIFS(Evaluations!$H$3:$H$10000,$A167,Evaluations!$O$3:$O$10000,"رعایت نشده"))</f>
        <v/>
      </c>
    </row>
    <row r="168">
      <c r="A168" s="79"/>
      <c r="B168" s="79" t="str">
        <f>IF($A168="","",COUNTIFS(Evaluations!$H$3:$H$10000,$A168,Evaluations!$U$3:$U$10000,"&gt;=0",Evaluations!$U$3:$U$10000,"&lt;=100"))</f>
        <v/>
      </c>
      <c r="C168" s="79" t="str">
        <f>IF($A168="","",COUNTIFS('Agent Report'!$B$4:$B$53,$A168,'Agent Report'!$C$4:$C$53,"&gt;0"))</f>
        <v/>
      </c>
      <c r="D168" s="79" t="str">
        <f>IF(OR($A168="",B168=0),"",ROUND(SUMIFS(Evaluations!$U$3:$U$10000,Evaluations!$H$3:$H$10000,$A168)/B168,2))</f>
        <v/>
      </c>
      <c r="E168" s="79" t="str">
        <f>IF($A168="","",COUNTIFS(Evaluations!$H$3:$H$10000,$A168,Evaluations!$M$3:$M$10000,"پاسخ داده شده"))</f>
        <v/>
      </c>
      <c r="F168" s="79" t="str">
        <f>IF($A168="","",IFERROR(COUNTIFS(Evaluations!$H$3:$H$10000,$A168,Evaluations!$O$3:$O$10000,"رعایت شده")/(COUNTIFS(Evaluations!$H$3:$H$10000,$A168,Evaluations!$O$3:$O$10000,"رعایت شده")+COUNTIFS(Evaluations!$H$3:$H$10000,$A168,Evaluations!$O$3:$O$10000,"رعایت نشده")),""))</f>
        <v/>
      </c>
      <c r="G168" s="79" t="str">
        <f>IF($A168="","",IFERROR(ROUND(100*COUNTIFS(Evaluations!$H$3:$H$10000,$A168,Evaluations!$Q$3:$Q$10000,1)/(COUNTIFS(Evaluations!$H$3:$H$10000,$A168,Evaluations!$Q$3:$Q$10000,1)+COUNTIFS(Evaluations!$H$3:$H$10000,$A168,Evaluations!$Q$3:$Q$10000,0)),2),""))</f>
        <v/>
      </c>
      <c r="H168" s="79" t="str">
        <f>IF($A168="","",IFERROR(ROUND(100*COUNTIFS(Evaluations!$H$3:$H$10000,$A168,Evaluations!$R$3:$R$10000,1)/(COUNTIFS(Evaluations!$H$3:$H$10000,$A168,Evaluations!$R$3:$R$10000,1)+COUNTIFS(Evaluations!$H$3:$H$10000,$A168,Evaluations!$R$3:$R$10000,0)),2),""))</f>
        <v/>
      </c>
      <c r="I168" s="79" t="str">
        <f>IF($A168="","",IFERROR(ROUND(100*COUNTIFS(Evaluations!$H$3:$H$10000,$A168,Evaluations!$S$3:$S$10000,1)/(COUNTIFS(Evaluations!$H$3:$H$10000,$A168,Evaluations!$S$3:$S$10000,1)+COUNTIFS(Evaluations!$H$3:$H$10000,$A168,Evaluations!$S$3:$S$10000,0)),2),""))</f>
        <v/>
      </c>
      <c r="J168" s="79" t="str">
        <f>IF($A168="","",IFERROR(ROUND(100*COUNTIFS(Evaluations!$H$3:$H$10000,$A168,Evaluations!$T$3:$T$10000,1)/(COUNTIFS(Evaluations!$H$3:$H$10000,$A168,Evaluations!$T$3:$T$10000,1)+COUNTIFS(Evaluations!$H$3:$H$10000,$A168,Evaluations!$T$3:$T$10000,0)),2),""))</f>
        <v/>
      </c>
      <c r="K168" s="79" t="str">
        <f>IF($A168="","",COUNTIFS(Evaluations!$H$3:$H$10000,$A168,Evaluations!$M$3:$M$10000,"عدم پاسخ"))</f>
        <v/>
      </c>
      <c r="L168" s="79" t="str">
        <f>IF($A168="","",COUNTIFS(Evaluations!$H$3:$H$10000,$A168,Evaluations!$O$3:$O$10000,"رعایت نشده"))</f>
        <v/>
      </c>
    </row>
    <row r="169">
      <c r="A169" s="79"/>
      <c r="B169" s="79" t="str">
        <f>IF($A169="","",COUNTIFS(Evaluations!$H$3:$H$10000,$A169,Evaluations!$U$3:$U$10000,"&gt;=0",Evaluations!$U$3:$U$10000,"&lt;=100"))</f>
        <v/>
      </c>
      <c r="C169" s="79" t="str">
        <f>IF($A169="","",COUNTIFS('Agent Report'!$B$4:$B$53,$A169,'Agent Report'!$C$4:$C$53,"&gt;0"))</f>
        <v/>
      </c>
      <c r="D169" s="79" t="str">
        <f>IF(OR($A169="",B169=0),"",ROUND(SUMIFS(Evaluations!$U$3:$U$10000,Evaluations!$H$3:$H$10000,$A169)/B169,2))</f>
        <v/>
      </c>
      <c r="E169" s="79" t="str">
        <f>IF($A169="","",COUNTIFS(Evaluations!$H$3:$H$10000,$A169,Evaluations!$M$3:$M$10000,"پاسخ داده شده"))</f>
        <v/>
      </c>
      <c r="F169" s="79" t="str">
        <f>IF($A169="","",IFERROR(COUNTIFS(Evaluations!$H$3:$H$10000,$A169,Evaluations!$O$3:$O$10000,"رعایت شده")/(COUNTIFS(Evaluations!$H$3:$H$10000,$A169,Evaluations!$O$3:$O$10000,"رعایت شده")+COUNTIFS(Evaluations!$H$3:$H$10000,$A169,Evaluations!$O$3:$O$10000,"رعایت نشده")),""))</f>
        <v/>
      </c>
      <c r="G169" s="79" t="str">
        <f>IF($A169="","",IFERROR(ROUND(100*COUNTIFS(Evaluations!$H$3:$H$10000,$A169,Evaluations!$Q$3:$Q$10000,1)/(COUNTIFS(Evaluations!$H$3:$H$10000,$A169,Evaluations!$Q$3:$Q$10000,1)+COUNTIFS(Evaluations!$H$3:$H$10000,$A169,Evaluations!$Q$3:$Q$10000,0)),2),""))</f>
        <v/>
      </c>
      <c r="H169" s="79" t="str">
        <f>IF($A169="","",IFERROR(ROUND(100*COUNTIFS(Evaluations!$H$3:$H$10000,$A169,Evaluations!$R$3:$R$10000,1)/(COUNTIFS(Evaluations!$H$3:$H$10000,$A169,Evaluations!$R$3:$R$10000,1)+COUNTIFS(Evaluations!$H$3:$H$10000,$A169,Evaluations!$R$3:$R$10000,0)),2),""))</f>
        <v/>
      </c>
      <c r="I169" s="79" t="str">
        <f>IF($A169="","",IFERROR(ROUND(100*COUNTIFS(Evaluations!$H$3:$H$10000,$A169,Evaluations!$S$3:$S$10000,1)/(COUNTIFS(Evaluations!$H$3:$H$10000,$A169,Evaluations!$S$3:$S$10000,1)+COUNTIFS(Evaluations!$H$3:$H$10000,$A169,Evaluations!$S$3:$S$10000,0)),2),""))</f>
        <v/>
      </c>
      <c r="J169" s="79" t="str">
        <f>IF($A169="","",IFERROR(ROUND(100*COUNTIFS(Evaluations!$H$3:$H$10000,$A169,Evaluations!$T$3:$T$10000,1)/(COUNTIFS(Evaluations!$H$3:$H$10000,$A169,Evaluations!$T$3:$T$10000,1)+COUNTIFS(Evaluations!$H$3:$H$10000,$A169,Evaluations!$T$3:$T$10000,0)),2),""))</f>
        <v/>
      </c>
      <c r="K169" s="79" t="str">
        <f>IF($A169="","",COUNTIFS(Evaluations!$H$3:$H$10000,$A169,Evaluations!$M$3:$M$10000,"عدم پاسخ"))</f>
        <v/>
      </c>
      <c r="L169" s="79" t="str">
        <f>IF($A169="","",COUNTIFS(Evaluations!$H$3:$H$10000,$A169,Evaluations!$O$3:$O$10000,"رعایت نشده"))</f>
        <v/>
      </c>
    </row>
    <row r="170">
      <c r="A170" s="79"/>
      <c r="B170" s="79" t="str">
        <f>IF($A170="","",COUNTIFS(Evaluations!$H$3:$H$10000,$A170,Evaluations!$U$3:$U$10000,"&gt;=0",Evaluations!$U$3:$U$10000,"&lt;=100"))</f>
        <v/>
      </c>
      <c r="C170" s="79" t="str">
        <f>IF($A170="","",COUNTIFS('Agent Report'!$B$4:$B$53,$A170,'Agent Report'!$C$4:$C$53,"&gt;0"))</f>
        <v/>
      </c>
      <c r="D170" s="79" t="str">
        <f>IF(OR($A170="",B170=0),"",ROUND(SUMIFS(Evaluations!$U$3:$U$10000,Evaluations!$H$3:$H$10000,$A170)/B170,2))</f>
        <v/>
      </c>
      <c r="E170" s="79" t="str">
        <f>IF($A170="","",COUNTIFS(Evaluations!$H$3:$H$10000,$A170,Evaluations!$M$3:$M$10000,"پاسخ داده شده"))</f>
        <v/>
      </c>
      <c r="F170" s="79" t="str">
        <f>IF($A170="","",IFERROR(COUNTIFS(Evaluations!$H$3:$H$10000,$A170,Evaluations!$O$3:$O$10000,"رعایت شده")/(COUNTIFS(Evaluations!$H$3:$H$10000,$A170,Evaluations!$O$3:$O$10000,"رعایت شده")+COUNTIFS(Evaluations!$H$3:$H$10000,$A170,Evaluations!$O$3:$O$10000,"رعایت نشده")),""))</f>
        <v/>
      </c>
      <c r="G170" s="79" t="str">
        <f>IF($A170="","",IFERROR(ROUND(100*COUNTIFS(Evaluations!$H$3:$H$10000,$A170,Evaluations!$Q$3:$Q$10000,1)/(COUNTIFS(Evaluations!$H$3:$H$10000,$A170,Evaluations!$Q$3:$Q$10000,1)+COUNTIFS(Evaluations!$H$3:$H$10000,$A170,Evaluations!$Q$3:$Q$10000,0)),2),""))</f>
        <v/>
      </c>
      <c r="H170" s="79" t="str">
        <f>IF($A170="","",IFERROR(ROUND(100*COUNTIFS(Evaluations!$H$3:$H$10000,$A170,Evaluations!$R$3:$R$10000,1)/(COUNTIFS(Evaluations!$H$3:$H$10000,$A170,Evaluations!$R$3:$R$10000,1)+COUNTIFS(Evaluations!$H$3:$H$10000,$A170,Evaluations!$R$3:$R$10000,0)),2),""))</f>
        <v/>
      </c>
      <c r="I170" s="79" t="str">
        <f>IF($A170="","",IFERROR(ROUND(100*COUNTIFS(Evaluations!$H$3:$H$10000,$A170,Evaluations!$S$3:$S$10000,1)/(COUNTIFS(Evaluations!$H$3:$H$10000,$A170,Evaluations!$S$3:$S$10000,1)+COUNTIFS(Evaluations!$H$3:$H$10000,$A170,Evaluations!$S$3:$S$10000,0)),2),""))</f>
        <v/>
      </c>
      <c r="J170" s="79" t="str">
        <f>IF($A170="","",IFERROR(ROUND(100*COUNTIFS(Evaluations!$H$3:$H$10000,$A170,Evaluations!$T$3:$T$10000,1)/(COUNTIFS(Evaluations!$H$3:$H$10000,$A170,Evaluations!$T$3:$T$10000,1)+COUNTIFS(Evaluations!$H$3:$H$10000,$A170,Evaluations!$T$3:$T$10000,0)),2),""))</f>
        <v/>
      </c>
      <c r="K170" s="79" t="str">
        <f>IF($A170="","",COUNTIFS(Evaluations!$H$3:$H$10000,$A170,Evaluations!$M$3:$M$10000,"عدم پاسخ"))</f>
        <v/>
      </c>
      <c r="L170" s="79" t="str">
        <f>IF($A170="","",COUNTIFS(Evaluations!$H$3:$H$10000,$A170,Evaluations!$O$3:$O$10000,"رعایت نشده"))</f>
        <v/>
      </c>
    </row>
    <row r="171">
      <c r="A171" s="79"/>
      <c r="B171" s="79" t="str">
        <f>IF($A171="","",COUNTIFS(Evaluations!$H$3:$H$10000,$A171,Evaluations!$U$3:$U$10000,"&gt;=0",Evaluations!$U$3:$U$10000,"&lt;=100"))</f>
        <v/>
      </c>
      <c r="C171" s="79" t="str">
        <f>IF($A171="","",COUNTIFS('Agent Report'!$B$4:$B$53,$A171,'Agent Report'!$C$4:$C$53,"&gt;0"))</f>
        <v/>
      </c>
      <c r="D171" s="79" t="str">
        <f>IF(OR($A171="",B171=0),"",ROUND(SUMIFS(Evaluations!$U$3:$U$10000,Evaluations!$H$3:$H$10000,$A171)/B171,2))</f>
        <v/>
      </c>
      <c r="E171" s="79" t="str">
        <f>IF($A171="","",COUNTIFS(Evaluations!$H$3:$H$10000,$A171,Evaluations!$M$3:$M$10000,"پاسخ داده شده"))</f>
        <v/>
      </c>
      <c r="F171" s="79" t="str">
        <f>IF($A171="","",IFERROR(COUNTIFS(Evaluations!$H$3:$H$10000,$A171,Evaluations!$O$3:$O$10000,"رعایت شده")/(COUNTIFS(Evaluations!$H$3:$H$10000,$A171,Evaluations!$O$3:$O$10000,"رعایت شده")+COUNTIFS(Evaluations!$H$3:$H$10000,$A171,Evaluations!$O$3:$O$10000,"رعایت نشده")),""))</f>
        <v/>
      </c>
      <c r="G171" s="79" t="str">
        <f>IF($A171="","",IFERROR(ROUND(100*COUNTIFS(Evaluations!$H$3:$H$10000,$A171,Evaluations!$Q$3:$Q$10000,1)/(COUNTIFS(Evaluations!$H$3:$H$10000,$A171,Evaluations!$Q$3:$Q$10000,1)+COUNTIFS(Evaluations!$H$3:$H$10000,$A171,Evaluations!$Q$3:$Q$10000,0)),2),""))</f>
        <v/>
      </c>
      <c r="H171" s="79" t="str">
        <f>IF($A171="","",IFERROR(ROUND(100*COUNTIFS(Evaluations!$H$3:$H$10000,$A171,Evaluations!$R$3:$R$10000,1)/(COUNTIFS(Evaluations!$H$3:$H$10000,$A171,Evaluations!$R$3:$R$10000,1)+COUNTIFS(Evaluations!$H$3:$H$10000,$A171,Evaluations!$R$3:$R$10000,0)),2),""))</f>
        <v/>
      </c>
      <c r="I171" s="79" t="str">
        <f>IF($A171="","",IFERROR(ROUND(100*COUNTIFS(Evaluations!$H$3:$H$10000,$A171,Evaluations!$S$3:$S$10000,1)/(COUNTIFS(Evaluations!$H$3:$H$10000,$A171,Evaluations!$S$3:$S$10000,1)+COUNTIFS(Evaluations!$H$3:$H$10000,$A171,Evaluations!$S$3:$S$10000,0)),2),""))</f>
        <v/>
      </c>
      <c r="J171" s="79" t="str">
        <f>IF($A171="","",IFERROR(ROUND(100*COUNTIFS(Evaluations!$H$3:$H$10000,$A171,Evaluations!$T$3:$T$10000,1)/(COUNTIFS(Evaluations!$H$3:$H$10000,$A171,Evaluations!$T$3:$T$10000,1)+COUNTIFS(Evaluations!$H$3:$H$10000,$A171,Evaluations!$T$3:$T$10000,0)),2),""))</f>
        <v/>
      </c>
      <c r="K171" s="79" t="str">
        <f>IF($A171="","",COUNTIFS(Evaluations!$H$3:$H$10000,$A171,Evaluations!$M$3:$M$10000,"عدم پاسخ"))</f>
        <v/>
      </c>
      <c r="L171" s="79" t="str">
        <f>IF($A171="","",COUNTIFS(Evaluations!$H$3:$H$10000,$A171,Evaluations!$O$3:$O$10000,"رعایت نشده"))</f>
        <v/>
      </c>
    </row>
    <row r="172">
      <c r="A172" s="79"/>
      <c r="B172" s="79" t="str">
        <f>IF($A172="","",COUNTIFS(Evaluations!$H$3:$H$10000,$A172,Evaluations!$U$3:$U$10000,"&gt;=0",Evaluations!$U$3:$U$10000,"&lt;=100"))</f>
        <v/>
      </c>
      <c r="C172" s="79" t="str">
        <f>IF($A172="","",COUNTIFS('Agent Report'!$B$4:$B$53,$A172,'Agent Report'!$C$4:$C$53,"&gt;0"))</f>
        <v/>
      </c>
      <c r="D172" s="79" t="str">
        <f>IF(OR($A172="",B172=0),"",ROUND(SUMIFS(Evaluations!$U$3:$U$10000,Evaluations!$H$3:$H$10000,$A172)/B172,2))</f>
        <v/>
      </c>
      <c r="E172" s="79" t="str">
        <f>IF($A172="","",COUNTIFS(Evaluations!$H$3:$H$10000,$A172,Evaluations!$M$3:$M$10000,"پاسخ داده شده"))</f>
        <v/>
      </c>
      <c r="F172" s="79" t="str">
        <f>IF($A172="","",IFERROR(COUNTIFS(Evaluations!$H$3:$H$10000,$A172,Evaluations!$O$3:$O$10000,"رعایت شده")/(COUNTIFS(Evaluations!$H$3:$H$10000,$A172,Evaluations!$O$3:$O$10000,"رعایت شده")+COUNTIFS(Evaluations!$H$3:$H$10000,$A172,Evaluations!$O$3:$O$10000,"رعایت نشده")),""))</f>
        <v/>
      </c>
      <c r="G172" s="79" t="str">
        <f>IF($A172="","",IFERROR(ROUND(100*COUNTIFS(Evaluations!$H$3:$H$10000,$A172,Evaluations!$Q$3:$Q$10000,1)/(COUNTIFS(Evaluations!$H$3:$H$10000,$A172,Evaluations!$Q$3:$Q$10000,1)+COUNTIFS(Evaluations!$H$3:$H$10000,$A172,Evaluations!$Q$3:$Q$10000,0)),2),""))</f>
        <v/>
      </c>
      <c r="H172" s="79" t="str">
        <f>IF($A172="","",IFERROR(ROUND(100*COUNTIFS(Evaluations!$H$3:$H$10000,$A172,Evaluations!$R$3:$R$10000,1)/(COUNTIFS(Evaluations!$H$3:$H$10000,$A172,Evaluations!$R$3:$R$10000,1)+COUNTIFS(Evaluations!$H$3:$H$10000,$A172,Evaluations!$R$3:$R$10000,0)),2),""))</f>
        <v/>
      </c>
      <c r="I172" s="79" t="str">
        <f>IF($A172="","",IFERROR(ROUND(100*COUNTIFS(Evaluations!$H$3:$H$10000,$A172,Evaluations!$S$3:$S$10000,1)/(COUNTIFS(Evaluations!$H$3:$H$10000,$A172,Evaluations!$S$3:$S$10000,1)+COUNTIFS(Evaluations!$H$3:$H$10000,$A172,Evaluations!$S$3:$S$10000,0)),2),""))</f>
        <v/>
      </c>
      <c r="J172" s="79" t="str">
        <f>IF($A172="","",IFERROR(ROUND(100*COUNTIFS(Evaluations!$H$3:$H$10000,$A172,Evaluations!$T$3:$T$10000,1)/(COUNTIFS(Evaluations!$H$3:$H$10000,$A172,Evaluations!$T$3:$T$10000,1)+COUNTIFS(Evaluations!$H$3:$H$10000,$A172,Evaluations!$T$3:$T$10000,0)),2),""))</f>
        <v/>
      </c>
      <c r="K172" s="79" t="str">
        <f>IF($A172="","",COUNTIFS(Evaluations!$H$3:$H$10000,$A172,Evaluations!$M$3:$M$10000,"عدم پاسخ"))</f>
        <v/>
      </c>
      <c r="L172" s="79" t="str">
        <f>IF($A172="","",COUNTIFS(Evaluations!$H$3:$H$10000,$A172,Evaluations!$O$3:$O$10000,"رعایت نشده"))</f>
        <v/>
      </c>
    </row>
    <row r="173">
      <c r="A173" s="79"/>
      <c r="B173" s="79" t="str">
        <f>IF($A173="","",COUNTIFS(Evaluations!$H$3:$H$10000,$A173,Evaluations!$U$3:$U$10000,"&gt;=0",Evaluations!$U$3:$U$10000,"&lt;=100"))</f>
        <v/>
      </c>
      <c r="C173" s="79" t="str">
        <f>IF($A173="","",COUNTIFS('Agent Report'!$B$4:$B$53,$A173,'Agent Report'!$C$4:$C$53,"&gt;0"))</f>
        <v/>
      </c>
      <c r="D173" s="79" t="str">
        <f>IF(OR($A173="",B173=0),"",ROUND(SUMIFS(Evaluations!$U$3:$U$10000,Evaluations!$H$3:$H$10000,$A173)/B173,2))</f>
        <v/>
      </c>
      <c r="E173" s="79" t="str">
        <f>IF($A173="","",COUNTIFS(Evaluations!$H$3:$H$10000,$A173,Evaluations!$M$3:$M$10000,"پاسخ داده شده"))</f>
        <v/>
      </c>
      <c r="F173" s="79" t="str">
        <f>IF($A173="","",IFERROR(COUNTIFS(Evaluations!$H$3:$H$10000,$A173,Evaluations!$O$3:$O$10000,"رعایت شده")/(COUNTIFS(Evaluations!$H$3:$H$10000,$A173,Evaluations!$O$3:$O$10000,"رعایت شده")+COUNTIFS(Evaluations!$H$3:$H$10000,$A173,Evaluations!$O$3:$O$10000,"رعایت نشده")),""))</f>
        <v/>
      </c>
      <c r="G173" s="79" t="str">
        <f>IF($A173="","",IFERROR(ROUND(100*COUNTIFS(Evaluations!$H$3:$H$10000,$A173,Evaluations!$Q$3:$Q$10000,1)/(COUNTIFS(Evaluations!$H$3:$H$10000,$A173,Evaluations!$Q$3:$Q$10000,1)+COUNTIFS(Evaluations!$H$3:$H$10000,$A173,Evaluations!$Q$3:$Q$10000,0)),2),""))</f>
        <v/>
      </c>
      <c r="H173" s="79" t="str">
        <f>IF($A173="","",IFERROR(ROUND(100*COUNTIFS(Evaluations!$H$3:$H$10000,$A173,Evaluations!$R$3:$R$10000,1)/(COUNTIFS(Evaluations!$H$3:$H$10000,$A173,Evaluations!$R$3:$R$10000,1)+COUNTIFS(Evaluations!$H$3:$H$10000,$A173,Evaluations!$R$3:$R$10000,0)),2),""))</f>
        <v/>
      </c>
      <c r="I173" s="79" t="str">
        <f>IF($A173="","",IFERROR(ROUND(100*COUNTIFS(Evaluations!$H$3:$H$10000,$A173,Evaluations!$S$3:$S$10000,1)/(COUNTIFS(Evaluations!$H$3:$H$10000,$A173,Evaluations!$S$3:$S$10000,1)+COUNTIFS(Evaluations!$H$3:$H$10000,$A173,Evaluations!$S$3:$S$10000,0)),2),""))</f>
        <v/>
      </c>
      <c r="J173" s="79" t="str">
        <f>IF($A173="","",IFERROR(ROUND(100*COUNTIFS(Evaluations!$H$3:$H$10000,$A173,Evaluations!$T$3:$T$10000,1)/(COUNTIFS(Evaluations!$H$3:$H$10000,$A173,Evaluations!$T$3:$T$10000,1)+COUNTIFS(Evaluations!$H$3:$H$10000,$A173,Evaluations!$T$3:$T$10000,0)),2),""))</f>
        <v/>
      </c>
      <c r="K173" s="79" t="str">
        <f>IF($A173="","",COUNTIFS(Evaluations!$H$3:$H$10000,$A173,Evaluations!$M$3:$M$10000,"عدم پاسخ"))</f>
        <v/>
      </c>
      <c r="L173" s="79" t="str">
        <f>IF($A173="","",COUNTIFS(Evaluations!$H$3:$H$10000,$A173,Evaluations!$O$3:$O$10000,"رعایت نشده"))</f>
        <v/>
      </c>
    </row>
    <row r="174">
      <c r="A174" s="79"/>
      <c r="B174" s="79" t="str">
        <f>IF($A174="","",COUNTIFS(Evaluations!$H$3:$H$10000,$A174,Evaluations!$U$3:$U$10000,"&gt;=0",Evaluations!$U$3:$U$10000,"&lt;=100"))</f>
        <v/>
      </c>
      <c r="C174" s="79" t="str">
        <f>IF($A174="","",COUNTIFS('Agent Report'!$B$4:$B$53,$A174,'Agent Report'!$C$4:$C$53,"&gt;0"))</f>
        <v/>
      </c>
      <c r="D174" s="79" t="str">
        <f>IF(OR($A174="",B174=0),"",ROUND(SUMIFS(Evaluations!$U$3:$U$10000,Evaluations!$H$3:$H$10000,$A174)/B174,2))</f>
        <v/>
      </c>
      <c r="E174" s="79" t="str">
        <f>IF($A174="","",COUNTIFS(Evaluations!$H$3:$H$10000,$A174,Evaluations!$M$3:$M$10000,"پاسخ داده شده"))</f>
        <v/>
      </c>
      <c r="F174" s="79" t="str">
        <f>IF($A174="","",IFERROR(COUNTIFS(Evaluations!$H$3:$H$10000,$A174,Evaluations!$O$3:$O$10000,"رعایت شده")/(COUNTIFS(Evaluations!$H$3:$H$10000,$A174,Evaluations!$O$3:$O$10000,"رعایت شده")+COUNTIFS(Evaluations!$H$3:$H$10000,$A174,Evaluations!$O$3:$O$10000,"رعایت نشده")),""))</f>
        <v/>
      </c>
      <c r="G174" s="79" t="str">
        <f>IF($A174="","",IFERROR(ROUND(100*COUNTIFS(Evaluations!$H$3:$H$10000,$A174,Evaluations!$Q$3:$Q$10000,1)/(COUNTIFS(Evaluations!$H$3:$H$10000,$A174,Evaluations!$Q$3:$Q$10000,1)+COUNTIFS(Evaluations!$H$3:$H$10000,$A174,Evaluations!$Q$3:$Q$10000,0)),2),""))</f>
        <v/>
      </c>
      <c r="H174" s="79" t="str">
        <f>IF($A174="","",IFERROR(ROUND(100*COUNTIFS(Evaluations!$H$3:$H$10000,$A174,Evaluations!$R$3:$R$10000,1)/(COUNTIFS(Evaluations!$H$3:$H$10000,$A174,Evaluations!$R$3:$R$10000,1)+COUNTIFS(Evaluations!$H$3:$H$10000,$A174,Evaluations!$R$3:$R$10000,0)),2),""))</f>
        <v/>
      </c>
      <c r="I174" s="79" t="str">
        <f>IF($A174="","",IFERROR(ROUND(100*COUNTIFS(Evaluations!$H$3:$H$10000,$A174,Evaluations!$S$3:$S$10000,1)/(COUNTIFS(Evaluations!$H$3:$H$10000,$A174,Evaluations!$S$3:$S$10000,1)+COUNTIFS(Evaluations!$H$3:$H$10000,$A174,Evaluations!$S$3:$S$10000,0)),2),""))</f>
        <v/>
      </c>
      <c r="J174" s="79" t="str">
        <f>IF($A174="","",IFERROR(ROUND(100*COUNTIFS(Evaluations!$H$3:$H$10000,$A174,Evaluations!$T$3:$T$10000,1)/(COUNTIFS(Evaluations!$H$3:$H$10000,$A174,Evaluations!$T$3:$T$10000,1)+COUNTIFS(Evaluations!$H$3:$H$10000,$A174,Evaluations!$T$3:$T$10000,0)),2),""))</f>
        <v/>
      </c>
      <c r="K174" s="79" t="str">
        <f>IF($A174="","",COUNTIFS(Evaluations!$H$3:$H$10000,$A174,Evaluations!$M$3:$M$10000,"عدم پاسخ"))</f>
        <v/>
      </c>
      <c r="L174" s="79" t="str">
        <f>IF($A174="","",COUNTIFS(Evaluations!$H$3:$H$10000,$A174,Evaluations!$O$3:$O$10000,"رعایت نشده"))</f>
        <v/>
      </c>
    </row>
    <row r="175">
      <c r="A175" s="79"/>
      <c r="B175" s="79" t="str">
        <f>IF($A175="","",COUNTIFS(Evaluations!$H$3:$H$10000,$A175,Evaluations!$U$3:$U$10000,"&gt;=0",Evaluations!$U$3:$U$10000,"&lt;=100"))</f>
        <v/>
      </c>
      <c r="C175" s="79" t="str">
        <f>IF($A175="","",COUNTIFS('Agent Report'!$B$4:$B$53,$A175,'Agent Report'!$C$4:$C$53,"&gt;0"))</f>
        <v/>
      </c>
      <c r="D175" s="79" t="str">
        <f>IF(OR($A175="",B175=0),"",ROUND(SUMIFS(Evaluations!$U$3:$U$10000,Evaluations!$H$3:$H$10000,$A175)/B175,2))</f>
        <v/>
      </c>
      <c r="E175" s="79" t="str">
        <f>IF($A175="","",COUNTIFS(Evaluations!$H$3:$H$10000,$A175,Evaluations!$M$3:$M$10000,"پاسخ داده شده"))</f>
        <v/>
      </c>
      <c r="F175" s="79" t="str">
        <f>IF($A175="","",IFERROR(COUNTIFS(Evaluations!$H$3:$H$10000,$A175,Evaluations!$O$3:$O$10000,"رعایت شده")/(COUNTIFS(Evaluations!$H$3:$H$10000,$A175,Evaluations!$O$3:$O$10000,"رعایت شده")+COUNTIFS(Evaluations!$H$3:$H$10000,$A175,Evaluations!$O$3:$O$10000,"رعایت نشده")),""))</f>
        <v/>
      </c>
      <c r="G175" s="79" t="str">
        <f>IF($A175="","",IFERROR(ROUND(100*COUNTIFS(Evaluations!$H$3:$H$10000,$A175,Evaluations!$Q$3:$Q$10000,1)/(COUNTIFS(Evaluations!$H$3:$H$10000,$A175,Evaluations!$Q$3:$Q$10000,1)+COUNTIFS(Evaluations!$H$3:$H$10000,$A175,Evaluations!$Q$3:$Q$10000,0)),2),""))</f>
        <v/>
      </c>
      <c r="H175" s="79" t="str">
        <f>IF($A175="","",IFERROR(ROUND(100*COUNTIFS(Evaluations!$H$3:$H$10000,$A175,Evaluations!$R$3:$R$10000,1)/(COUNTIFS(Evaluations!$H$3:$H$10000,$A175,Evaluations!$R$3:$R$10000,1)+COUNTIFS(Evaluations!$H$3:$H$10000,$A175,Evaluations!$R$3:$R$10000,0)),2),""))</f>
        <v/>
      </c>
      <c r="I175" s="79" t="str">
        <f>IF($A175="","",IFERROR(ROUND(100*COUNTIFS(Evaluations!$H$3:$H$10000,$A175,Evaluations!$S$3:$S$10000,1)/(COUNTIFS(Evaluations!$H$3:$H$10000,$A175,Evaluations!$S$3:$S$10000,1)+COUNTIFS(Evaluations!$H$3:$H$10000,$A175,Evaluations!$S$3:$S$10000,0)),2),""))</f>
        <v/>
      </c>
      <c r="J175" s="79" t="str">
        <f>IF($A175="","",IFERROR(ROUND(100*COUNTIFS(Evaluations!$H$3:$H$10000,$A175,Evaluations!$T$3:$T$10000,1)/(COUNTIFS(Evaluations!$H$3:$H$10000,$A175,Evaluations!$T$3:$T$10000,1)+COUNTIFS(Evaluations!$H$3:$H$10000,$A175,Evaluations!$T$3:$T$10000,0)),2),""))</f>
        <v/>
      </c>
      <c r="K175" s="79" t="str">
        <f>IF($A175="","",COUNTIFS(Evaluations!$H$3:$H$10000,$A175,Evaluations!$M$3:$M$10000,"عدم پاسخ"))</f>
        <v/>
      </c>
      <c r="L175" s="79" t="str">
        <f>IF($A175="","",COUNTIFS(Evaluations!$H$3:$H$10000,$A175,Evaluations!$O$3:$O$10000,"رعایت نشده"))</f>
        <v/>
      </c>
    </row>
    <row r="176">
      <c r="A176" s="79"/>
      <c r="B176" s="79" t="str">
        <f>IF($A176="","",COUNTIFS(Evaluations!$H$3:$H$10000,$A176,Evaluations!$U$3:$U$10000,"&gt;=0",Evaluations!$U$3:$U$10000,"&lt;=100"))</f>
        <v/>
      </c>
      <c r="C176" s="79" t="str">
        <f>IF($A176="","",COUNTIFS('Agent Report'!$B$4:$B$53,$A176,'Agent Report'!$C$4:$C$53,"&gt;0"))</f>
        <v/>
      </c>
      <c r="D176" s="79" t="str">
        <f>IF(OR($A176="",B176=0),"",ROUND(SUMIFS(Evaluations!$U$3:$U$10000,Evaluations!$H$3:$H$10000,$A176)/B176,2))</f>
        <v/>
      </c>
      <c r="E176" s="79" t="str">
        <f>IF($A176="","",COUNTIFS(Evaluations!$H$3:$H$10000,$A176,Evaluations!$M$3:$M$10000,"پاسخ داده شده"))</f>
        <v/>
      </c>
      <c r="F176" s="79" t="str">
        <f>IF($A176="","",IFERROR(COUNTIFS(Evaluations!$H$3:$H$10000,$A176,Evaluations!$O$3:$O$10000,"رعایت شده")/(COUNTIFS(Evaluations!$H$3:$H$10000,$A176,Evaluations!$O$3:$O$10000,"رعایت شده")+COUNTIFS(Evaluations!$H$3:$H$10000,$A176,Evaluations!$O$3:$O$10000,"رعایت نشده")),""))</f>
        <v/>
      </c>
      <c r="G176" s="79" t="str">
        <f>IF($A176="","",IFERROR(ROUND(100*COUNTIFS(Evaluations!$H$3:$H$10000,$A176,Evaluations!$Q$3:$Q$10000,1)/(COUNTIFS(Evaluations!$H$3:$H$10000,$A176,Evaluations!$Q$3:$Q$10000,1)+COUNTIFS(Evaluations!$H$3:$H$10000,$A176,Evaluations!$Q$3:$Q$10000,0)),2),""))</f>
        <v/>
      </c>
      <c r="H176" s="79" t="str">
        <f>IF($A176="","",IFERROR(ROUND(100*COUNTIFS(Evaluations!$H$3:$H$10000,$A176,Evaluations!$R$3:$R$10000,1)/(COUNTIFS(Evaluations!$H$3:$H$10000,$A176,Evaluations!$R$3:$R$10000,1)+COUNTIFS(Evaluations!$H$3:$H$10000,$A176,Evaluations!$R$3:$R$10000,0)),2),""))</f>
        <v/>
      </c>
      <c r="I176" s="79" t="str">
        <f>IF($A176="","",IFERROR(ROUND(100*COUNTIFS(Evaluations!$H$3:$H$10000,$A176,Evaluations!$S$3:$S$10000,1)/(COUNTIFS(Evaluations!$H$3:$H$10000,$A176,Evaluations!$S$3:$S$10000,1)+COUNTIFS(Evaluations!$H$3:$H$10000,$A176,Evaluations!$S$3:$S$10000,0)),2),""))</f>
        <v/>
      </c>
      <c r="J176" s="79" t="str">
        <f>IF($A176="","",IFERROR(ROUND(100*COUNTIFS(Evaluations!$H$3:$H$10000,$A176,Evaluations!$T$3:$T$10000,1)/(COUNTIFS(Evaluations!$H$3:$H$10000,$A176,Evaluations!$T$3:$T$10000,1)+COUNTIFS(Evaluations!$H$3:$H$10000,$A176,Evaluations!$T$3:$T$10000,0)),2),""))</f>
        <v/>
      </c>
      <c r="K176" s="79" t="str">
        <f>IF($A176="","",COUNTIFS(Evaluations!$H$3:$H$10000,$A176,Evaluations!$M$3:$M$10000,"عدم پاسخ"))</f>
        <v/>
      </c>
      <c r="L176" s="79" t="str">
        <f>IF($A176="","",COUNTIFS(Evaluations!$H$3:$H$10000,$A176,Evaluations!$O$3:$O$10000,"رعایت نشده"))</f>
        <v/>
      </c>
    </row>
    <row r="177">
      <c r="A177" s="79"/>
      <c r="B177" s="79" t="str">
        <f>IF($A177="","",COUNTIFS(Evaluations!$H$3:$H$10000,$A177,Evaluations!$U$3:$U$10000,"&gt;=0",Evaluations!$U$3:$U$10000,"&lt;=100"))</f>
        <v/>
      </c>
      <c r="C177" s="79" t="str">
        <f>IF($A177="","",COUNTIFS('Agent Report'!$B$4:$B$53,$A177,'Agent Report'!$C$4:$C$53,"&gt;0"))</f>
        <v/>
      </c>
      <c r="D177" s="79" t="str">
        <f>IF(OR($A177="",B177=0),"",ROUND(SUMIFS(Evaluations!$U$3:$U$10000,Evaluations!$H$3:$H$10000,$A177)/B177,2))</f>
        <v/>
      </c>
      <c r="E177" s="79" t="str">
        <f>IF($A177="","",COUNTIFS(Evaluations!$H$3:$H$10000,$A177,Evaluations!$M$3:$M$10000,"پاسخ داده شده"))</f>
        <v/>
      </c>
      <c r="F177" s="79" t="str">
        <f>IF($A177="","",IFERROR(COUNTIFS(Evaluations!$H$3:$H$10000,$A177,Evaluations!$O$3:$O$10000,"رعایت شده")/(COUNTIFS(Evaluations!$H$3:$H$10000,$A177,Evaluations!$O$3:$O$10000,"رعایت شده")+COUNTIFS(Evaluations!$H$3:$H$10000,$A177,Evaluations!$O$3:$O$10000,"رعایت نشده")),""))</f>
        <v/>
      </c>
      <c r="G177" s="79" t="str">
        <f>IF($A177="","",IFERROR(ROUND(100*COUNTIFS(Evaluations!$H$3:$H$10000,$A177,Evaluations!$Q$3:$Q$10000,1)/(COUNTIFS(Evaluations!$H$3:$H$10000,$A177,Evaluations!$Q$3:$Q$10000,1)+COUNTIFS(Evaluations!$H$3:$H$10000,$A177,Evaluations!$Q$3:$Q$10000,0)),2),""))</f>
        <v/>
      </c>
      <c r="H177" s="79" t="str">
        <f>IF($A177="","",IFERROR(ROUND(100*COUNTIFS(Evaluations!$H$3:$H$10000,$A177,Evaluations!$R$3:$R$10000,1)/(COUNTIFS(Evaluations!$H$3:$H$10000,$A177,Evaluations!$R$3:$R$10000,1)+COUNTIFS(Evaluations!$H$3:$H$10000,$A177,Evaluations!$R$3:$R$10000,0)),2),""))</f>
        <v/>
      </c>
      <c r="I177" s="79" t="str">
        <f>IF($A177="","",IFERROR(ROUND(100*COUNTIFS(Evaluations!$H$3:$H$10000,$A177,Evaluations!$S$3:$S$10000,1)/(COUNTIFS(Evaluations!$H$3:$H$10000,$A177,Evaluations!$S$3:$S$10000,1)+COUNTIFS(Evaluations!$H$3:$H$10000,$A177,Evaluations!$S$3:$S$10000,0)),2),""))</f>
        <v/>
      </c>
      <c r="J177" s="79" t="str">
        <f>IF($A177="","",IFERROR(ROUND(100*COUNTIFS(Evaluations!$H$3:$H$10000,$A177,Evaluations!$T$3:$T$10000,1)/(COUNTIFS(Evaluations!$H$3:$H$10000,$A177,Evaluations!$T$3:$T$10000,1)+COUNTIFS(Evaluations!$H$3:$H$10000,$A177,Evaluations!$T$3:$T$10000,0)),2),""))</f>
        <v/>
      </c>
      <c r="K177" s="79" t="str">
        <f>IF($A177="","",COUNTIFS(Evaluations!$H$3:$H$10000,$A177,Evaluations!$M$3:$M$10000,"عدم پاسخ"))</f>
        <v/>
      </c>
      <c r="L177" s="79" t="str">
        <f>IF($A177="","",COUNTIFS(Evaluations!$H$3:$H$10000,$A177,Evaluations!$O$3:$O$10000,"رعایت نشده"))</f>
        <v/>
      </c>
    </row>
    <row r="178">
      <c r="A178" s="79"/>
      <c r="B178" s="79" t="str">
        <f>IF($A178="","",COUNTIFS(Evaluations!$H$3:$H$10000,$A178,Evaluations!$U$3:$U$10000,"&gt;=0",Evaluations!$U$3:$U$10000,"&lt;=100"))</f>
        <v/>
      </c>
      <c r="C178" s="79" t="str">
        <f>IF($A178="","",COUNTIFS('Agent Report'!$B$4:$B$53,$A178,'Agent Report'!$C$4:$C$53,"&gt;0"))</f>
        <v/>
      </c>
      <c r="D178" s="79" t="str">
        <f>IF(OR($A178="",B178=0),"",ROUND(SUMIFS(Evaluations!$U$3:$U$10000,Evaluations!$H$3:$H$10000,$A178)/B178,2))</f>
        <v/>
      </c>
      <c r="E178" s="79" t="str">
        <f>IF($A178="","",COUNTIFS(Evaluations!$H$3:$H$10000,$A178,Evaluations!$M$3:$M$10000,"پاسخ داده شده"))</f>
        <v/>
      </c>
      <c r="F178" s="79" t="str">
        <f>IF($A178="","",IFERROR(COUNTIFS(Evaluations!$H$3:$H$10000,$A178,Evaluations!$O$3:$O$10000,"رعایت شده")/(COUNTIFS(Evaluations!$H$3:$H$10000,$A178,Evaluations!$O$3:$O$10000,"رعایت شده")+COUNTIFS(Evaluations!$H$3:$H$10000,$A178,Evaluations!$O$3:$O$10000,"رعایت نشده")),""))</f>
        <v/>
      </c>
      <c r="G178" s="79" t="str">
        <f>IF($A178="","",IFERROR(ROUND(100*COUNTIFS(Evaluations!$H$3:$H$10000,$A178,Evaluations!$Q$3:$Q$10000,1)/(COUNTIFS(Evaluations!$H$3:$H$10000,$A178,Evaluations!$Q$3:$Q$10000,1)+COUNTIFS(Evaluations!$H$3:$H$10000,$A178,Evaluations!$Q$3:$Q$10000,0)),2),""))</f>
        <v/>
      </c>
      <c r="H178" s="79" t="str">
        <f>IF($A178="","",IFERROR(ROUND(100*COUNTIFS(Evaluations!$H$3:$H$10000,$A178,Evaluations!$R$3:$R$10000,1)/(COUNTIFS(Evaluations!$H$3:$H$10000,$A178,Evaluations!$R$3:$R$10000,1)+COUNTIFS(Evaluations!$H$3:$H$10000,$A178,Evaluations!$R$3:$R$10000,0)),2),""))</f>
        <v/>
      </c>
      <c r="I178" s="79" t="str">
        <f>IF($A178="","",IFERROR(ROUND(100*COUNTIFS(Evaluations!$H$3:$H$10000,$A178,Evaluations!$S$3:$S$10000,1)/(COUNTIFS(Evaluations!$H$3:$H$10000,$A178,Evaluations!$S$3:$S$10000,1)+COUNTIFS(Evaluations!$H$3:$H$10000,$A178,Evaluations!$S$3:$S$10000,0)),2),""))</f>
        <v/>
      </c>
      <c r="J178" s="79" t="str">
        <f>IF($A178="","",IFERROR(ROUND(100*COUNTIFS(Evaluations!$H$3:$H$10000,$A178,Evaluations!$T$3:$T$10000,1)/(COUNTIFS(Evaluations!$H$3:$H$10000,$A178,Evaluations!$T$3:$T$10000,1)+COUNTIFS(Evaluations!$H$3:$H$10000,$A178,Evaluations!$T$3:$T$10000,0)),2),""))</f>
        <v/>
      </c>
      <c r="K178" s="79" t="str">
        <f>IF($A178="","",COUNTIFS(Evaluations!$H$3:$H$10000,$A178,Evaluations!$M$3:$M$10000,"عدم پاسخ"))</f>
        <v/>
      </c>
      <c r="L178" s="79" t="str">
        <f>IF($A178="","",COUNTIFS(Evaluations!$H$3:$H$10000,$A178,Evaluations!$O$3:$O$10000,"رعایت نشده"))</f>
        <v/>
      </c>
    </row>
    <row r="179">
      <c r="A179" s="79"/>
      <c r="B179" s="79" t="str">
        <f>IF($A179="","",COUNTIFS(Evaluations!$H$3:$H$10000,$A179,Evaluations!$U$3:$U$10000,"&gt;=0",Evaluations!$U$3:$U$10000,"&lt;=100"))</f>
        <v/>
      </c>
      <c r="C179" s="79" t="str">
        <f>IF($A179="","",COUNTIFS('Agent Report'!$B$4:$B$53,$A179,'Agent Report'!$C$4:$C$53,"&gt;0"))</f>
        <v/>
      </c>
      <c r="D179" s="79" t="str">
        <f>IF(OR($A179="",B179=0),"",ROUND(SUMIFS(Evaluations!$U$3:$U$10000,Evaluations!$H$3:$H$10000,$A179)/B179,2))</f>
        <v/>
      </c>
      <c r="E179" s="79" t="str">
        <f>IF($A179="","",COUNTIFS(Evaluations!$H$3:$H$10000,$A179,Evaluations!$M$3:$M$10000,"پاسخ داده شده"))</f>
        <v/>
      </c>
      <c r="F179" s="79" t="str">
        <f>IF($A179="","",IFERROR(COUNTIFS(Evaluations!$H$3:$H$10000,$A179,Evaluations!$O$3:$O$10000,"رعایت شده")/(COUNTIFS(Evaluations!$H$3:$H$10000,$A179,Evaluations!$O$3:$O$10000,"رعایت شده")+COUNTIFS(Evaluations!$H$3:$H$10000,$A179,Evaluations!$O$3:$O$10000,"رعایت نشده")),""))</f>
        <v/>
      </c>
      <c r="G179" s="79" t="str">
        <f>IF($A179="","",IFERROR(ROUND(100*COUNTIFS(Evaluations!$H$3:$H$10000,$A179,Evaluations!$Q$3:$Q$10000,1)/(COUNTIFS(Evaluations!$H$3:$H$10000,$A179,Evaluations!$Q$3:$Q$10000,1)+COUNTIFS(Evaluations!$H$3:$H$10000,$A179,Evaluations!$Q$3:$Q$10000,0)),2),""))</f>
        <v/>
      </c>
      <c r="H179" s="79" t="str">
        <f>IF($A179="","",IFERROR(ROUND(100*COUNTIFS(Evaluations!$H$3:$H$10000,$A179,Evaluations!$R$3:$R$10000,1)/(COUNTIFS(Evaluations!$H$3:$H$10000,$A179,Evaluations!$R$3:$R$10000,1)+COUNTIFS(Evaluations!$H$3:$H$10000,$A179,Evaluations!$R$3:$R$10000,0)),2),""))</f>
        <v/>
      </c>
      <c r="I179" s="79" t="str">
        <f>IF($A179="","",IFERROR(ROUND(100*COUNTIFS(Evaluations!$H$3:$H$10000,$A179,Evaluations!$S$3:$S$10000,1)/(COUNTIFS(Evaluations!$H$3:$H$10000,$A179,Evaluations!$S$3:$S$10000,1)+COUNTIFS(Evaluations!$H$3:$H$10000,$A179,Evaluations!$S$3:$S$10000,0)),2),""))</f>
        <v/>
      </c>
      <c r="J179" s="79" t="str">
        <f>IF($A179="","",IFERROR(ROUND(100*COUNTIFS(Evaluations!$H$3:$H$10000,$A179,Evaluations!$T$3:$T$10000,1)/(COUNTIFS(Evaluations!$H$3:$H$10000,$A179,Evaluations!$T$3:$T$10000,1)+COUNTIFS(Evaluations!$H$3:$H$10000,$A179,Evaluations!$T$3:$T$10000,0)),2),""))</f>
        <v/>
      </c>
      <c r="K179" s="79" t="str">
        <f>IF($A179="","",COUNTIFS(Evaluations!$H$3:$H$10000,$A179,Evaluations!$M$3:$M$10000,"عدم پاسخ"))</f>
        <v/>
      </c>
      <c r="L179" s="79" t="str">
        <f>IF($A179="","",COUNTIFS(Evaluations!$H$3:$H$10000,$A179,Evaluations!$O$3:$O$10000,"رعایت نشده"))</f>
        <v/>
      </c>
    </row>
    <row r="180">
      <c r="A180" s="79"/>
      <c r="B180" s="79" t="str">
        <f>IF($A180="","",COUNTIFS(Evaluations!$H$3:$H$10000,$A180,Evaluations!$U$3:$U$10000,"&gt;=0",Evaluations!$U$3:$U$10000,"&lt;=100"))</f>
        <v/>
      </c>
      <c r="C180" s="79" t="str">
        <f>IF($A180="","",COUNTIFS('Agent Report'!$B$4:$B$53,$A180,'Agent Report'!$C$4:$C$53,"&gt;0"))</f>
        <v/>
      </c>
      <c r="D180" s="79" t="str">
        <f>IF(OR($A180="",B180=0),"",ROUND(SUMIFS(Evaluations!$U$3:$U$10000,Evaluations!$H$3:$H$10000,$A180)/B180,2))</f>
        <v/>
      </c>
      <c r="E180" s="79" t="str">
        <f>IF($A180="","",COUNTIFS(Evaluations!$H$3:$H$10000,$A180,Evaluations!$M$3:$M$10000,"پاسخ داده شده"))</f>
        <v/>
      </c>
      <c r="F180" s="79" t="str">
        <f>IF($A180="","",IFERROR(COUNTIFS(Evaluations!$H$3:$H$10000,$A180,Evaluations!$O$3:$O$10000,"رعایت شده")/(COUNTIFS(Evaluations!$H$3:$H$10000,$A180,Evaluations!$O$3:$O$10000,"رعایت شده")+COUNTIFS(Evaluations!$H$3:$H$10000,$A180,Evaluations!$O$3:$O$10000,"رعایت نشده")),""))</f>
        <v/>
      </c>
      <c r="G180" s="79" t="str">
        <f>IF($A180="","",IFERROR(ROUND(100*COUNTIFS(Evaluations!$H$3:$H$10000,$A180,Evaluations!$Q$3:$Q$10000,1)/(COUNTIFS(Evaluations!$H$3:$H$10000,$A180,Evaluations!$Q$3:$Q$10000,1)+COUNTIFS(Evaluations!$H$3:$H$10000,$A180,Evaluations!$Q$3:$Q$10000,0)),2),""))</f>
        <v/>
      </c>
      <c r="H180" s="79" t="str">
        <f>IF($A180="","",IFERROR(ROUND(100*COUNTIFS(Evaluations!$H$3:$H$10000,$A180,Evaluations!$R$3:$R$10000,1)/(COUNTIFS(Evaluations!$H$3:$H$10000,$A180,Evaluations!$R$3:$R$10000,1)+COUNTIFS(Evaluations!$H$3:$H$10000,$A180,Evaluations!$R$3:$R$10000,0)),2),""))</f>
        <v/>
      </c>
      <c r="I180" s="79" t="str">
        <f>IF($A180="","",IFERROR(ROUND(100*COUNTIFS(Evaluations!$H$3:$H$10000,$A180,Evaluations!$S$3:$S$10000,1)/(COUNTIFS(Evaluations!$H$3:$H$10000,$A180,Evaluations!$S$3:$S$10000,1)+COUNTIFS(Evaluations!$H$3:$H$10000,$A180,Evaluations!$S$3:$S$10000,0)),2),""))</f>
        <v/>
      </c>
      <c r="J180" s="79" t="str">
        <f>IF($A180="","",IFERROR(ROUND(100*COUNTIFS(Evaluations!$H$3:$H$10000,$A180,Evaluations!$T$3:$T$10000,1)/(COUNTIFS(Evaluations!$H$3:$H$10000,$A180,Evaluations!$T$3:$T$10000,1)+COUNTIFS(Evaluations!$H$3:$H$10000,$A180,Evaluations!$T$3:$T$10000,0)),2),""))</f>
        <v/>
      </c>
      <c r="K180" s="79" t="str">
        <f>IF($A180="","",COUNTIFS(Evaluations!$H$3:$H$10000,$A180,Evaluations!$M$3:$M$10000,"عدم پاسخ"))</f>
        <v/>
      </c>
      <c r="L180" s="79" t="str">
        <f>IF($A180="","",COUNTIFS(Evaluations!$H$3:$H$10000,$A180,Evaluations!$O$3:$O$10000,"رعایت نشده"))</f>
        <v/>
      </c>
    </row>
    <row r="181">
      <c r="A181" s="79"/>
      <c r="B181" s="79" t="str">
        <f>IF($A181="","",COUNTIFS(Evaluations!$H$3:$H$10000,$A181,Evaluations!$U$3:$U$10000,"&gt;=0",Evaluations!$U$3:$U$10000,"&lt;=100"))</f>
        <v/>
      </c>
      <c r="C181" s="79" t="str">
        <f>IF($A181="","",COUNTIFS('Agent Report'!$B$4:$B$53,$A181,'Agent Report'!$C$4:$C$53,"&gt;0"))</f>
        <v/>
      </c>
      <c r="D181" s="79" t="str">
        <f>IF(OR($A181="",B181=0),"",ROUND(SUMIFS(Evaluations!$U$3:$U$10000,Evaluations!$H$3:$H$10000,$A181)/B181,2))</f>
        <v/>
      </c>
      <c r="E181" s="79" t="str">
        <f>IF($A181="","",COUNTIFS(Evaluations!$H$3:$H$10000,$A181,Evaluations!$M$3:$M$10000,"پاسخ داده شده"))</f>
        <v/>
      </c>
      <c r="F181" s="79" t="str">
        <f>IF($A181="","",IFERROR(COUNTIFS(Evaluations!$H$3:$H$10000,$A181,Evaluations!$O$3:$O$10000,"رعایت شده")/(COUNTIFS(Evaluations!$H$3:$H$10000,$A181,Evaluations!$O$3:$O$10000,"رعایت شده")+COUNTIFS(Evaluations!$H$3:$H$10000,$A181,Evaluations!$O$3:$O$10000,"رعایت نشده")),""))</f>
        <v/>
      </c>
      <c r="G181" s="79" t="str">
        <f>IF($A181="","",IFERROR(ROUND(100*COUNTIFS(Evaluations!$H$3:$H$10000,$A181,Evaluations!$Q$3:$Q$10000,1)/(COUNTIFS(Evaluations!$H$3:$H$10000,$A181,Evaluations!$Q$3:$Q$10000,1)+COUNTIFS(Evaluations!$H$3:$H$10000,$A181,Evaluations!$Q$3:$Q$10000,0)),2),""))</f>
        <v/>
      </c>
      <c r="H181" s="79" t="str">
        <f>IF($A181="","",IFERROR(ROUND(100*COUNTIFS(Evaluations!$H$3:$H$10000,$A181,Evaluations!$R$3:$R$10000,1)/(COUNTIFS(Evaluations!$H$3:$H$10000,$A181,Evaluations!$R$3:$R$10000,1)+COUNTIFS(Evaluations!$H$3:$H$10000,$A181,Evaluations!$R$3:$R$10000,0)),2),""))</f>
        <v/>
      </c>
      <c r="I181" s="79" t="str">
        <f>IF($A181="","",IFERROR(ROUND(100*COUNTIFS(Evaluations!$H$3:$H$10000,$A181,Evaluations!$S$3:$S$10000,1)/(COUNTIFS(Evaluations!$H$3:$H$10000,$A181,Evaluations!$S$3:$S$10000,1)+COUNTIFS(Evaluations!$H$3:$H$10000,$A181,Evaluations!$S$3:$S$10000,0)),2),""))</f>
        <v/>
      </c>
      <c r="J181" s="79" t="str">
        <f>IF($A181="","",IFERROR(ROUND(100*COUNTIFS(Evaluations!$H$3:$H$10000,$A181,Evaluations!$T$3:$T$10000,1)/(COUNTIFS(Evaluations!$H$3:$H$10000,$A181,Evaluations!$T$3:$T$10000,1)+COUNTIFS(Evaluations!$H$3:$H$10000,$A181,Evaluations!$T$3:$T$10000,0)),2),""))</f>
        <v/>
      </c>
      <c r="K181" s="79" t="str">
        <f>IF($A181="","",COUNTIFS(Evaluations!$H$3:$H$10000,$A181,Evaluations!$M$3:$M$10000,"عدم پاسخ"))</f>
        <v/>
      </c>
      <c r="L181" s="79" t="str">
        <f>IF($A181="","",COUNTIFS(Evaluations!$H$3:$H$10000,$A181,Evaluations!$O$3:$O$10000,"رعایت نشده"))</f>
        <v/>
      </c>
    </row>
    <row r="182">
      <c r="A182" s="79"/>
      <c r="B182" s="79" t="str">
        <f>IF($A182="","",COUNTIFS(Evaluations!$H$3:$H$10000,$A182,Evaluations!$U$3:$U$10000,"&gt;=0",Evaluations!$U$3:$U$10000,"&lt;=100"))</f>
        <v/>
      </c>
      <c r="C182" s="79" t="str">
        <f>IF($A182="","",COUNTIFS('Agent Report'!$B$4:$B$53,$A182,'Agent Report'!$C$4:$C$53,"&gt;0"))</f>
        <v/>
      </c>
      <c r="D182" s="79" t="str">
        <f>IF(OR($A182="",B182=0),"",ROUND(SUMIFS(Evaluations!$U$3:$U$10000,Evaluations!$H$3:$H$10000,$A182)/B182,2))</f>
        <v/>
      </c>
      <c r="E182" s="79" t="str">
        <f>IF($A182="","",COUNTIFS(Evaluations!$H$3:$H$10000,$A182,Evaluations!$M$3:$M$10000,"پاسخ داده شده"))</f>
        <v/>
      </c>
      <c r="F182" s="79" t="str">
        <f>IF($A182="","",IFERROR(COUNTIFS(Evaluations!$H$3:$H$10000,$A182,Evaluations!$O$3:$O$10000,"رعایت شده")/(COUNTIFS(Evaluations!$H$3:$H$10000,$A182,Evaluations!$O$3:$O$10000,"رعایت شده")+COUNTIFS(Evaluations!$H$3:$H$10000,$A182,Evaluations!$O$3:$O$10000,"رعایت نشده")),""))</f>
        <v/>
      </c>
      <c r="G182" s="79" t="str">
        <f>IF($A182="","",IFERROR(ROUND(100*COUNTIFS(Evaluations!$H$3:$H$10000,$A182,Evaluations!$Q$3:$Q$10000,1)/(COUNTIFS(Evaluations!$H$3:$H$10000,$A182,Evaluations!$Q$3:$Q$10000,1)+COUNTIFS(Evaluations!$H$3:$H$10000,$A182,Evaluations!$Q$3:$Q$10000,0)),2),""))</f>
        <v/>
      </c>
      <c r="H182" s="79" t="str">
        <f>IF($A182="","",IFERROR(ROUND(100*COUNTIFS(Evaluations!$H$3:$H$10000,$A182,Evaluations!$R$3:$R$10000,1)/(COUNTIFS(Evaluations!$H$3:$H$10000,$A182,Evaluations!$R$3:$R$10000,1)+COUNTIFS(Evaluations!$H$3:$H$10000,$A182,Evaluations!$R$3:$R$10000,0)),2),""))</f>
        <v/>
      </c>
      <c r="I182" s="79" t="str">
        <f>IF($A182="","",IFERROR(ROUND(100*COUNTIFS(Evaluations!$H$3:$H$10000,$A182,Evaluations!$S$3:$S$10000,1)/(COUNTIFS(Evaluations!$H$3:$H$10000,$A182,Evaluations!$S$3:$S$10000,1)+COUNTIFS(Evaluations!$H$3:$H$10000,$A182,Evaluations!$S$3:$S$10000,0)),2),""))</f>
        <v/>
      </c>
      <c r="J182" s="79" t="str">
        <f>IF($A182="","",IFERROR(ROUND(100*COUNTIFS(Evaluations!$H$3:$H$10000,$A182,Evaluations!$T$3:$T$10000,1)/(COUNTIFS(Evaluations!$H$3:$H$10000,$A182,Evaluations!$T$3:$T$10000,1)+COUNTIFS(Evaluations!$H$3:$H$10000,$A182,Evaluations!$T$3:$T$10000,0)),2),""))</f>
        <v/>
      </c>
      <c r="K182" s="79" t="str">
        <f>IF($A182="","",COUNTIFS(Evaluations!$H$3:$H$10000,$A182,Evaluations!$M$3:$M$10000,"عدم پاسخ"))</f>
        <v/>
      </c>
      <c r="L182" s="79" t="str">
        <f>IF($A182="","",COUNTIFS(Evaluations!$H$3:$H$10000,$A182,Evaluations!$O$3:$O$10000,"رعایت نشده"))</f>
        <v/>
      </c>
    </row>
    <row r="183">
      <c r="A183" s="79"/>
      <c r="B183" s="79" t="str">
        <f>IF($A183="","",COUNTIFS(Evaluations!$H$3:$H$10000,$A183,Evaluations!$U$3:$U$10000,"&gt;=0",Evaluations!$U$3:$U$10000,"&lt;=100"))</f>
        <v/>
      </c>
      <c r="C183" s="79" t="str">
        <f>IF($A183="","",COUNTIFS('Agent Report'!$B$4:$B$53,$A183,'Agent Report'!$C$4:$C$53,"&gt;0"))</f>
        <v/>
      </c>
      <c r="D183" s="79" t="str">
        <f>IF(OR($A183="",B183=0),"",ROUND(SUMIFS(Evaluations!$U$3:$U$10000,Evaluations!$H$3:$H$10000,$A183)/B183,2))</f>
        <v/>
      </c>
      <c r="E183" s="79" t="str">
        <f>IF($A183="","",COUNTIFS(Evaluations!$H$3:$H$10000,$A183,Evaluations!$M$3:$M$10000,"پاسخ داده شده"))</f>
        <v/>
      </c>
      <c r="F183" s="79" t="str">
        <f>IF($A183="","",IFERROR(COUNTIFS(Evaluations!$H$3:$H$10000,$A183,Evaluations!$O$3:$O$10000,"رعایت شده")/(COUNTIFS(Evaluations!$H$3:$H$10000,$A183,Evaluations!$O$3:$O$10000,"رعایت شده")+COUNTIFS(Evaluations!$H$3:$H$10000,$A183,Evaluations!$O$3:$O$10000,"رعایت نشده")),""))</f>
        <v/>
      </c>
      <c r="G183" s="79" t="str">
        <f>IF($A183="","",IFERROR(ROUND(100*COUNTIFS(Evaluations!$H$3:$H$10000,$A183,Evaluations!$Q$3:$Q$10000,1)/(COUNTIFS(Evaluations!$H$3:$H$10000,$A183,Evaluations!$Q$3:$Q$10000,1)+COUNTIFS(Evaluations!$H$3:$H$10000,$A183,Evaluations!$Q$3:$Q$10000,0)),2),""))</f>
        <v/>
      </c>
      <c r="H183" s="79" t="str">
        <f>IF($A183="","",IFERROR(ROUND(100*COUNTIFS(Evaluations!$H$3:$H$10000,$A183,Evaluations!$R$3:$R$10000,1)/(COUNTIFS(Evaluations!$H$3:$H$10000,$A183,Evaluations!$R$3:$R$10000,1)+COUNTIFS(Evaluations!$H$3:$H$10000,$A183,Evaluations!$R$3:$R$10000,0)),2),""))</f>
        <v/>
      </c>
      <c r="I183" s="79" t="str">
        <f>IF($A183="","",IFERROR(ROUND(100*COUNTIFS(Evaluations!$H$3:$H$10000,$A183,Evaluations!$S$3:$S$10000,1)/(COUNTIFS(Evaluations!$H$3:$H$10000,$A183,Evaluations!$S$3:$S$10000,1)+COUNTIFS(Evaluations!$H$3:$H$10000,$A183,Evaluations!$S$3:$S$10000,0)),2),""))</f>
        <v/>
      </c>
      <c r="J183" s="79" t="str">
        <f>IF($A183="","",IFERROR(ROUND(100*COUNTIFS(Evaluations!$H$3:$H$10000,$A183,Evaluations!$T$3:$T$10000,1)/(COUNTIFS(Evaluations!$H$3:$H$10000,$A183,Evaluations!$T$3:$T$10000,1)+COUNTIFS(Evaluations!$H$3:$H$10000,$A183,Evaluations!$T$3:$T$10000,0)),2),""))</f>
        <v/>
      </c>
      <c r="K183" s="79" t="str">
        <f>IF($A183="","",COUNTIFS(Evaluations!$H$3:$H$10000,$A183,Evaluations!$M$3:$M$10000,"عدم پاسخ"))</f>
        <v/>
      </c>
      <c r="L183" s="79" t="str">
        <f>IF($A183="","",COUNTIFS(Evaluations!$H$3:$H$10000,$A183,Evaluations!$O$3:$O$10000,"رعایت نشده"))</f>
        <v/>
      </c>
    </row>
    <row r="184">
      <c r="A184" s="79"/>
      <c r="B184" s="79" t="str">
        <f>IF($A184="","",COUNTIFS(Evaluations!$H$3:$H$10000,$A184,Evaluations!$U$3:$U$10000,"&gt;=0",Evaluations!$U$3:$U$10000,"&lt;=100"))</f>
        <v/>
      </c>
      <c r="C184" s="79" t="str">
        <f>IF($A184="","",COUNTIFS('Agent Report'!$B$4:$B$53,$A184,'Agent Report'!$C$4:$C$53,"&gt;0"))</f>
        <v/>
      </c>
      <c r="D184" s="79" t="str">
        <f>IF(OR($A184="",B184=0),"",ROUND(SUMIFS(Evaluations!$U$3:$U$10000,Evaluations!$H$3:$H$10000,$A184)/B184,2))</f>
        <v/>
      </c>
      <c r="E184" s="79" t="str">
        <f>IF($A184="","",COUNTIFS(Evaluations!$H$3:$H$10000,$A184,Evaluations!$M$3:$M$10000,"پاسخ داده شده"))</f>
        <v/>
      </c>
      <c r="F184" s="79" t="str">
        <f>IF($A184="","",IFERROR(COUNTIFS(Evaluations!$H$3:$H$10000,$A184,Evaluations!$O$3:$O$10000,"رعایت شده")/(COUNTIFS(Evaluations!$H$3:$H$10000,$A184,Evaluations!$O$3:$O$10000,"رعایت شده")+COUNTIFS(Evaluations!$H$3:$H$10000,$A184,Evaluations!$O$3:$O$10000,"رعایت نشده")),""))</f>
        <v/>
      </c>
      <c r="G184" s="79" t="str">
        <f>IF($A184="","",IFERROR(ROUND(100*COUNTIFS(Evaluations!$H$3:$H$10000,$A184,Evaluations!$Q$3:$Q$10000,1)/(COUNTIFS(Evaluations!$H$3:$H$10000,$A184,Evaluations!$Q$3:$Q$10000,1)+COUNTIFS(Evaluations!$H$3:$H$10000,$A184,Evaluations!$Q$3:$Q$10000,0)),2),""))</f>
        <v/>
      </c>
      <c r="H184" s="79" t="str">
        <f>IF($A184="","",IFERROR(ROUND(100*COUNTIFS(Evaluations!$H$3:$H$10000,$A184,Evaluations!$R$3:$R$10000,1)/(COUNTIFS(Evaluations!$H$3:$H$10000,$A184,Evaluations!$R$3:$R$10000,1)+COUNTIFS(Evaluations!$H$3:$H$10000,$A184,Evaluations!$R$3:$R$10000,0)),2),""))</f>
        <v/>
      </c>
      <c r="I184" s="79" t="str">
        <f>IF($A184="","",IFERROR(ROUND(100*COUNTIFS(Evaluations!$H$3:$H$10000,$A184,Evaluations!$S$3:$S$10000,1)/(COUNTIFS(Evaluations!$H$3:$H$10000,$A184,Evaluations!$S$3:$S$10000,1)+COUNTIFS(Evaluations!$H$3:$H$10000,$A184,Evaluations!$S$3:$S$10000,0)),2),""))</f>
        <v/>
      </c>
      <c r="J184" s="79" t="str">
        <f>IF($A184="","",IFERROR(ROUND(100*COUNTIFS(Evaluations!$H$3:$H$10000,$A184,Evaluations!$T$3:$T$10000,1)/(COUNTIFS(Evaluations!$H$3:$H$10000,$A184,Evaluations!$T$3:$T$10000,1)+COUNTIFS(Evaluations!$H$3:$H$10000,$A184,Evaluations!$T$3:$T$10000,0)),2),""))</f>
        <v/>
      </c>
      <c r="K184" s="79" t="str">
        <f>IF($A184="","",COUNTIFS(Evaluations!$H$3:$H$10000,$A184,Evaluations!$M$3:$M$10000,"عدم پاسخ"))</f>
        <v/>
      </c>
      <c r="L184" s="79" t="str">
        <f>IF($A184="","",COUNTIFS(Evaluations!$H$3:$H$10000,$A184,Evaluations!$O$3:$O$10000,"رعایت نشده"))</f>
        <v/>
      </c>
    </row>
    <row r="185">
      <c r="A185" s="79"/>
      <c r="B185" s="79" t="str">
        <f>IF($A185="","",COUNTIFS(Evaluations!$H$3:$H$10000,$A185,Evaluations!$U$3:$U$10000,"&gt;=0",Evaluations!$U$3:$U$10000,"&lt;=100"))</f>
        <v/>
      </c>
      <c r="C185" s="79" t="str">
        <f>IF($A185="","",COUNTIFS('Agent Report'!$B$4:$B$53,$A185,'Agent Report'!$C$4:$C$53,"&gt;0"))</f>
        <v/>
      </c>
      <c r="D185" s="79" t="str">
        <f>IF(OR($A185="",B185=0),"",ROUND(SUMIFS(Evaluations!$U$3:$U$10000,Evaluations!$H$3:$H$10000,$A185)/B185,2))</f>
        <v/>
      </c>
      <c r="E185" s="79" t="str">
        <f>IF($A185="","",COUNTIFS(Evaluations!$H$3:$H$10000,$A185,Evaluations!$M$3:$M$10000,"پاسخ داده شده"))</f>
        <v/>
      </c>
      <c r="F185" s="79" t="str">
        <f>IF($A185="","",IFERROR(COUNTIFS(Evaluations!$H$3:$H$10000,$A185,Evaluations!$O$3:$O$10000,"رعایت شده")/(COUNTIFS(Evaluations!$H$3:$H$10000,$A185,Evaluations!$O$3:$O$10000,"رعایت شده")+COUNTIFS(Evaluations!$H$3:$H$10000,$A185,Evaluations!$O$3:$O$10000,"رعایت نشده")),""))</f>
        <v/>
      </c>
      <c r="G185" s="79" t="str">
        <f>IF($A185="","",IFERROR(ROUND(100*COUNTIFS(Evaluations!$H$3:$H$10000,$A185,Evaluations!$Q$3:$Q$10000,1)/(COUNTIFS(Evaluations!$H$3:$H$10000,$A185,Evaluations!$Q$3:$Q$10000,1)+COUNTIFS(Evaluations!$H$3:$H$10000,$A185,Evaluations!$Q$3:$Q$10000,0)),2),""))</f>
        <v/>
      </c>
      <c r="H185" s="79" t="str">
        <f>IF($A185="","",IFERROR(ROUND(100*COUNTIFS(Evaluations!$H$3:$H$10000,$A185,Evaluations!$R$3:$R$10000,1)/(COUNTIFS(Evaluations!$H$3:$H$10000,$A185,Evaluations!$R$3:$R$10000,1)+COUNTIFS(Evaluations!$H$3:$H$10000,$A185,Evaluations!$R$3:$R$10000,0)),2),""))</f>
        <v/>
      </c>
      <c r="I185" s="79" t="str">
        <f>IF($A185="","",IFERROR(ROUND(100*COUNTIFS(Evaluations!$H$3:$H$10000,$A185,Evaluations!$S$3:$S$10000,1)/(COUNTIFS(Evaluations!$H$3:$H$10000,$A185,Evaluations!$S$3:$S$10000,1)+COUNTIFS(Evaluations!$H$3:$H$10000,$A185,Evaluations!$S$3:$S$10000,0)),2),""))</f>
        <v/>
      </c>
      <c r="J185" s="79" t="str">
        <f>IF($A185="","",IFERROR(ROUND(100*COUNTIFS(Evaluations!$H$3:$H$10000,$A185,Evaluations!$T$3:$T$10000,1)/(COUNTIFS(Evaluations!$H$3:$H$10000,$A185,Evaluations!$T$3:$T$10000,1)+COUNTIFS(Evaluations!$H$3:$H$10000,$A185,Evaluations!$T$3:$T$10000,0)),2),""))</f>
        <v/>
      </c>
      <c r="K185" s="79" t="str">
        <f>IF($A185="","",COUNTIFS(Evaluations!$H$3:$H$10000,$A185,Evaluations!$M$3:$M$10000,"عدم پاسخ"))</f>
        <v/>
      </c>
      <c r="L185" s="79" t="str">
        <f>IF($A185="","",COUNTIFS(Evaluations!$H$3:$H$10000,$A185,Evaluations!$O$3:$O$10000,"رعایت نشده"))</f>
        <v/>
      </c>
    </row>
    <row r="186">
      <c r="A186" s="79"/>
      <c r="B186" s="79" t="str">
        <f>IF($A186="","",COUNTIFS(Evaluations!$H$3:$H$10000,$A186,Evaluations!$U$3:$U$10000,"&gt;=0",Evaluations!$U$3:$U$10000,"&lt;=100"))</f>
        <v/>
      </c>
      <c r="C186" s="79" t="str">
        <f>IF($A186="","",COUNTIFS('Agent Report'!$B$4:$B$53,$A186,'Agent Report'!$C$4:$C$53,"&gt;0"))</f>
        <v/>
      </c>
      <c r="D186" s="79" t="str">
        <f>IF(OR($A186="",B186=0),"",ROUND(SUMIFS(Evaluations!$U$3:$U$10000,Evaluations!$H$3:$H$10000,$A186)/B186,2))</f>
        <v/>
      </c>
      <c r="E186" s="79" t="str">
        <f>IF($A186="","",COUNTIFS(Evaluations!$H$3:$H$10000,$A186,Evaluations!$M$3:$M$10000,"پاسخ داده شده"))</f>
        <v/>
      </c>
      <c r="F186" s="79" t="str">
        <f>IF($A186="","",IFERROR(COUNTIFS(Evaluations!$H$3:$H$10000,$A186,Evaluations!$O$3:$O$10000,"رعایت شده")/(COUNTIFS(Evaluations!$H$3:$H$10000,$A186,Evaluations!$O$3:$O$10000,"رعایت شده")+COUNTIFS(Evaluations!$H$3:$H$10000,$A186,Evaluations!$O$3:$O$10000,"رعایت نشده")),""))</f>
        <v/>
      </c>
      <c r="G186" s="79" t="str">
        <f>IF($A186="","",IFERROR(ROUND(100*COUNTIFS(Evaluations!$H$3:$H$10000,$A186,Evaluations!$Q$3:$Q$10000,1)/(COUNTIFS(Evaluations!$H$3:$H$10000,$A186,Evaluations!$Q$3:$Q$10000,1)+COUNTIFS(Evaluations!$H$3:$H$10000,$A186,Evaluations!$Q$3:$Q$10000,0)),2),""))</f>
        <v/>
      </c>
      <c r="H186" s="79" t="str">
        <f>IF($A186="","",IFERROR(ROUND(100*COUNTIFS(Evaluations!$H$3:$H$10000,$A186,Evaluations!$R$3:$R$10000,1)/(COUNTIFS(Evaluations!$H$3:$H$10000,$A186,Evaluations!$R$3:$R$10000,1)+COUNTIFS(Evaluations!$H$3:$H$10000,$A186,Evaluations!$R$3:$R$10000,0)),2),""))</f>
        <v/>
      </c>
      <c r="I186" s="79" t="str">
        <f>IF($A186="","",IFERROR(ROUND(100*COUNTIFS(Evaluations!$H$3:$H$10000,$A186,Evaluations!$S$3:$S$10000,1)/(COUNTIFS(Evaluations!$H$3:$H$10000,$A186,Evaluations!$S$3:$S$10000,1)+COUNTIFS(Evaluations!$H$3:$H$10000,$A186,Evaluations!$S$3:$S$10000,0)),2),""))</f>
        <v/>
      </c>
      <c r="J186" s="79" t="str">
        <f>IF($A186="","",IFERROR(ROUND(100*COUNTIFS(Evaluations!$H$3:$H$10000,$A186,Evaluations!$T$3:$T$10000,1)/(COUNTIFS(Evaluations!$H$3:$H$10000,$A186,Evaluations!$T$3:$T$10000,1)+COUNTIFS(Evaluations!$H$3:$H$10000,$A186,Evaluations!$T$3:$T$10000,0)),2),""))</f>
        <v/>
      </c>
      <c r="K186" s="79" t="str">
        <f>IF($A186="","",COUNTIFS(Evaluations!$H$3:$H$10000,$A186,Evaluations!$M$3:$M$10000,"عدم پاسخ"))</f>
        <v/>
      </c>
      <c r="L186" s="79" t="str">
        <f>IF($A186="","",COUNTIFS(Evaluations!$H$3:$H$10000,$A186,Evaluations!$O$3:$O$10000,"رعایت نشده"))</f>
        <v/>
      </c>
    </row>
    <row r="187">
      <c r="A187" s="79"/>
      <c r="B187" s="79" t="str">
        <f>IF($A187="","",COUNTIFS(Evaluations!$H$3:$H$10000,$A187,Evaluations!$U$3:$U$10000,"&gt;=0",Evaluations!$U$3:$U$10000,"&lt;=100"))</f>
        <v/>
      </c>
      <c r="C187" s="79" t="str">
        <f>IF($A187="","",COUNTIFS('Agent Report'!$B$4:$B$53,$A187,'Agent Report'!$C$4:$C$53,"&gt;0"))</f>
        <v/>
      </c>
      <c r="D187" s="79" t="str">
        <f>IF(OR($A187="",B187=0),"",ROUND(SUMIFS(Evaluations!$U$3:$U$10000,Evaluations!$H$3:$H$10000,$A187)/B187,2))</f>
        <v/>
      </c>
      <c r="E187" s="79" t="str">
        <f>IF($A187="","",COUNTIFS(Evaluations!$H$3:$H$10000,$A187,Evaluations!$M$3:$M$10000,"پاسخ داده شده"))</f>
        <v/>
      </c>
      <c r="F187" s="79" t="str">
        <f>IF($A187="","",IFERROR(COUNTIFS(Evaluations!$H$3:$H$10000,$A187,Evaluations!$O$3:$O$10000,"رعایت شده")/(COUNTIFS(Evaluations!$H$3:$H$10000,$A187,Evaluations!$O$3:$O$10000,"رعایت شده")+COUNTIFS(Evaluations!$H$3:$H$10000,$A187,Evaluations!$O$3:$O$10000,"رعایت نشده")),""))</f>
        <v/>
      </c>
      <c r="G187" s="79" t="str">
        <f>IF($A187="","",IFERROR(ROUND(100*COUNTIFS(Evaluations!$H$3:$H$10000,$A187,Evaluations!$Q$3:$Q$10000,1)/(COUNTIFS(Evaluations!$H$3:$H$10000,$A187,Evaluations!$Q$3:$Q$10000,1)+COUNTIFS(Evaluations!$H$3:$H$10000,$A187,Evaluations!$Q$3:$Q$10000,0)),2),""))</f>
        <v/>
      </c>
      <c r="H187" s="79" t="str">
        <f>IF($A187="","",IFERROR(ROUND(100*COUNTIFS(Evaluations!$H$3:$H$10000,$A187,Evaluations!$R$3:$R$10000,1)/(COUNTIFS(Evaluations!$H$3:$H$10000,$A187,Evaluations!$R$3:$R$10000,1)+COUNTIFS(Evaluations!$H$3:$H$10000,$A187,Evaluations!$R$3:$R$10000,0)),2),""))</f>
        <v/>
      </c>
      <c r="I187" s="79" t="str">
        <f>IF($A187="","",IFERROR(ROUND(100*COUNTIFS(Evaluations!$H$3:$H$10000,$A187,Evaluations!$S$3:$S$10000,1)/(COUNTIFS(Evaluations!$H$3:$H$10000,$A187,Evaluations!$S$3:$S$10000,1)+COUNTIFS(Evaluations!$H$3:$H$10000,$A187,Evaluations!$S$3:$S$10000,0)),2),""))</f>
        <v/>
      </c>
      <c r="J187" s="79" t="str">
        <f>IF($A187="","",IFERROR(ROUND(100*COUNTIFS(Evaluations!$H$3:$H$10000,$A187,Evaluations!$T$3:$T$10000,1)/(COUNTIFS(Evaluations!$H$3:$H$10000,$A187,Evaluations!$T$3:$T$10000,1)+COUNTIFS(Evaluations!$H$3:$H$10000,$A187,Evaluations!$T$3:$T$10000,0)),2),""))</f>
        <v/>
      </c>
      <c r="K187" s="79" t="str">
        <f>IF($A187="","",COUNTIFS(Evaluations!$H$3:$H$10000,$A187,Evaluations!$M$3:$M$10000,"عدم پاسخ"))</f>
        <v/>
      </c>
      <c r="L187" s="79" t="str">
        <f>IF($A187="","",COUNTIFS(Evaluations!$H$3:$H$10000,$A187,Evaluations!$O$3:$O$10000,"رعایت نشده"))</f>
        <v/>
      </c>
    </row>
    <row r="188">
      <c r="A188" s="79"/>
      <c r="B188" s="79" t="str">
        <f>IF($A188="","",COUNTIFS(Evaluations!$H$3:$H$10000,$A188,Evaluations!$U$3:$U$10000,"&gt;=0",Evaluations!$U$3:$U$10000,"&lt;=100"))</f>
        <v/>
      </c>
      <c r="C188" s="79" t="str">
        <f>IF($A188="","",COUNTIFS('Agent Report'!$B$4:$B$53,$A188,'Agent Report'!$C$4:$C$53,"&gt;0"))</f>
        <v/>
      </c>
      <c r="D188" s="79" t="str">
        <f>IF(OR($A188="",B188=0),"",ROUND(SUMIFS(Evaluations!$U$3:$U$10000,Evaluations!$H$3:$H$10000,$A188)/B188,2))</f>
        <v/>
      </c>
      <c r="E188" s="79" t="str">
        <f>IF($A188="","",COUNTIFS(Evaluations!$H$3:$H$10000,$A188,Evaluations!$M$3:$M$10000,"پاسخ داده شده"))</f>
        <v/>
      </c>
      <c r="F188" s="79" t="str">
        <f>IF($A188="","",IFERROR(COUNTIFS(Evaluations!$H$3:$H$10000,$A188,Evaluations!$O$3:$O$10000,"رعایت شده")/(COUNTIFS(Evaluations!$H$3:$H$10000,$A188,Evaluations!$O$3:$O$10000,"رعایت شده")+COUNTIFS(Evaluations!$H$3:$H$10000,$A188,Evaluations!$O$3:$O$10000,"رعایت نشده")),""))</f>
        <v/>
      </c>
      <c r="G188" s="79" t="str">
        <f>IF($A188="","",IFERROR(ROUND(100*COUNTIFS(Evaluations!$H$3:$H$10000,$A188,Evaluations!$Q$3:$Q$10000,1)/(COUNTIFS(Evaluations!$H$3:$H$10000,$A188,Evaluations!$Q$3:$Q$10000,1)+COUNTIFS(Evaluations!$H$3:$H$10000,$A188,Evaluations!$Q$3:$Q$10000,0)),2),""))</f>
        <v/>
      </c>
      <c r="H188" s="79" t="str">
        <f>IF($A188="","",IFERROR(ROUND(100*COUNTIFS(Evaluations!$H$3:$H$10000,$A188,Evaluations!$R$3:$R$10000,1)/(COUNTIFS(Evaluations!$H$3:$H$10000,$A188,Evaluations!$R$3:$R$10000,1)+COUNTIFS(Evaluations!$H$3:$H$10000,$A188,Evaluations!$R$3:$R$10000,0)),2),""))</f>
        <v/>
      </c>
      <c r="I188" s="79" t="str">
        <f>IF($A188="","",IFERROR(ROUND(100*COUNTIFS(Evaluations!$H$3:$H$10000,$A188,Evaluations!$S$3:$S$10000,1)/(COUNTIFS(Evaluations!$H$3:$H$10000,$A188,Evaluations!$S$3:$S$10000,1)+COUNTIFS(Evaluations!$H$3:$H$10000,$A188,Evaluations!$S$3:$S$10000,0)),2),""))</f>
        <v/>
      </c>
      <c r="J188" s="79" t="str">
        <f>IF($A188="","",IFERROR(ROUND(100*COUNTIFS(Evaluations!$H$3:$H$10000,$A188,Evaluations!$T$3:$T$10000,1)/(COUNTIFS(Evaluations!$H$3:$H$10000,$A188,Evaluations!$T$3:$T$10000,1)+COUNTIFS(Evaluations!$H$3:$H$10000,$A188,Evaluations!$T$3:$T$10000,0)),2),""))</f>
        <v/>
      </c>
      <c r="K188" s="79" t="str">
        <f>IF($A188="","",COUNTIFS(Evaluations!$H$3:$H$10000,$A188,Evaluations!$M$3:$M$10000,"عدم پاسخ"))</f>
        <v/>
      </c>
      <c r="L188" s="79" t="str">
        <f>IF($A188="","",COUNTIFS(Evaluations!$H$3:$H$10000,$A188,Evaluations!$O$3:$O$10000,"رعایت نشده"))</f>
        <v/>
      </c>
    </row>
    <row r="189">
      <c r="A189" s="79"/>
      <c r="B189" s="79" t="str">
        <f>IF($A189="","",COUNTIFS(Evaluations!$H$3:$H$10000,$A189,Evaluations!$U$3:$U$10000,"&gt;=0",Evaluations!$U$3:$U$10000,"&lt;=100"))</f>
        <v/>
      </c>
      <c r="C189" s="79" t="str">
        <f>IF($A189="","",COUNTIFS('Agent Report'!$B$4:$B$53,$A189,'Agent Report'!$C$4:$C$53,"&gt;0"))</f>
        <v/>
      </c>
      <c r="D189" s="79" t="str">
        <f>IF(OR($A189="",B189=0),"",ROUND(SUMIFS(Evaluations!$U$3:$U$10000,Evaluations!$H$3:$H$10000,$A189)/B189,2))</f>
        <v/>
      </c>
      <c r="E189" s="79" t="str">
        <f>IF($A189="","",COUNTIFS(Evaluations!$H$3:$H$10000,$A189,Evaluations!$M$3:$M$10000,"پاسخ داده شده"))</f>
        <v/>
      </c>
      <c r="F189" s="79" t="str">
        <f>IF($A189="","",IFERROR(COUNTIFS(Evaluations!$H$3:$H$10000,$A189,Evaluations!$O$3:$O$10000,"رعایت شده")/(COUNTIFS(Evaluations!$H$3:$H$10000,$A189,Evaluations!$O$3:$O$10000,"رعایت شده")+COUNTIFS(Evaluations!$H$3:$H$10000,$A189,Evaluations!$O$3:$O$10000,"رعایت نشده")),""))</f>
        <v/>
      </c>
      <c r="G189" s="79" t="str">
        <f>IF($A189="","",IFERROR(ROUND(100*COUNTIFS(Evaluations!$H$3:$H$10000,$A189,Evaluations!$Q$3:$Q$10000,1)/(COUNTIFS(Evaluations!$H$3:$H$10000,$A189,Evaluations!$Q$3:$Q$10000,1)+COUNTIFS(Evaluations!$H$3:$H$10000,$A189,Evaluations!$Q$3:$Q$10000,0)),2),""))</f>
        <v/>
      </c>
      <c r="H189" s="79" t="str">
        <f>IF($A189="","",IFERROR(ROUND(100*COUNTIFS(Evaluations!$H$3:$H$10000,$A189,Evaluations!$R$3:$R$10000,1)/(COUNTIFS(Evaluations!$H$3:$H$10000,$A189,Evaluations!$R$3:$R$10000,1)+COUNTIFS(Evaluations!$H$3:$H$10000,$A189,Evaluations!$R$3:$R$10000,0)),2),""))</f>
        <v/>
      </c>
      <c r="I189" s="79" t="str">
        <f>IF($A189="","",IFERROR(ROUND(100*COUNTIFS(Evaluations!$H$3:$H$10000,$A189,Evaluations!$S$3:$S$10000,1)/(COUNTIFS(Evaluations!$H$3:$H$10000,$A189,Evaluations!$S$3:$S$10000,1)+COUNTIFS(Evaluations!$H$3:$H$10000,$A189,Evaluations!$S$3:$S$10000,0)),2),""))</f>
        <v/>
      </c>
      <c r="J189" s="79" t="str">
        <f>IF($A189="","",IFERROR(ROUND(100*COUNTIFS(Evaluations!$H$3:$H$10000,$A189,Evaluations!$T$3:$T$10000,1)/(COUNTIFS(Evaluations!$H$3:$H$10000,$A189,Evaluations!$T$3:$T$10000,1)+COUNTIFS(Evaluations!$H$3:$H$10000,$A189,Evaluations!$T$3:$T$10000,0)),2),""))</f>
        <v/>
      </c>
      <c r="K189" s="79" t="str">
        <f>IF($A189="","",COUNTIFS(Evaluations!$H$3:$H$10000,$A189,Evaluations!$M$3:$M$10000,"عدم پاسخ"))</f>
        <v/>
      </c>
      <c r="L189" s="79" t="str">
        <f>IF($A189="","",COUNTIFS(Evaluations!$H$3:$H$10000,$A189,Evaluations!$O$3:$O$10000,"رعایت نشده"))</f>
        <v/>
      </c>
    </row>
    <row r="190">
      <c r="A190" s="79"/>
      <c r="B190" s="79" t="str">
        <f>IF($A190="","",COUNTIFS(Evaluations!$H$3:$H$10000,$A190,Evaluations!$U$3:$U$10000,"&gt;=0",Evaluations!$U$3:$U$10000,"&lt;=100"))</f>
        <v/>
      </c>
      <c r="C190" s="79" t="str">
        <f>IF($A190="","",COUNTIFS('Agent Report'!$B$4:$B$53,$A190,'Agent Report'!$C$4:$C$53,"&gt;0"))</f>
        <v/>
      </c>
      <c r="D190" s="79" t="str">
        <f>IF(OR($A190="",B190=0),"",ROUND(SUMIFS(Evaluations!$U$3:$U$10000,Evaluations!$H$3:$H$10000,$A190)/B190,2))</f>
        <v/>
      </c>
      <c r="E190" s="79" t="str">
        <f>IF($A190="","",COUNTIFS(Evaluations!$H$3:$H$10000,$A190,Evaluations!$M$3:$M$10000,"پاسخ داده شده"))</f>
        <v/>
      </c>
      <c r="F190" s="79" t="str">
        <f>IF($A190="","",IFERROR(COUNTIFS(Evaluations!$H$3:$H$10000,$A190,Evaluations!$O$3:$O$10000,"رعایت شده")/(COUNTIFS(Evaluations!$H$3:$H$10000,$A190,Evaluations!$O$3:$O$10000,"رعایت شده")+COUNTIFS(Evaluations!$H$3:$H$10000,$A190,Evaluations!$O$3:$O$10000,"رعایت نشده")),""))</f>
        <v/>
      </c>
      <c r="G190" s="79" t="str">
        <f>IF($A190="","",IFERROR(ROUND(100*COUNTIFS(Evaluations!$H$3:$H$10000,$A190,Evaluations!$Q$3:$Q$10000,1)/(COUNTIFS(Evaluations!$H$3:$H$10000,$A190,Evaluations!$Q$3:$Q$10000,1)+COUNTIFS(Evaluations!$H$3:$H$10000,$A190,Evaluations!$Q$3:$Q$10000,0)),2),""))</f>
        <v/>
      </c>
      <c r="H190" s="79" t="str">
        <f>IF($A190="","",IFERROR(ROUND(100*COUNTIFS(Evaluations!$H$3:$H$10000,$A190,Evaluations!$R$3:$R$10000,1)/(COUNTIFS(Evaluations!$H$3:$H$10000,$A190,Evaluations!$R$3:$R$10000,1)+COUNTIFS(Evaluations!$H$3:$H$10000,$A190,Evaluations!$R$3:$R$10000,0)),2),""))</f>
        <v/>
      </c>
      <c r="I190" s="79" t="str">
        <f>IF($A190="","",IFERROR(ROUND(100*COUNTIFS(Evaluations!$H$3:$H$10000,$A190,Evaluations!$S$3:$S$10000,1)/(COUNTIFS(Evaluations!$H$3:$H$10000,$A190,Evaluations!$S$3:$S$10000,1)+COUNTIFS(Evaluations!$H$3:$H$10000,$A190,Evaluations!$S$3:$S$10000,0)),2),""))</f>
        <v/>
      </c>
      <c r="J190" s="79" t="str">
        <f>IF($A190="","",IFERROR(ROUND(100*COUNTIFS(Evaluations!$H$3:$H$10000,$A190,Evaluations!$T$3:$T$10000,1)/(COUNTIFS(Evaluations!$H$3:$H$10000,$A190,Evaluations!$T$3:$T$10000,1)+COUNTIFS(Evaluations!$H$3:$H$10000,$A190,Evaluations!$T$3:$T$10000,0)),2),""))</f>
        <v/>
      </c>
      <c r="K190" s="79" t="str">
        <f>IF($A190="","",COUNTIFS(Evaluations!$H$3:$H$10000,$A190,Evaluations!$M$3:$M$10000,"عدم پاسخ"))</f>
        <v/>
      </c>
      <c r="L190" s="79" t="str">
        <f>IF($A190="","",COUNTIFS(Evaluations!$H$3:$H$10000,$A190,Evaluations!$O$3:$O$10000,"رعایت نشده"))</f>
        <v/>
      </c>
    </row>
    <row r="191">
      <c r="A191" s="79"/>
      <c r="B191" s="79" t="str">
        <f>IF($A191="","",COUNTIFS(Evaluations!$H$3:$H$10000,$A191,Evaluations!$U$3:$U$10000,"&gt;=0",Evaluations!$U$3:$U$10000,"&lt;=100"))</f>
        <v/>
      </c>
      <c r="C191" s="79" t="str">
        <f>IF($A191="","",COUNTIFS('Agent Report'!$B$4:$B$53,$A191,'Agent Report'!$C$4:$C$53,"&gt;0"))</f>
        <v/>
      </c>
      <c r="D191" s="79" t="str">
        <f>IF(OR($A191="",B191=0),"",ROUND(SUMIFS(Evaluations!$U$3:$U$10000,Evaluations!$H$3:$H$10000,$A191)/B191,2))</f>
        <v/>
      </c>
      <c r="E191" s="79" t="str">
        <f>IF($A191="","",COUNTIFS(Evaluations!$H$3:$H$10000,$A191,Evaluations!$M$3:$M$10000,"پاسخ داده شده"))</f>
        <v/>
      </c>
      <c r="F191" s="79" t="str">
        <f>IF($A191="","",IFERROR(COUNTIFS(Evaluations!$H$3:$H$10000,$A191,Evaluations!$O$3:$O$10000,"رعایت شده")/(COUNTIFS(Evaluations!$H$3:$H$10000,$A191,Evaluations!$O$3:$O$10000,"رعایت شده")+COUNTIFS(Evaluations!$H$3:$H$10000,$A191,Evaluations!$O$3:$O$10000,"رعایت نشده")),""))</f>
        <v/>
      </c>
      <c r="G191" s="79" t="str">
        <f>IF($A191="","",IFERROR(ROUND(100*COUNTIFS(Evaluations!$H$3:$H$10000,$A191,Evaluations!$Q$3:$Q$10000,1)/(COUNTIFS(Evaluations!$H$3:$H$10000,$A191,Evaluations!$Q$3:$Q$10000,1)+COUNTIFS(Evaluations!$H$3:$H$10000,$A191,Evaluations!$Q$3:$Q$10000,0)),2),""))</f>
        <v/>
      </c>
      <c r="H191" s="79" t="str">
        <f>IF($A191="","",IFERROR(ROUND(100*COUNTIFS(Evaluations!$H$3:$H$10000,$A191,Evaluations!$R$3:$R$10000,1)/(COUNTIFS(Evaluations!$H$3:$H$10000,$A191,Evaluations!$R$3:$R$10000,1)+COUNTIFS(Evaluations!$H$3:$H$10000,$A191,Evaluations!$R$3:$R$10000,0)),2),""))</f>
        <v/>
      </c>
      <c r="I191" s="79" t="str">
        <f>IF($A191="","",IFERROR(ROUND(100*COUNTIFS(Evaluations!$H$3:$H$10000,$A191,Evaluations!$S$3:$S$10000,1)/(COUNTIFS(Evaluations!$H$3:$H$10000,$A191,Evaluations!$S$3:$S$10000,1)+COUNTIFS(Evaluations!$H$3:$H$10000,$A191,Evaluations!$S$3:$S$10000,0)),2),""))</f>
        <v/>
      </c>
      <c r="J191" s="79" t="str">
        <f>IF($A191="","",IFERROR(ROUND(100*COUNTIFS(Evaluations!$H$3:$H$10000,$A191,Evaluations!$T$3:$T$10000,1)/(COUNTIFS(Evaluations!$H$3:$H$10000,$A191,Evaluations!$T$3:$T$10000,1)+COUNTIFS(Evaluations!$H$3:$H$10000,$A191,Evaluations!$T$3:$T$10000,0)),2),""))</f>
        <v/>
      </c>
      <c r="K191" s="79" t="str">
        <f>IF($A191="","",COUNTIFS(Evaluations!$H$3:$H$10000,$A191,Evaluations!$M$3:$M$10000,"عدم پاسخ"))</f>
        <v/>
      </c>
      <c r="L191" s="79" t="str">
        <f>IF($A191="","",COUNTIFS(Evaluations!$H$3:$H$10000,$A191,Evaluations!$O$3:$O$10000,"رعایت نشده"))</f>
        <v/>
      </c>
    </row>
    <row r="192">
      <c r="A192" s="79"/>
      <c r="B192" s="79" t="str">
        <f>IF($A192="","",COUNTIFS(Evaluations!$H$3:$H$10000,$A192,Evaluations!$U$3:$U$10000,"&gt;=0",Evaluations!$U$3:$U$10000,"&lt;=100"))</f>
        <v/>
      </c>
      <c r="C192" s="79" t="str">
        <f>IF($A192="","",COUNTIFS('Agent Report'!$B$4:$B$53,$A192,'Agent Report'!$C$4:$C$53,"&gt;0"))</f>
        <v/>
      </c>
      <c r="D192" s="79" t="str">
        <f>IF(OR($A192="",B192=0),"",ROUND(SUMIFS(Evaluations!$U$3:$U$10000,Evaluations!$H$3:$H$10000,$A192)/B192,2))</f>
        <v/>
      </c>
      <c r="E192" s="79" t="str">
        <f>IF($A192="","",COUNTIFS(Evaluations!$H$3:$H$10000,$A192,Evaluations!$M$3:$M$10000,"پاسخ داده شده"))</f>
        <v/>
      </c>
      <c r="F192" s="79" t="str">
        <f>IF($A192="","",IFERROR(COUNTIFS(Evaluations!$H$3:$H$10000,$A192,Evaluations!$O$3:$O$10000,"رعایت شده")/(COUNTIFS(Evaluations!$H$3:$H$10000,$A192,Evaluations!$O$3:$O$10000,"رعایت شده")+COUNTIFS(Evaluations!$H$3:$H$10000,$A192,Evaluations!$O$3:$O$10000,"رعایت نشده")),""))</f>
        <v/>
      </c>
      <c r="G192" s="79" t="str">
        <f>IF($A192="","",IFERROR(ROUND(100*COUNTIFS(Evaluations!$H$3:$H$10000,$A192,Evaluations!$Q$3:$Q$10000,1)/(COUNTIFS(Evaluations!$H$3:$H$10000,$A192,Evaluations!$Q$3:$Q$10000,1)+COUNTIFS(Evaluations!$H$3:$H$10000,$A192,Evaluations!$Q$3:$Q$10000,0)),2),""))</f>
        <v/>
      </c>
      <c r="H192" s="79" t="str">
        <f>IF($A192="","",IFERROR(ROUND(100*COUNTIFS(Evaluations!$H$3:$H$10000,$A192,Evaluations!$R$3:$R$10000,1)/(COUNTIFS(Evaluations!$H$3:$H$10000,$A192,Evaluations!$R$3:$R$10000,1)+COUNTIFS(Evaluations!$H$3:$H$10000,$A192,Evaluations!$R$3:$R$10000,0)),2),""))</f>
        <v/>
      </c>
      <c r="I192" s="79" t="str">
        <f>IF($A192="","",IFERROR(ROUND(100*COUNTIFS(Evaluations!$H$3:$H$10000,$A192,Evaluations!$S$3:$S$10000,1)/(COUNTIFS(Evaluations!$H$3:$H$10000,$A192,Evaluations!$S$3:$S$10000,1)+COUNTIFS(Evaluations!$H$3:$H$10000,$A192,Evaluations!$S$3:$S$10000,0)),2),""))</f>
        <v/>
      </c>
      <c r="J192" s="79" t="str">
        <f>IF($A192="","",IFERROR(ROUND(100*COUNTIFS(Evaluations!$H$3:$H$10000,$A192,Evaluations!$T$3:$T$10000,1)/(COUNTIFS(Evaluations!$H$3:$H$10000,$A192,Evaluations!$T$3:$T$10000,1)+COUNTIFS(Evaluations!$H$3:$H$10000,$A192,Evaluations!$T$3:$T$10000,0)),2),""))</f>
        <v/>
      </c>
      <c r="K192" s="79" t="str">
        <f>IF($A192="","",COUNTIFS(Evaluations!$H$3:$H$10000,$A192,Evaluations!$M$3:$M$10000,"عدم پاسخ"))</f>
        <v/>
      </c>
      <c r="L192" s="79" t="str">
        <f>IF($A192="","",COUNTIFS(Evaluations!$H$3:$H$10000,$A192,Evaluations!$O$3:$O$10000,"رعایت نشده"))</f>
        <v/>
      </c>
    </row>
    <row r="193">
      <c r="A193" s="79"/>
      <c r="B193" s="79" t="str">
        <f>IF($A193="","",COUNTIFS(Evaluations!$H$3:$H$10000,$A193,Evaluations!$U$3:$U$10000,"&gt;=0",Evaluations!$U$3:$U$10000,"&lt;=100"))</f>
        <v/>
      </c>
      <c r="C193" s="79" t="str">
        <f>IF($A193="","",COUNTIFS('Agent Report'!$B$4:$B$53,$A193,'Agent Report'!$C$4:$C$53,"&gt;0"))</f>
        <v/>
      </c>
      <c r="D193" s="79" t="str">
        <f>IF(OR($A193="",B193=0),"",ROUND(SUMIFS(Evaluations!$U$3:$U$10000,Evaluations!$H$3:$H$10000,$A193)/B193,2))</f>
        <v/>
      </c>
      <c r="E193" s="79" t="str">
        <f>IF($A193="","",COUNTIFS(Evaluations!$H$3:$H$10000,$A193,Evaluations!$M$3:$M$10000,"پاسخ داده شده"))</f>
        <v/>
      </c>
      <c r="F193" s="79" t="str">
        <f>IF($A193="","",IFERROR(COUNTIFS(Evaluations!$H$3:$H$10000,$A193,Evaluations!$O$3:$O$10000,"رعایت شده")/(COUNTIFS(Evaluations!$H$3:$H$10000,$A193,Evaluations!$O$3:$O$10000,"رعایت شده")+COUNTIFS(Evaluations!$H$3:$H$10000,$A193,Evaluations!$O$3:$O$10000,"رعایت نشده")),""))</f>
        <v/>
      </c>
      <c r="G193" s="79" t="str">
        <f>IF($A193="","",IFERROR(ROUND(100*COUNTIFS(Evaluations!$H$3:$H$10000,$A193,Evaluations!$Q$3:$Q$10000,1)/(COUNTIFS(Evaluations!$H$3:$H$10000,$A193,Evaluations!$Q$3:$Q$10000,1)+COUNTIFS(Evaluations!$H$3:$H$10000,$A193,Evaluations!$Q$3:$Q$10000,0)),2),""))</f>
        <v/>
      </c>
      <c r="H193" s="79" t="str">
        <f>IF($A193="","",IFERROR(ROUND(100*COUNTIFS(Evaluations!$H$3:$H$10000,$A193,Evaluations!$R$3:$R$10000,1)/(COUNTIFS(Evaluations!$H$3:$H$10000,$A193,Evaluations!$R$3:$R$10000,1)+COUNTIFS(Evaluations!$H$3:$H$10000,$A193,Evaluations!$R$3:$R$10000,0)),2),""))</f>
        <v/>
      </c>
      <c r="I193" s="79" t="str">
        <f>IF($A193="","",IFERROR(ROUND(100*COUNTIFS(Evaluations!$H$3:$H$10000,$A193,Evaluations!$S$3:$S$10000,1)/(COUNTIFS(Evaluations!$H$3:$H$10000,$A193,Evaluations!$S$3:$S$10000,1)+COUNTIFS(Evaluations!$H$3:$H$10000,$A193,Evaluations!$S$3:$S$10000,0)),2),""))</f>
        <v/>
      </c>
      <c r="J193" s="79" t="str">
        <f>IF($A193="","",IFERROR(ROUND(100*COUNTIFS(Evaluations!$H$3:$H$10000,$A193,Evaluations!$T$3:$T$10000,1)/(COUNTIFS(Evaluations!$H$3:$H$10000,$A193,Evaluations!$T$3:$T$10000,1)+COUNTIFS(Evaluations!$H$3:$H$10000,$A193,Evaluations!$T$3:$T$10000,0)),2),""))</f>
        <v/>
      </c>
      <c r="K193" s="79" t="str">
        <f>IF($A193="","",COUNTIFS(Evaluations!$H$3:$H$10000,$A193,Evaluations!$M$3:$M$10000,"عدم پاسخ"))</f>
        <v/>
      </c>
      <c r="L193" s="79" t="str">
        <f>IF($A193="","",COUNTIFS(Evaluations!$H$3:$H$10000,$A193,Evaluations!$O$3:$O$10000,"رعایت نشده"))</f>
        <v/>
      </c>
    </row>
    <row r="194">
      <c r="A194" s="79"/>
      <c r="B194" s="79" t="str">
        <f>IF($A194="","",COUNTIFS(Evaluations!$H$3:$H$10000,$A194,Evaluations!$U$3:$U$10000,"&gt;=0",Evaluations!$U$3:$U$10000,"&lt;=100"))</f>
        <v/>
      </c>
      <c r="C194" s="79" t="str">
        <f>IF($A194="","",COUNTIFS('Agent Report'!$B$4:$B$53,$A194,'Agent Report'!$C$4:$C$53,"&gt;0"))</f>
        <v/>
      </c>
      <c r="D194" s="79" t="str">
        <f>IF(OR($A194="",B194=0),"",ROUND(SUMIFS(Evaluations!$U$3:$U$10000,Evaluations!$H$3:$H$10000,$A194)/B194,2))</f>
        <v/>
      </c>
      <c r="E194" s="79" t="str">
        <f>IF($A194="","",COUNTIFS(Evaluations!$H$3:$H$10000,$A194,Evaluations!$M$3:$M$10000,"پاسخ داده شده"))</f>
        <v/>
      </c>
      <c r="F194" s="79" t="str">
        <f>IF($A194="","",IFERROR(COUNTIFS(Evaluations!$H$3:$H$10000,$A194,Evaluations!$O$3:$O$10000,"رعایت شده")/(COUNTIFS(Evaluations!$H$3:$H$10000,$A194,Evaluations!$O$3:$O$10000,"رعایت شده")+COUNTIFS(Evaluations!$H$3:$H$10000,$A194,Evaluations!$O$3:$O$10000,"رعایت نشده")),""))</f>
        <v/>
      </c>
      <c r="G194" s="79" t="str">
        <f>IF($A194="","",IFERROR(ROUND(100*COUNTIFS(Evaluations!$H$3:$H$10000,$A194,Evaluations!$Q$3:$Q$10000,1)/(COUNTIFS(Evaluations!$H$3:$H$10000,$A194,Evaluations!$Q$3:$Q$10000,1)+COUNTIFS(Evaluations!$H$3:$H$10000,$A194,Evaluations!$Q$3:$Q$10000,0)),2),""))</f>
        <v/>
      </c>
      <c r="H194" s="79" t="str">
        <f>IF($A194="","",IFERROR(ROUND(100*COUNTIFS(Evaluations!$H$3:$H$10000,$A194,Evaluations!$R$3:$R$10000,1)/(COUNTIFS(Evaluations!$H$3:$H$10000,$A194,Evaluations!$R$3:$R$10000,1)+COUNTIFS(Evaluations!$H$3:$H$10000,$A194,Evaluations!$R$3:$R$10000,0)),2),""))</f>
        <v/>
      </c>
      <c r="I194" s="79" t="str">
        <f>IF($A194="","",IFERROR(ROUND(100*COUNTIFS(Evaluations!$H$3:$H$10000,$A194,Evaluations!$S$3:$S$10000,1)/(COUNTIFS(Evaluations!$H$3:$H$10000,$A194,Evaluations!$S$3:$S$10000,1)+COUNTIFS(Evaluations!$H$3:$H$10000,$A194,Evaluations!$S$3:$S$10000,0)),2),""))</f>
        <v/>
      </c>
      <c r="J194" s="79" t="str">
        <f>IF($A194="","",IFERROR(ROUND(100*COUNTIFS(Evaluations!$H$3:$H$10000,$A194,Evaluations!$T$3:$T$10000,1)/(COUNTIFS(Evaluations!$H$3:$H$10000,$A194,Evaluations!$T$3:$T$10000,1)+COUNTIFS(Evaluations!$H$3:$H$10000,$A194,Evaluations!$T$3:$T$10000,0)),2),""))</f>
        <v/>
      </c>
      <c r="K194" s="79" t="str">
        <f>IF($A194="","",COUNTIFS(Evaluations!$H$3:$H$10000,$A194,Evaluations!$M$3:$M$10000,"عدم پاسخ"))</f>
        <v/>
      </c>
      <c r="L194" s="79" t="str">
        <f>IF($A194="","",COUNTIFS(Evaluations!$H$3:$H$10000,$A194,Evaluations!$O$3:$O$10000,"رعایت نشده"))</f>
        <v/>
      </c>
    </row>
    <row r="195">
      <c r="A195" s="79"/>
      <c r="B195" s="79" t="str">
        <f>IF($A195="","",COUNTIFS(Evaluations!$H$3:$H$10000,$A195,Evaluations!$U$3:$U$10000,"&gt;=0",Evaluations!$U$3:$U$10000,"&lt;=100"))</f>
        <v/>
      </c>
      <c r="C195" s="79" t="str">
        <f>IF($A195="","",COUNTIFS('Agent Report'!$B$4:$B$53,$A195,'Agent Report'!$C$4:$C$53,"&gt;0"))</f>
        <v/>
      </c>
      <c r="D195" s="79" t="str">
        <f>IF(OR($A195="",B195=0),"",ROUND(SUMIFS(Evaluations!$U$3:$U$10000,Evaluations!$H$3:$H$10000,$A195)/B195,2))</f>
        <v/>
      </c>
      <c r="E195" s="79" t="str">
        <f>IF($A195="","",COUNTIFS(Evaluations!$H$3:$H$10000,$A195,Evaluations!$M$3:$M$10000,"پاسخ داده شده"))</f>
        <v/>
      </c>
      <c r="F195" s="79" t="str">
        <f>IF($A195="","",IFERROR(COUNTIFS(Evaluations!$H$3:$H$10000,$A195,Evaluations!$O$3:$O$10000,"رعایت شده")/(COUNTIFS(Evaluations!$H$3:$H$10000,$A195,Evaluations!$O$3:$O$10000,"رعایت شده")+COUNTIFS(Evaluations!$H$3:$H$10000,$A195,Evaluations!$O$3:$O$10000,"رعایت نشده")),""))</f>
        <v/>
      </c>
      <c r="G195" s="79" t="str">
        <f>IF($A195="","",IFERROR(ROUND(100*COUNTIFS(Evaluations!$H$3:$H$10000,$A195,Evaluations!$Q$3:$Q$10000,1)/(COUNTIFS(Evaluations!$H$3:$H$10000,$A195,Evaluations!$Q$3:$Q$10000,1)+COUNTIFS(Evaluations!$H$3:$H$10000,$A195,Evaluations!$Q$3:$Q$10000,0)),2),""))</f>
        <v/>
      </c>
      <c r="H195" s="79" t="str">
        <f>IF($A195="","",IFERROR(ROUND(100*COUNTIFS(Evaluations!$H$3:$H$10000,$A195,Evaluations!$R$3:$R$10000,1)/(COUNTIFS(Evaluations!$H$3:$H$10000,$A195,Evaluations!$R$3:$R$10000,1)+COUNTIFS(Evaluations!$H$3:$H$10000,$A195,Evaluations!$R$3:$R$10000,0)),2),""))</f>
        <v/>
      </c>
      <c r="I195" s="79" t="str">
        <f>IF($A195="","",IFERROR(ROUND(100*COUNTIFS(Evaluations!$H$3:$H$10000,$A195,Evaluations!$S$3:$S$10000,1)/(COUNTIFS(Evaluations!$H$3:$H$10000,$A195,Evaluations!$S$3:$S$10000,1)+COUNTIFS(Evaluations!$H$3:$H$10000,$A195,Evaluations!$S$3:$S$10000,0)),2),""))</f>
        <v/>
      </c>
      <c r="J195" s="79" t="str">
        <f>IF($A195="","",IFERROR(ROUND(100*COUNTIFS(Evaluations!$H$3:$H$10000,$A195,Evaluations!$T$3:$T$10000,1)/(COUNTIFS(Evaluations!$H$3:$H$10000,$A195,Evaluations!$T$3:$T$10000,1)+COUNTIFS(Evaluations!$H$3:$H$10000,$A195,Evaluations!$T$3:$T$10000,0)),2),""))</f>
        <v/>
      </c>
      <c r="K195" s="79" t="str">
        <f>IF($A195="","",COUNTIFS(Evaluations!$H$3:$H$10000,$A195,Evaluations!$M$3:$M$10000,"عدم پاسخ"))</f>
        <v/>
      </c>
      <c r="L195" s="79" t="str">
        <f>IF($A195="","",COUNTIFS(Evaluations!$H$3:$H$10000,$A195,Evaluations!$O$3:$O$10000,"رعایت نشده"))</f>
        <v/>
      </c>
    </row>
    <row r="196">
      <c r="A196" s="79"/>
      <c r="B196" s="79" t="str">
        <f>IF($A196="","",COUNTIFS(Evaluations!$H$3:$H$10000,$A196,Evaluations!$U$3:$U$10000,"&gt;=0",Evaluations!$U$3:$U$10000,"&lt;=100"))</f>
        <v/>
      </c>
      <c r="C196" s="79" t="str">
        <f>IF($A196="","",COUNTIFS('Agent Report'!$B$4:$B$53,$A196,'Agent Report'!$C$4:$C$53,"&gt;0"))</f>
        <v/>
      </c>
      <c r="D196" s="79" t="str">
        <f>IF(OR($A196="",B196=0),"",ROUND(SUMIFS(Evaluations!$U$3:$U$10000,Evaluations!$H$3:$H$10000,$A196)/B196,2))</f>
        <v/>
      </c>
      <c r="E196" s="79" t="str">
        <f>IF($A196="","",COUNTIFS(Evaluations!$H$3:$H$10000,$A196,Evaluations!$M$3:$M$10000,"پاسخ داده شده"))</f>
        <v/>
      </c>
      <c r="F196" s="79" t="str">
        <f>IF($A196="","",IFERROR(COUNTIFS(Evaluations!$H$3:$H$10000,$A196,Evaluations!$O$3:$O$10000,"رعایت شده")/(COUNTIFS(Evaluations!$H$3:$H$10000,$A196,Evaluations!$O$3:$O$10000,"رعایت شده")+COUNTIFS(Evaluations!$H$3:$H$10000,$A196,Evaluations!$O$3:$O$10000,"رعایت نشده")),""))</f>
        <v/>
      </c>
      <c r="G196" s="79" t="str">
        <f>IF($A196="","",IFERROR(ROUND(100*COUNTIFS(Evaluations!$H$3:$H$10000,$A196,Evaluations!$Q$3:$Q$10000,1)/(COUNTIFS(Evaluations!$H$3:$H$10000,$A196,Evaluations!$Q$3:$Q$10000,1)+COUNTIFS(Evaluations!$H$3:$H$10000,$A196,Evaluations!$Q$3:$Q$10000,0)),2),""))</f>
        <v/>
      </c>
      <c r="H196" s="79" t="str">
        <f>IF($A196="","",IFERROR(ROUND(100*COUNTIFS(Evaluations!$H$3:$H$10000,$A196,Evaluations!$R$3:$R$10000,1)/(COUNTIFS(Evaluations!$H$3:$H$10000,$A196,Evaluations!$R$3:$R$10000,1)+COUNTIFS(Evaluations!$H$3:$H$10000,$A196,Evaluations!$R$3:$R$10000,0)),2),""))</f>
        <v/>
      </c>
      <c r="I196" s="79" t="str">
        <f>IF($A196="","",IFERROR(ROUND(100*COUNTIFS(Evaluations!$H$3:$H$10000,$A196,Evaluations!$S$3:$S$10000,1)/(COUNTIFS(Evaluations!$H$3:$H$10000,$A196,Evaluations!$S$3:$S$10000,1)+COUNTIFS(Evaluations!$H$3:$H$10000,$A196,Evaluations!$S$3:$S$10000,0)),2),""))</f>
        <v/>
      </c>
      <c r="J196" s="79" t="str">
        <f>IF($A196="","",IFERROR(ROUND(100*COUNTIFS(Evaluations!$H$3:$H$10000,$A196,Evaluations!$T$3:$T$10000,1)/(COUNTIFS(Evaluations!$H$3:$H$10000,$A196,Evaluations!$T$3:$T$10000,1)+COUNTIFS(Evaluations!$H$3:$H$10000,$A196,Evaluations!$T$3:$T$10000,0)),2),""))</f>
        <v/>
      </c>
      <c r="K196" s="79" t="str">
        <f>IF($A196="","",COUNTIFS(Evaluations!$H$3:$H$10000,$A196,Evaluations!$M$3:$M$10000,"عدم پاسخ"))</f>
        <v/>
      </c>
      <c r="L196" s="79" t="str">
        <f>IF($A196="","",COUNTIFS(Evaluations!$H$3:$H$10000,$A196,Evaluations!$O$3:$O$10000,"رعایت نشده"))</f>
        <v/>
      </c>
    </row>
    <row r="197">
      <c r="A197" s="79"/>
      <c r="B197" s="79" t="str">
        <f>IF($A197="","",COUNTIFS(Evaluations!$H$3:$H$10000,$A197,Evaluations!$U$3:$U$10000,"&gt;=0",Evaluations!$U$3:$U$10000,"&lt;=100"))</f>
        <v/>
      </c>
      <c r="C197" s="79" t="str">
        <f>IF($A197="","",COUNTIFS('Agent Report'!$B$4:$B$53,$A197,'Agent Report'!$C$4:$C$53,"&gt;0"))</f>
        <v/>
      </c>
      <c r="D197" s="79" t="str">
        <f>IF(OR($A197="",B197=0),"",ROUND(SUMIFS(Evaluations!$U$3:$U$10000,Evaluations!$H$3:$H$10000,$A197)/B197,2))</f>
        <v/>
      </c>
      <c r="E197" s="79" t="str">
        <f>IF($A197="","",COUNTIFS(Evaluations!$H$3:$H$10000,$A197,Evaluations!$M$3:$M$10000,"پاسخ داده شده"))</f>
        <v/>
      </c>
      <c r="F197" s="79" t="str">
        <f>IF($A197="","",IFERROR(COUNTIFS(Evaluations!$H$3:$H$10000,$A197,Evaluations!$O$3:$O$10000,"رعایت شده")/(COUNTIFS(Evaluations!$H$3:$H$10000,$A197,Evaluations!$O$3:$O$10000,"رعایت شده")+COUNTIFS(Evaluations!$H$3:$H$10000,$A197,Evaluations!$O$3:$O$10000,"رعایت نشده")),""))</f>
        <v/>
      </c>
      <c r="G197" s="79" t="str">
        <f>IF($A197="","",IFERROR(ROUND(100*COUNTIFS(Evaluations!$H$3:$H$10000,$A197,Evaluations!$Q$3:$Q$10000,1)/(COUNTIFS(Evaluations!$H$3:$H$10000,$A197,Evaluations!$Q$3:$Q$10000,1)+COUNTIFS(Evaluations!$H$3:$H$10000,$A197,Evaluations!$Q$3:$Q$10000,0)),2),""))</f>
        <v/>
      </c>
      <c r="H197" s="79" t="str">
        <f>IF($A197="","",IFERROR(ROUND(100*COUNTIFS(Evaluations!$H$3:$H$10000,$A197,Evaluations!$R$3:$R$10000,1)/(COUNTIFS(Evaluations!$H$3:$H$10000,$A197,Evaluations!$R$3:$R$10000,1)+COUNTIFS(Evaluations!$H$3:$H$10000,$A197,Evaluations!$R$3:$R$10000,0)),2),""))</f>
        <v/>
      </c>
      <c r="I197" s="79" t="str">
        <f>IF($A197="","",IFERROR(ROUND(100*COUNTIFS(Evaluations!$H$3:$H$10000,$A197,Evaluations!$S$3:$S$10000,1)/(COUNTIFS(Evaluations!$H$3:$H$10000,$A197,Evaluations!$S$3:$S$10000,1)+COUNTIFS(Evaluations!$H$3:$H$10000,$A197,Evaluations!$S$3:$S$10000,0)),2),""))</f>
        <v/>
      </c>
      <c r="J197" s="79" t="str">
        <f>IF($A197="","",IFERROR(ROUND(100*COUNTIFS(Evaluations!$H$3:$H$10000,$A197,Evaluations!$T$3:$T$10000,1)/(COUNTIFS(Evaluations!$H$3:$H$10000,$A197,Evaluations!$T$3:$T$10000,1)+COUNTIFS(Evaluations!$H$3:$H$10000,$A197,Evaluations!$T$3:$T$10000,0)),2),""))</f>
        <v/>
      </c>
      <c r="K197" s="79" t="str">
        <f>IF($A197="","",COUNTIFS(Evaluations!$H$3:$H$10000,$A197,Evaluations!$M$3:$M$10000,"عدم پاسخ"))</f>
        <v/>
      </c>
      <c r="L197" s="79" t="str">
        <f>IF($A197="","",COUNTIFS(Evaluations!$H$3:$H$10000,$A197,Evaluations!$O$3:$O$10000,"رعایت نشده"))</f>
        <v/>
      </c>
    </row>
    <row r="198">
      <c r="A198" s="79"/>
      <c r="B198" s="79" t="str">
        <f>IF($A198="","",COUNTIFS(Evaluations!$H$3:$H$10000,$A198,Evaluations!$U$3:$U$10000,"&gt;=0",Evaluations!$U$3:$U$10000,"&lt;=100"))</f>
        <v/>
      </c>
      <c r="C198" s="79" t="str">
        <f>IF($A198="","",COUNTIFS('Agent Report'!$B$4:$B$53,$A198,'Agent Report'!$C$4:$C$53,"&gt;0"))</f>
        <v/>
      </c>
      <c r="D198" s="79" t="str">
        <f>IF(OR($A198="",B198=0),"",ROUND(SUMIFS(Evaluations!$U$3:$U$10000,Evaluations!$H$3:$H$10000,$A198)/B198,2))</f>
        <v/>
      </c>
      <c r="E198" s="79" t="str">
        <f>IF($A198="","",COUNTIFS(Evaluations!$H$3:$H$10000,$A198,Evaluations!$M$3:$M$10000,"پاسخ داده شده"))</f>
        <v/>
      </c>
      <c r="F198" s="79" t="str">
        <f>IF($A198="","",IFERROR(COUNTIFS(Evaluations!$H$3:$H$10000,$A198,Evaluations!$O$3:$O$10000,"رعایت شده")/(COUNTIFS(Evaluations!$H$3:$H$10000,$A198,Evaluations!$O$3:$O$10000,"رعایت شده")+COUNTIFS(Evaluations!$H$3:$H$10000,$A198,Evaluations!$O$3:$O$10000,"رعایت نشده")),""))</f>
        <v/>
      </c>
      <c r="G198" s="79" t="str">
        <f>IF($A198="","",IFERROR(ROUND(100*COUNTIFS(Evaluations!$H$3:$H$10000,$A198,Evaluations!$Q$3:$Q$10000,1)/(COUNTIFS(Evaluations!$H$3:$H$10000,$A198,Evaluations!$Q$3:$Q$10000,1)+COUNTIFS(Evaluations!$H$3:$H$10000,$A198,Evaluations!$Q$3:$Q$10000,0)),2),""))</f>
        <v/>
      </c>
      <c r="H198" s="79" t="str">
        <f>IF($A198="","",IFERROR(ROUND(100*COUNTIFS(Evaluations!$H$3:$H$10000,$A198,Evaluations!$R$3:$R$10000,1)/(COUNTIFS(Evaluations!$H$3:$H$10000,$A198,Evaluations!$R$3:$R$10000,1)+COUNTIFS(Evaluations!$H$3:$H$10000,$A198,Evaluations!$R$3:$R$10000,0)),2),""))</f>
        <v/>
      </c>
      <c r="I198" s="79" t="str">
        <f>IF($A198="","",IFERROR(ROUND(100*COUNTIFS(Evaluations!$H$3:$H$10000,$A198,Evaluations!$S$3:$S$10000,1)/(COUNTIFS(Evaluations!$H$3:$H$10000,$A198,Evaluations!$S$3:$S$10000,1)+COUNTIFS(Evaluations!$H$3:$H$10000,$A198,Evaluations!$S$3:$S$10000,0)),2),""))</f>
        <v/>
      </c>
      <c r="J198" s="79" t="str">
        <f>IF($A198="","",IFERROR(ROUND(100*COUNTIFS(Evaluations!$H$3:$H$10000,$A198,Evaluations!$T$3:$T$10000,1)/(COUNTIFS(Evaluations!$H$3:$H$10000,$A198,Evaluations!$T$3:$T$10000,1)+COUNTIFS(Evaluations!$H$3:$H$10000,$A198,Evaluations!$T$3:$T$10000,0)),2),""))</f>
        <v/>
      </c>
      <c r="K198" s="79" t="str">
        <f>IF($A198="","",COUNTIFS(Evaluations!$H$3:$H$10000,$A198,Evaluations!$M$3:$M$10000,"عدم پاسخ"))</f>
        <v/>
      </c>
      <c r="L198" s="79" t="str">
        <f>IF($A198="","",COUNTIFS(Evaluations!$H$3:$H$10000,$A198,Evaluations!$O$3:$O$10000,"رعایت نشده"))</f>
        <v/>
      </c>
    </row>
    <row r="199">
      <c r="A199" s="79"/>
      <c r="B199" s="79" t="str">
        <f>IF($A199="","",COUNTIFS(Evaluations!$H$3:$H$10000,$A199,Evaluations!$U$3:$U$10000,"&gt;=0",Evaluations!$U$3:$U$10000,"&lt;=100"))</f>
        <v/>
      </c>
      <c r="C199" s="79" t="str">
        <f>IF($A199="","",COUNTIFS('Agent Report'!$B$4:$B$53,$A199,'Agent Report'!$C$4:$C$53,"&gt;0"))</f>
        <v/>
      </c>
      <c r="D199" s="79" t="str">
        <f>IF(OR($A199="",B199=0),"",ROUND(SUMIFS(Evaluations!$U$3:$U$10000,Evaluations!$H$3:$H$10000,$A199)/B199,2))</f>
        <v/>
      </c>
      <c r="E199" s="79" t="str">
        <f>IF($A199="","",COUNTIFS(Evaluations!$H$3:$H$10000,$A199,Evaluations!$M$3:$M$10000,"پاسخ داده شده"))</f>
        <v/>
      </c>
      <c r="F199" s="79" t="str">
        <f>IF($A199="","",IFERROR(COUNTIFS(Evaluations!$H$3:$H$10000,$A199,Evaluations!$O$3:$O$10000,"رعایت شده")/(COUNTIFS(Evaluations!$H$3:$H$10000,$A199,Evaluations!$O$3:$O$10000,"رعایت شده")+COUNTIFS(Evaluations!$H$3:$H$10000,$A199,Evaluations!$O$3:$O$10000,"رعایت نشده")),""))</f>
        <v/>
      </c>
      <c r="G199" s="79" t="str">
        <f>IF($A199="","",IFERROR(ROUND(100*COUNTIFS(Evaluations!$H$3:$H$10000,$A199,Evaluations!$Q$3:$Q$10000,1)/(COUNTIFS(Evaluations!$H$3:$H$10000,$A199,Evaluations!$Q$3:$Q$10000,1)+COUNTIFS(Evaluations!$H$3:$H$10000,$A199,Evaluations!$Q$3:$Q$10000,0)),2),""))</f>
        <v/>
      </c>
      <c r="H199" s="79" t="str">
        <f>IF($A199="","",IFERROR(ROUND(100*COUNTIFS(Evaluations!$H$3:$H$10000,$A199,Evaluations!$R$3:$R$10000,1)/(COUNTIFS(Evaluations!$H$3:$H$10000,$A199,Evaluations!$R$3:$R$10000,1)+COUNTIFS(Evaluations!$H$3:$H$10000,$A199,Evaluations!$R$3:$R$10000,0)),2),""))</f>
        <v/>
      </c>
      <c r="I199" s="79" t="str">
        <f>IF($A199="","",IFERROR(ROUND(100*COUNTIFS(Evaluations!$H$3:$H$10000,$A199,Evaluations!$S$3:$S$10000,1)/(COUNTIFS(Evaluations!$H$3:$H$10000,$A199,Evaluations!$S$3:$S$10000,1)+COUNTIFS(Evaluations!$H$3:$H$10000,$A199,Evaluations!$S$3:$S$10000,0)),2),""))</f>
        <v/>
      </c>
      <c r="J199" s="79" t="str">
        <f>IF($A199="","",IFERROR(ROUND(100*COUNTIFS(Evaluations!$H$3:$H$10000,$A199,Evaluations!$T$3:$T$10000,1)/(COUNTIFS(Evaluations!$H$3:$H$10000,$A199,Evaluations!$T$3:$T$10000,1)+COUNTIFS(Evaluations!$H$3:$H$10000,$A199,Evaluations!$T$3:$T$10000,0)),2),""))</f>
        <v/>
      </c>
      <c r="K199" s="79" t="str">
        <f>IF($A199="","",COUNTIFS(Evaluations!$H$3:$H$10000,$A199,Evaluations!$M$3:$M$10000,"عدم پاسخ"))</f>
        <v/>
      </c>
      <c r="L199" s="79" t="str">
        <f>IF($A199="","",COUNTIFS(Evaluations!$H$3:$H$10000,$A199,Evaluations!$O$3:$O$10000,"رعایت نشده"))</f>
        <v/>
      </c>
    </row>
    <row r="200">
      <c r="A200" s="79"/>
      <c r="B200" s="79" t="str">
        <f>IF($A200="","",COUNTIFS(Evaluations!$H$3:$H$10000,$A200,Evaluations!$U$3:$U$10000,"&gt;=0",Evaluations!$U$3:$U$10000,"&lt;=100"))</f>
        <v/>
      </c>
      <c r="C200" s="79" t="str">
        <f>IF($A200="","",COUNTIFS('Agent Report'!$B$4:$B$53,$A200,'Agent Report'!$C$4:$C$53,"&gt;0"))</f>
        <v/>
      </c>
      <c r="D200" s="79" t="str">
        <f>IF(OR($A200="",B200=0),"",ROUND(SUMIFS(Evaluations!$U$3:$U$10000,Evaluations!$H$3:$H$10000,$A200)/B200,2))</f>
        <v/>
      </c>
      <c r="E200" s="79" t="str">
        <f>IF($A200="","",COUNTIFS(Evaluations!$H$3:$H$10000,$A200,Evaluations!$M$3:$M$10000,"پاسخ داده شده"))</f>
        <v/>
      </c>
      <c r="F200" s="79" t="str">
        <f>IF($A200="","",IFERROR(COUNTIFS(Evaluations!$H$3:$H$10000,$A200,Evaluations!$O$3:$O$10000,"رعایت شده")/(COUNTIFS(Evaluations!$H$3:$H$10000,$A200,Evaluations!$O$3:$O$10000,"رعایت شده")+COUNTIFS(Evaluations!$H$3:$H$10000,$A200,Evaluations!$O$3:$O$10000,"رعایت نشده")),""))</f>
        <v/>
      </c>
      <c r="G200" s="79" t="str">
        <f>IF($A200="","",IFERROR(ROUND(100*COUNTIFS(Evaluations!$H$3:$H$10000,$A200,Evaluations!$Q$3:$Q$10000,1)/(COUNTIFS(Evaluations!$H$3:$H$10000,$A200,Evaluations!$Q$3:$Q$10000,1)+COUNTIFS(Evaluations!$H$3:$H$10000,$A200,Evaluations!$Q$3:$Q$10000,0)),2),""))</f>
        <v/>
      </c>
      <c r="H200" s="79" t="str">
        <f>IF($A200="","",IFERROR(ROUND(100*COUNTIFS(Evaluations!$H$3:$H$10000,$A200,Evaluations!$R$3:$R$10000,1)/(COUNTIFS(Evaluations!$H$3:$H$10000,$A200,Evaluations!$R$3:$R$10000,1)+COUNTIFS(Evaluations!$H$3:$H$10000,$A200,Evaluations!$R$3:$R$10000,0)),2),""))</f>
        <v/>
      </c>
      <c r="I200" s="79" t="str">
        <f>IF($A200="","",IFERROR(ROUND(100*COUNTIFS(Evaluations!$H$3:$H$10000,$A200,Evaluations!$S$3:$S$10000,1)/(COUNTIFS(Evaluations!$H$3:$H$10000,$A200,Evaluations!$S$3:$S$10000,1)+COUNTIFS(Evaluations!$H$3:$H$10000,$A200,Evaluations!$S$3:$S$10000,0)),2),""))</f>
        <v/>
      </c>
      <c r="J200" s="79" t="str">
        <f>IF($A200="","",IFERROR(ROUND(100*COUNTIFS(Evaluations!$H$3:$H$10000,$A200,Evaluations!$T$3:$T$10000,1)/(COUNTIFS(Evaluations!$H$3:$H$10000,$A200,Evaluations!$T$3:$T$10000,1)+COUNTIFS(Evaluations!$H$3:$H$10000,$A200,Evaluations!$T$3:$T$10000,0)),2),""))</f>
        <v/>
      </c>
      <c r="K200" s="79" t="str">
        <f>IF($A200="","",COUNTIFS(Evaluations!$H$3:$H$10000,$A200,Evaluations!$M$3:$M$10000,"عدم پاسخ"))</f>
        <v/>
      </c>
      <c r="L200" s="79" t="str">
        <f>IF($A200="","",COUNTIFS(Evaluations!$H$3:$H$10000,$A200,Evaluations!$O$3:$O$10000,"رعایت نشده"))</f>
        <v/>
      </c>
    </row>
    <row r="201">
      <c r="A201" s="79"/>
      <c r="B201" s="79" t="str">
        <f>IF($A201="","",COUNTIFS(Evaluations!$H$3:$H$10000,$A201,Evaluations!$U$3:$U$10000,"&gt;=0",Evaluations!$U$3:$U$10000,"&lt;=100"))</f>
        <v/>
      </c>
      <c r="C201" s="79" t="str">
        <f>IF($A201="","",COUNTIFS('Agent Report'!$B$4:$B$53,$A201,'Agent Report'!$C$4:$C$53,"&gt;0"))</f>
        <v/>
      </c>
      <c r="D201" s="79" t="str">
        <f>IF(OR($A201="",B201=0),"",ROUND(SUMIFS(Evaluations!$U$3:$U$10000,Evaluations!$H$3:$H$10000,$A201)/B201,2))</f>
        <v/>
      </c>
      <c r="E201" s="79" t="str">
        <f>IF($A201="","",COUNTIFS(Evaluations!$H$3:$H$10000,$A201,Evaluations!$M$3:$M$10000,"پاسخ داده شده"))</f>
        <v/>
      </c>
      <c r="F201" s="79" t="str">
        <f>IF($A201="","",IFERROR(COUNTIFS(Evaluations!$H$3:$H$10000,$A201,Evaluations!$O$3:$O$10000,"رعایت شده")/(COUNTIFS(Evaluations!$H$3:$H$10000,$A201,Evaluations!$O$3:$O$10000,"رعایت شده")+COUNTIFS(Evaluations!$H$3:$H$10000,$A201,Evaluations!$O$3:$O$10000,"رعایت نشده")),""))</f>
        <v/>
      </c>
      <c r="G201" s="79" t="str">
        <f>IF($A201="","",IFERROR(ROUND(100*COUNTIFS(Evaluations!$H$3:$H$10000,$A201,Evaluations!$Q$3:$Q$10000,1)/(COUNTIFS(Evaluations!$H$3:$H$10000,$A201,Evaluations!$Q$3:$Q$10000,1)+COUNTIFS(Evaluations!$H$3:$H$10000,$A201,Evaluations!$Q$3:$Q$10000,0)),2),""))</f>
        <v/>
      </c>
      <c r="H201" s="79" t="str">
        <f>IF($A201="","",IFERROR(ROUND(100*COUNTIFS(Evaluations!$H$3:$H$10000,$A201,Evaluations!$R$3:$R$10000,1)/(COUNTIFS(Evaluations!$H$3:$H$10000,$A201,Evaluations!$R$3:$R$10000,1)+COUNTIFS(Evaluations!$H$3:$H$10000,$A201,Evaluations!$R$3:$R$10000,0)),2),""))</f>
        <v/>
      </c>
      <c r="I201" s="79" t="str">
        <f>IF($A201="","",IFERROR(ROUND(100*COUNTIFS(Evaluations!$H$3:$H$10000,$A201,Evaluations!$S$3:$S$10000,1)/(COUNTIFS(Evaluations!$H$3:$H$10000,$A201,Evaluations!$S$3:$S$10000,1)+COUNTIFS(Evaluations!$H$3:$H$10000,$A201,Evaluations!$S$3:$S$10000,0)),2),""))</f>
        <v/>
      </c>
      <c r="J201" s="79" t="str">
        <f>IF($A201="","",IFERROR(ROUND(100*COUNTIFS(Evaluations!$H$3:$H$10000,$A201,Evaluations!$T$3:$T$10000,1)/(COUNTIFS(Evaluations!$H$3:$H$10000,$A201,Evaluations!$T$3:$T$10000,1)+COUNTIFS(Evaluations!$H$3:$H$10000,$A201,Evaluations!$T$3:$T$10000,0)),2),""))</f>
        <v/>
      </c>
      <c r="K201" s="79" t="str">
        <f>IF($A201="","",COUNTIFS(Evaluations!$H$3:$H$10000,$A201,Evaluations!$M$3:$M$10000,"عدم پاسخ"))</f>
        <v/>
      </c>
      <c r="L201" s="79" t="str">
        <f>IF($A201="","",COUNTIFS(Evaluations!$H$3:$H$10000,$A201,Evaluations!$O$3:$O$10000,"رعایت نشده"))</f>
        <v/>
      </c>
    </row>
    <row r="202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</row>
    <row r="20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</row>
    <row r="20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</row>
    <row r="20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</row>
    <row r="206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</row>
    <row r="207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</row>
    <row r="208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</row>
    <row r="209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</row>
    <row r="210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</row>
    <row r="21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</row>
    <row r="212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</row>
    <row r="21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</row>
    <row r="21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</row>
    <row r="21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</row>
    <row r="216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</row>
    <row r="217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</row>
    <row r="218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</row>
    <row r="219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</row>
    <row r="220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</row>
    <row r="22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</row>
    <row r="222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</row>
    <row r="223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</row>
    <row r="22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</row>
    <row r="2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</row>
    <row r="226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</row>
    <row r="227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</row>
    <row r="228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</row>
    <row r="229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</row>
    <row r="230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</row>
    <row r="23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</row>
    <row r="232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</row>
    <row r="233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</row>
    <row r="2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</row>
    <row r="23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</row>
    <row r="236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</row>
    <row r="237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</row>
    <row r="238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</row>
    <row r="239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</row>
    <row r="240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</row>
    <row r="24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</row>
    <row r="242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</row>
    <row r="24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</row>
    <row r="24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</row>
    <row r="24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</row>
    <row r="246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</row>
    <row r="247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</row>
    <row r="248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</row>
    <row r="249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</row>
    <row r="250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</row>
    <row r="25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</row>
    <row r="252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</row>
    <row r="253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</row>
    <row r="25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</row>
    <row r="25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</row>
    <row r="256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</row>
    <row r="257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</row>
    <row r="258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</row>
    <row r="259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</row>
    <row r="260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</row>
    <row r="26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</row>
    <row r="262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</row>
    <row r="263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</row>
    <row r="26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</row>
    <row r="26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</row>
    <row r="266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</row>
    <row r="267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</row>
    <row r="268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</row>
    <row r="269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</row>
    <row r="270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</row>
    <row r="27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</row>
    <row r="272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</row>
    <row r="273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</row>
    <row r="27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</row>
    <row r="27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</row>
    <row r="276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</row>
    <row r="277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</row>
    <row r="278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</row>
    <row r="279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</row>
    <row r="280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</row>
    <row r="28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</row>
    <row r="282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</row>
    <row r="283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</row>
    <row r="28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</row>
    <row r="28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</row>
    <row r="286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</row>
    <row r="287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</row>
    <row r="288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</row>
    <row r="289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</row>
    <row r="290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</row>
    <row r="29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</row>
    <row r="292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</row>
    <row r="293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</row>
    <row r="29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</row>
    <row r="29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</row>
    <row r="296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</row>
    <row r="297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</row>
    <row r="298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</row>
    <row r="299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</row>
    <row r="300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</row>
    <row r="30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</row>
    <row r="302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</row>
    <row r="303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</row>
    <row r="30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</row>
    <row r="30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</row>
    <row r="306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</row>
    <row r="307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</row>
    <row r="308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</row>
    <row r="309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</row>
    <row r="310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</row>
    <row r="31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</row>
    <row r="312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</row>
    <row r="313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</row>
    <row r="31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</row>
    <row r="31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</row>
    <row r="316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</row>
    <row r="317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</row>
    <row r="318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</row>
    <row r="319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</row>
    <row r="320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</row>
    <row r="32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</row>
    <row r="322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</row>
    <row r="323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</row>
    <row r="32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</row>
    <row r="3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</row>
    <row r="326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</row>
    <row r="327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</row>
    <row r="328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</row>
    <row r="329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</row>
    <row r="330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</row>
    <row r="33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</row>
    <row r="332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</row>
    <row r="333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</row>
    <row r="3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</row>
    <row r="33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</row>
    <row r="336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</row>
    <row r="337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</row>
    <row r="338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</row>
    <row r="339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</row>
    <row r="340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</row>
    <row r="34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</row>
    <row r="342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</row>
    <row r="343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</row>
    <row r="34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</row>
    <row r="34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</row>
    <row r="346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</row>
    <row r="347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</row>
    <row r="348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</row>
    <row r="349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</row>
    <row r="350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</row>
    <row r="35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</row>
    <row r="352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</row>
    <row r="353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</row>
    <row r="35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</row>
    <row r="35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</row>
    <row r="356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</row>
    <row r="357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</row>
    <row r="358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</row>
    <row r="359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</row>
    <row r="360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</row>
    <row r="36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</row>
    <row r="362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</row>
    <row r="363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</row>
    <row r="36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</row>
    <row r="36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</row>
    <row r="366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</row>
    <row r="367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</row>
    <row r="368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</row>
    <row r="369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</row>
    <row r="370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</row>
    <row r="37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</row>
    <row r="372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</row>
    <row r="373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</row>
    <row r="37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</row>
    <row r="37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</row>
    <row r="376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</row>
    <row r="377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</row>
    <row r="378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</row>
    <row r="379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</row>
    <row r="380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</row>
    <row r="38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</row>
    <row r="382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</row>
    <row r="383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</row>
    <row r="38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</row>
    <row r="38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</row>
    <row r="386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</row>
    <row r="387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</row>
    <row r="388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</row>
    <row r="389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</row>
    <row r="390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</row>
    <row r="39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</row>
    <row r="392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</row>
    <row r="393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</row>
    <row r="39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</row>
    <row r="39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</row>
    <row r="396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</row>
    <row r="397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</row>
    <row r="398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</row>
    <row r="399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</row>
    <row r="400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</row>
    <row r="40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</row>
    <row r="402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</row>
    <row r="403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</row>
    <row r="40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</row>
    <row r="40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</row>
    <row r="406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</row>
    <row r="407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</row>
    <row r="408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</row>
    <row r="409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</row>
    <row r="410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</row>
    <row r="41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</row>
    <row r="412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</row>
    <row r="413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</row>
    <row r="41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</row>
    <row r="41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</row>
    <row r="416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</row>
    <row r="417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</row>
    <row r="418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</row>
    <row r="419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</row>
    <row r="420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</row>
    <row r="42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</row>
    <row r="422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</row>
    <row r="423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</row>
    <row r="42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</row>
    <row r="4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</row>
    <row r="426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</row>
    <row r="427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</row>
    <row r="428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</row>
    <row r="429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</row>
    <row r="430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</row>
    <row r="43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</row>
    <row r="432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</row>
    <row r="433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</row>
    <row r="4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</row>
    <row r="43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</row>
    <row r="436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</row>
    <row r="437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</row>
    <row r="438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</row>
    <row r="439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</row>
    <row r="440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</row>
    <row r="44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</row>
    <row r="442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</row>
    <row r="443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</row>
    <row r="44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</row>
    <row r="44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</row>
    <row r="446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</row>
    <row r="447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</row>
    <row r="448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</row>
    <row r="449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</row>
    <row r="450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</row>
    <row r="45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</row>
    <row r="452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</row>
    <row r="453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</row>
    <row r="45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</row>
    <row r="45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</row>
    <row r="456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</row>
    <row r="457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</row>
    <row r="458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</row>
    <row r="459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</row>
    <row r="460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</row>
    <row r="46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</row>
    <row r="462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</row>
    <row r="463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</row>
    <row r="46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</row>
    <row r="46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</row>
    <row r="466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</row>
    <row r="467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</row>
    <row r="468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</row>
    <row r="469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</row>
    <row r="470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</row>
    <row r="47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</row>
    <row r="472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</row>
    <row r="473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</row>
    <row r="47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</row>
    <row r="47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</row>
    <row r="476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</row>
    <row r="477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</row>
    <row r="478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</row>
    <row r="479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</row>
    <row r="480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</row>
    <row r="48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</row>
    <row r="482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</row>
    <row r="483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</row>
    <row r="48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</row>
    <row r="48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</row>
    <row r="486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</row>
    <row r="487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</row>
    <row r="488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</row>
    <row r="489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</row>
    <row r="490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</row>
    <row r="49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</row>
    <row r="492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</row>
    <row r="493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</row>
    <row r="49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</row>
    <row r="49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</row>
    <row r="496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</row>
    <row r="497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</row>
    <row r="498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</row>
    <row r="499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</row>
    <row r="500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</row>
    <row r="50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</row>
    <row r="502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</row>
    <row r="50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</row>
    <row r="50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</row>
    <row r="50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</row>
    <row r="506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</row>
    <row r="507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</row>
    <row r="508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</row>
    <row r="509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</row>
    <row r="510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</row>
    <row r="51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</row>
    <row r="512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</row>
    <row r="5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</row>
    <row r="51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</row>
    <row r="5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</row>
    <row r="516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</row>
    <row r="517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</row>
    <row r="518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</row>
    <row r="519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</row>
    <row r="520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</row>
    <row r="52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</row>
    <row r="522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</row>
    <row r="52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</row>
    <row r="52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</row>
    <row r="5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</row>
    <row r="526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</row>
    <row r="527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</row>
    <row r="528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</row>
    <row r="529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</row>
    <row r="530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</row>
    <row r="53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</row>
    <row r="532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</row>
    <row r="53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</row>
    <row r="5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</row>
    <row r="53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</row>
    <row r="536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</row>
    <row r="537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</row>
    <row r="538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</row>
    <row r="539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</row>
    <row r="540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</row>
    <row r="54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</row>
    <row r="542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</row>
    <row r="54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</row>
    <row r="54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</row>
    <row r="54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</row>
    <row r="546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</row>
    <row r="547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</row>
    <row r="548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</row>
    <row r="549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</row>
    <row r="550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</row>
    <row r="55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</row>
    <row r="552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</row>
    <row r="55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</row>
    <row r="55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</row>
    <row r="55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</row>
    <row r="556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</row>
    <row r="557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</row>
    <row r="558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</row>
    <row r="559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</row>
    <row r="560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</row>
    <row r="56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</row>
    <row r="562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</row>
    <row r="56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</row>
    <row r="56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</row>
    <row r="56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</row>
    <row r="566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</row>
    <row r="567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</row>
    <row r="568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</row>
    <row r="569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</row>
    <row r="570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</row>
    <row r="57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</row>
    <row r="572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</row>
    <row r="57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</row>
    <row r="57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</row>
    <row r="57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</row>
    <row r="576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</row>
    <row r="577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</row>
    <row r="578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</row>
    <row r="579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</row>
    <row r="580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</row>
    <row r="58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</row>
    <row r="582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</row>
    <row r="58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</row>
    <row r="58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</row>
    <row r="58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</row>
    <row r="586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</row>
    <row r="587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</row>
    <row r="588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</row>
    <row r="589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</row>
    <row r="590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</row>
    <row r="59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</row>
    <row r="592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</row>
    <row r="59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</row>
    <row r="59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</row>
    <row r="59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</row>
    <row r="596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</row>
    <row r="597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</row>
    <row r="598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</row>
    <row r="599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</row>
    <row r="600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</row>
    <row r="60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</row>
    <row r="602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</row>
    <row r="60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</row>
    <row r="60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</row>
    <row r="60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</row>
    <row r="606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</row>
    <row r="607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</row>
    <row r="608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</row>
    <row r="609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</row>
    <row r="610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</row>
    <row r="61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</row>
    <row r="612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</row>
    <row r="6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</row>
    <row r="61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</row>
    <row r="6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</row>
    <row r="616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</row>
    <row r="617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</row>
    <row r="618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</row>
    <row r="619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</row>
    <row r="620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</row>
    <row r="62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</row>
    <row r="62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</row>
    <row r="62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</row>
    <row r="62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</row>
    <row r="6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</row>
    <row r="626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</row>
    <row r="627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</row>
    <row r="628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</row>
    <row r="629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</row>
    <row r="630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</row>
    <row r="63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</row>
    <row r="63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</row>
    <row r="63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</row>
    <row r="6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</row>
    <row r="63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</row>
    <row r="636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</row>
    <row r="637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</row>
    <row r="638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</row>
    <row r="639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</row>
    <row r="640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</row>
    <row r="64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</row>
    <row r="64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</row>
    <row r="64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</row>
    <row r="64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</row>
    <row r="64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</row>
    <row r="646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</row>
    <row r="647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</row>
    <row r="648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</row>
    <row r="649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</row>
    <row r="650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</row>
    <row r="65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</row>
    <row r="65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</row>
    <row r="65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</row>
    <row r="65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</row>
    <row r="65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</row>
    <row r="656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</row>
    <row r="657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</row>
    <row r="658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</row>
    <row r="659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</row>
    <row r="660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</row>
    <row r="66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</row>
    <row r="66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</row>
    <row r="66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</row>
    <row r="66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</row>
    <row r="66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</row>
    <row r="666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</row>
    <row r="667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</row>
    <row r="668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</row>
    <row r="669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</row>
    <row r="670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</row>
    <row r="67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</row>
    <row r="67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</row>
    <row r="67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</row>
    <row r="67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</row>
    <row r="67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</row>
    <row r="676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</row>
    <row r="677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</row>
    <row r="678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</row>
    <row r="679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</row>
    <row r="680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</row>
    <row r="68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</row>
    <row r="68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</row>
    <row r="68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</row>
    <row r="68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</row>
    <row r="68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</row>
    <row r="686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</row>
    <row r="687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</row>
    <row r="688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</row>
    <row r="689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</row>
    <row r="690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</row>
    <row r="69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</row>
    <row r="69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</row>
    <row r="69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</row>
    <row r="69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</row>
    <row r="69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</row>
    <row r="696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</row>
    <row r="697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</row>
    <row r="698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</row>
    <row r="699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</row>
    <row r="700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</row>
    <row r="70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</row>
    <row r="70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</row>
    <row r="70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</row>
    <row r="70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</row>
    <row r="70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</row>
    <row r="706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</row>
    <row r="707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</row>
    <row r="708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</row>
    <row r="709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</row>
    <row r="710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</row>
    <row r="71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</row>
    <row r="71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</row>
    <row r="7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</row>
    <row r="71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</row>
    <row r="7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</row>
    <row r="716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</row>
    <row r="717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</row>
    <row r="718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</row>
    <row r="719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</row>
    <row r="720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</row>
    <row r="72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</row>
    <row r="72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</row>
    <row r="72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</row>
    <row r="72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</row>
    <row r="7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</row>
    <row r="726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</row>
    <row r="727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</row>
    <row r="728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</row>
    <row r="729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</row>
    <row r="730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</row>
    <row r="73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</row>
    <row r="73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</row>
    <row r="73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</row>
    <row r="7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</row>
    <row r="73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</row>
    <row r="736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</row>
    <row r="737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</row>
    <row r="738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</row>
    <row r="739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</row>
    <row r="740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</row>
    <row r="74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</row>
    <row r="74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</row>
    <row r="74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</row>
    <row r="74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</row>
    <row r="74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</row>
    <row r="746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</row>
    <row r="747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</row>
    <row r="748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</row>
    <row r="749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</row>
    <row r="750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</row>
    <row r="75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</row>
    <row r="75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</row>
    <row r="75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</row>
    <row r="75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</row>
    <row r="75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</row>
    <row r="756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</row>
    <row r="757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</row>
    <row r="758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</row>
    <row r="759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</row>
    <row r="760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</row>
    <row r="76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</row>
    <row r="76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</row>
    <row r="76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</row>
    <row r="76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</row>
    <row r="76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</row>
    <row r="766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</row>
    <row r="767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</row>
    <row r="768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</row>
    <row r="769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</row>
    <row r="770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</row>
    <row r="77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</row>
    <row r="77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</row>
    <row r="77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</row>
    <row r="77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</row>
    <row r="77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</row>
    <row r="776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</row>
    <row r="777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</row>
    <row r="778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</row>
    <row r="779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</row>
    <row r="780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</row>
    <row r="78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</row>
    <row r="782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</row>
    <row r="78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</row>
    <row r="78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</row>
    <row r="78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</row>
    <row r="786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</row>
    <row r="787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</row>
    <row r="788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</row>
    <row r="789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</row>
    <row r="790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</row>
    <row r="79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</row>
    <row r="792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</row>
    <row r="79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</row>
    <row r="79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</row>
    <row r="79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</row>
    <row r="796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</row>
    <row r="797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</row>
    <row r="798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</row>
    <row r="799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</row>
    <row r="800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</row>
    <row r="80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</row>
    <row r="802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</row>
    <row r="80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</row>
    <row r="80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</row>
    <row r="80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</row>
    <row r="806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</row>
    <row r="807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</row>
    <row r="808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</row>
    <row r="809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</row>
    <row r="810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</row>
    <row r="81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</row>
    <row r="812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</row>
    <row r="81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</row>
    <row r="81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</row>
    <row r="81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</row>
    <row r="816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</row>
    <row r="817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</row>
    <row r="818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</row>
    <row r="819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</row>
    <row r="820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</row>
    <row r="82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</row>
    <row r="822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</row>
    <row r="82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</row>
    <row r="82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</row>
    <row r="8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</row>
    <row r="826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</row>
    <row r="827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</row>
    <row r="828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</row>
    <row r="829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</row>
    <row r="830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</row>
    <row r="83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</row>
    <row r="832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</row>
    <row r="83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</row>
    <row r="8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</row>
    <row r="83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</row>
    <row r="836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</row>
    <row r="837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</row>
    <row r="838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</row>
    <row r="839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</row>
    <row r="840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</row>
    <row r="84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</row>
    <row r="842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</row>
    <row r="84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</row>
    <row r="84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</row>
    <row r="84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</row>
    <row r="846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</row>
    <row r="847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</row>
    <row r="848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</row>
    <row r="849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</row>
    <row r="850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</row>
    <row r="85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</row>
    <row r="852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</row>
    <row r="85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</row>
    <row r="85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</row>
    <row r="85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</row>
    <row r="856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</row>
    <row r="857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</row>
    <row r="858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</row>
    <row r="859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</row>
    <row r="860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</row>
    <row r="86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</row>
    <row r="862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</row>
    <row r="863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</row>
    <row r="864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</row>
    <row r="86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</row>
    <row r="866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</row>
    <row r="867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</row>
    <row r="868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</row>
    <row r="869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</row>
    <row r="870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</row>
    <row r="87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</row>
    <row r="872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</row>
    <row r="873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</row>
    <row r="874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</row>
    <row r="87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</row>
    <row r="876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</row>
    <row r="877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</row>
    <row r="878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</row>
    <row r="879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</row>
    <row r="880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</row>
    <row r="88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</row>
    <row r="882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</row>
    <row r="883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</row>
    <row r="884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</row>
    <row r="88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</row>
    <row r="886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</row>
    <row r="887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</row>
    <row r="888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</row>
    <row r="889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</row>
    <row r="890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</row>
    <row r="89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</row>
    <row r="892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</row>
    <row r="893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</row>
    <row r="894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</row>
    <row r="89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</row>
    <row r="896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</row>
    <row r="897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</row>
    <row r="898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</row>
    <row r="899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</row>
    <row r="900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</row>
    <row r="90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</row>
    <row r="902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</row>
    <row r="903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</row>
    <row r="904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</row>
    <row r="90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</row>
    <row r="906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</row>
    <row r="907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</row>
    <row r="908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</row>
    <row r="909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</row>
    <row r="910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</row>
    <row r="91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</row>
    <row r="912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</row>
    <row r="913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</row>
    <row r="914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</row>
    <row r="91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</row>
    <row r="916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</row>
    <row r="917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</row>
    <row r="918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</row>
    <row r="919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</row>
    <row r="920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</row>
    <row r="92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</row>
    <row r="922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</row>
    <row r="923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</row>
    <row r="924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</row>
    <row r="9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</row>
    <row r="926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</row>
    <row r="927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</row>
    <row r="928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</row>
    <row r="929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</row>
    <row r="930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</row>
    <row r="93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</row>
    <row r="932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</row>
    <row r="933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</row>
    <row r="934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</row>
    <row r="93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</row>
    <row r="936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</row>
    <row r="937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</row>
    <row r="938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</row>
    <row r="939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</row>
    <row r="940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</row>
    <row r="94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</row>
    <row r="942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</row>
    <row r="943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</row>
    <row r="944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</row>
    <row r="94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</row>
    <row r="946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</row>
    <row r="947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</row>
    <row r="948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</row>
    <row r="949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</row>
    <row r="950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</row>
    <row r="95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</row>
    <row r="952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</row>
    <row r="953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</row>
    <row r="954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</row>
    <row r="95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</row>
    <row r="956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</row>
    <row r="957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</row>
    <row r="958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</row>
    <row r="959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</row>
    <row r="960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</row>
    <row r="96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</row>
    <row r="962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</row>
    <row r="963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</row>
    <row r="964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</row>
    <row r="96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</row>
    <row r="966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</row>
    <row r="967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</row>
    <row r="968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</row>
    <row r="969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</row>
    <row r="970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</row>
    <row r="97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</row>
    <row r="972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</row>
    <row r="973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</row>
    <row r="97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</row>
    <row r="97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</row>
    <row r="976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</row>
    <row r="977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</row>
    <row r="978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</row>
    <row r="979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</row>
    <row r="980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</row>
    <row r="98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</row>
    <row r="982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</row>
    <row r="983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</row>
    <row r="984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</row>
    <row r="98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</row>
    <row r="986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</row>
    <row r="987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</row>
    <row r="988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</row>
    <row r="989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</row>
    <row r="990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</row>
    <row r="99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</row>
    <row r="992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</row>
    <row r="993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</row>
    <row r="994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</row>
    <row r="99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</row>
    <row r="996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</row>
    <row r="997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</row>
    <row r="998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</row>
    <row r="999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</row>
    <row r="1000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</row>
    <row r="1001">
      <c r="A1001" s="79"/>
      <c r="B1001" s="79"/>
      <c r="C1001" s="79"/>
      <c r="D1001" s="79"/>
      <c r="E1001" s="79"/>
      <c r="F1001" s="79"/>
      <c r="G1001" s="79"/>
      <c r="H1001" s="79"/>
      <c r="I1001" s="79"/>
      <c r="J1001" s="79"/>
      <c r="K1001" s="79"/>
      <c r="L1001" s="79"/>
    </row>
    <row r="1002">
      <c r="A1002" s="79"/>
      <c r="B1002" s="79"/>
      <c r="C1002" s="79"/>
      <c r="D1002" s="79"/>
      <c r="E1002" s="79"/>
      <c r="F1002" s="79"/>
      <c r="G1002" s="79"/>
      <c r="H1002" s="79"/>
      <c r="I1002" s="79"/>
      <c r="J1002" s="79"/>
      <c r="K1002" s="79"/>
      <c r="L1002" s="79"/>
    </row>
  </sheetData>
  <drawing r:id="rId1"/>
</worksheet>
</file>